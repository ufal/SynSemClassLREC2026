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mes_without_pdtc2.0_examp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<sst xmlns="http://schemas.openxmlformats.org/spreadsheetml/2006/main" count="1598" uniqueCount="1086">
  <si>
    <t xml:space="preserve">ID rámce</t>
  </si>
  <si>
    <t xml:space="preserve">ID slovesa</t>
  </si>
  <si>
    <t xml:space="preserve">Lemma</t>
  </si>
  <si>
    <t xml:space="preserve">Rámců v PDT_Vallexu</t>
  </si>
  <si>
    <t xml:space="preserve">Nezpracovaných rámců</t>
  </si>
  <si>
    <t xml:space="preserve">1.třída – ID</t>
  </si>
  <si>
    <t xml:space="preserve">2. třída – ID</t>
  </si>
  <si>
    <t xml:space="preserve">3. třída – ID</t>
  </si>
  <si>
    <t xml:space="preserve">Význam(idiom)- příbuzné sloveso</t>
  </si>
  <si>
    <t xml:space="preserve">HIC</t>
  </si>
  <si>
    <t xml:space="preserve">Poznámka</t>
  </si>
  <si>
    <t xml:space="preserve">v41chl</t>
  </si>
  <si>
    <t xml:space="preserve">vec00328</t>
  </si>
  <si>
    <t xml:space="preserve">vec00067</t>
  </si>
  <si>
    <t xml:space="preserve">souviset, týkat se, podílet se (mít co do činění)</t>
  </si>
  <si>
    <t xml:space="preserve">2.5.5.6.1.</t>
  </si>
  <si>
    <t xml:space="preserve">x</t>
  </si>
  <si>
    <t xml:space="preserve">idiom (mít klíč k úspěchu), mít schopnost, mít prostředky</t>
  </si>
  <si>
    <t xml:space="preserve">1.1.</t>
  </si>
  <si>
    <t xml:space="preserve">vec01977</t>
  </si>
  <si>
    <t xml:space="preserve">být nervózní, znervóznět</t>
  </si>
  <si>
    <t xml:space="preserve">vec00254</t>
  </si>
  <si>
    <t xml:space="preserve">ovládat, manipulovat</t>
  </si>
  <si>
    <t xml:space="preserve">2.5.5.</t>
  </si>
  <si>
    <t xml:space="preserve">omrzet se, mít toho dost</t>
  </si>
  <si>
    <t xml:space="preserve">mít to k něko mu daleko</t>
  </si>
  <si>
    <t xml:space="preserve">1.1.4.1.</t>
  </si>
  <si>
    <t xml:space="preserve">vec01364</t>
  </si>
  <si>
    <t xml:space="preserve">(mít to v povaze) disponovat, vyznačovat se</t>
  </si>
  <si>
    <t xml:space="preserve">1.2.1.3.1.5.</t>
  </si>
  <si>
    <t xml:space="preserve">vec00348</t>
  </si>
  <si>
    <t xml:space="preserve">vlastnit, používat, využívat</t>
  </si>
  <si>
    <t xml:space="preserve">1.1.4.3.1.1.</t>
  </si>
  <si>
    <t xml:space="preserve">vec01677</t>
  </si>
  <si>
    <t xml:space="preserve">respektovat</t>
  </si>
  <si>
    <t xml:space="preserve">vec00379</t>
  </si>
  <si>
    <t xml:space="preserve">zažít, získat</t>
  </si>
  <si>
    <t xml:space="preserve">vec00641</t>
  </si>
  <si>
    <t xml:space="preserve">nenávidět, nemít rád, mít po krk</t>
  </si>
  <si>
    <t xml:space="preserve">vec00876</t>
  </si>
  <si>
    <t xml:space="preserve">poznávat, seznámit se</t>
  </si>
  <si>
    <t xml:space="preserve">prožít, zažít</t>
  </si>
  <si>
    <t xml:space="preserve">vec00219</t>
  </si>
  <si>
    <t xml:space="preserve">mít naději, doufat</t>
  </si>
  <si>
    <t xml:space="preserve">vec00309</t>
  </si>
  <si>
    <t xml:space="preserve">vec00601</t>
  </si>
  <si>
    <t xml:space="preserve">skončit, dodělat, absolvovat</t>
  </si>
  <si>
    <t xml:space="preserve">vec00531</t>
  </si>
  <si>
    <t xml:space="preserve">učit</t>
  </si>
  <si>
    <t xml:space="preserve">2.5.5.8.2. </t>
  </si>
  <si>
    <t xml:space="preserve">v41js</t>
  </si>
  <si>
    <t xml:space="preserve">vec01278</t>
  </si>
  <si>
    <t xml:space="preserve">vědět se, říkat se, proslýchat se</t>
  </si>
  <si>
    <t xml:space="preserve">být jedna báseň, líbit se, mít úspěch?</t>
  </si>
  <si>
    <t xml:space="preserve">1.2.1.1</t>
  </si>
  <si>
    <t xml:space="preserve">být jedna bída, selhávat?</t>
  </si>
  <si>
    <t xml:space="preserve">vec00273</t>
  </si>
  <si>
    <t xml:space="preserve">pracovat, být pracovitý</t>
  </si>
  <si>
    <t xml:space="preserve">znervóznět, zneklidnět</t>
  </si>
  <si>
    <t xml:space="preserve">v41bik</t>
  </si>
  <si>
    <t xml:space="preserve">pronikat, šířit se, dostat, se</t>
  </si>
  <si>
    <t xml:space="preserve">2.1.1.1.2.1.</t>
  </si>
  <si>
    <t xml:space="preserve">vec00530</t>
  </si>
  <si>
    <t xml:space="preserve">trvat</t>
  </si>
  <si>
    <t xml:space="preserve">D</t>
  </si>
  <si>
    <t xml:space="preserve">žít</t>
  </si>
  <si>
    <t xml:space="preserve">nedává smysl, i v příkladu je místo slovesa jít "být" (není mezi námi)</t>
  </si>
  <si>
    <t xml:space="preserve">vzdorovat, bouřit se</t>
  </si>
  <si>
    <t xml:space="preserve">2.9.11.3</t>
  </si>
  <si>
    <t xml:space="preserve">vec01025</t>
  </si>
  <si>
    <t xml:space="preserve">vec00279</t>
  </si>
  <si>
    <t xml:space="preserve">přejít, přecházet, překonat</t>
  </si>
  <si>
    <t xml:space="preserve">vec00080</t>
  </si>
  <si>
    <t xml:space="preserve">inspirovat</t>
  </si>
  <si>
    <t xml:space="preserve">chodit + MANN, chodit E (v41bbiE)</t>
  </si>
  <si>
    <t xml:space="preserve">2.1.1.1.2.2</t>
  </si>
  <si>
    <t xml:space="preserve">vec00108</t>
  </si>
  <si>
    <t xml:space="preserve">detailně rozvést</t>
  </si>
  <si>
    <t xml:space="preserve">v41pl</t>
  </si>
  <si>
    <t xml:space="preserve">podat důkaz, vysvětlení atp.</t>
  </si>
  <si>
    <t xml:space="preserve">2.2.4.1.3</t>
  </si>
  <si>
    <t xml:space="preserve">synonymní s podat H, I a J, které jsou ve třídách vec00272 a vec00033, ale neřekl bych, že tam patří</t>
  </si>
  <si>
    <t xml:space="preserve">totéž</t>
  </si>
  <si>
    <t xml:space="preserve">vec00382</t>
  </si>
  <si>
    <t xml:space="preserve">zdůraznit</t>
  </si>
  <si>
    <t xml:space="preserve">doufat, že se něco nestane</t>
  </si>
  <si>
    <t xml:space="preserve">vec01087</t>
  </si>
  <si>
    <t xml:space="preserve">přenechat, postoupit, odevzdat</t>
  </si>
  <si>
    <t xml:space="preserve">vec01867</t>
  </si>
  <si>
    <t xml:space="preserve">zahrát míč/tah nějakým způsobem</t>
  </si>
  <si>
    <t xml:space="preserve">v41ps</t>
  </si>
  <si>
    <t xml:space="preserve">vec01755</t>
  </si>
  <si>
    <t xml:space="preserve">okořenit, ozvláštnit</t>
  </si>
  <si>
    <t xml:space="preserve">vec01256</t>
  </si>
  <si>
    <t xml:space="preserve">podat lék atp.</t>
  </si>
  <si>
    <t xml:space="preserve">vec01206</t>
  </si>
  <si>
    <t xml:space="preserve">nechat někoho něco dělat, příp. někomu zadat činnost</t>
  </si>
  <si>
    <t xml:space="preserve">vec00303</t>
  </si>
  <si>
    <t xml:space="preserve">poslechnout někoho</t>
  </si>
  <si>
    <t xml:space="preserve">v41pma</t>
  </si>
  <si>
    <t xml:space="preserve">vec00704</t>
  </si>
  <si>
    <t xml:space="preserve">odejmout někomu právo</t>
  </si>
  <si>
    <t xml:space="preserve">vec01315</t>
  </si>
  <si>
    <t xml:space="preserve">skončit (rychle a nepříznivě)</t>
  </si>
  <si>
    <t xml:space="preserve">vec00146</t>
  </si>
  <si>
    <t xml:space="preserve">utéci</t>
  </si>
  <si>
    <t xml:space="preserve">vec00314</t>
  </si>
  <si>
    <t xml:space="preserve">vec01912</t>
  </si>
  <si>
    <t xml:space="preserve">zaměřit se, soustředit se, věnovat se</t>
  </si>
  <si>
    <t xml:space="preserve">vec01396</t>
  </si>
  <si>
    <t xml:space="preserve">uchopit</t>
  </si>
  <si>
    <t xml:space="preserve">vec01851</t>
  </si>
  <si>
    <t xml:space="preserve">předjet, předstihnout</t>
  </si>
  <si>
    <t xml:space="preserve">v41isg</t>
  </si>
  <si>
    <t xml:space="preserve">vec00442</t>
  </si>
  <si>
    <t xml:space="preserve">narodit se</t>
  </si>
  <si>
    <t xml:space="preserve">v41re</t>
  </si>
  <si>
    <t xml:space="preserve">vec01890</t>
  </si>
  <si>
    <t xml:space="preserve">stínit</t>
  </si>
  <si>
    <t xml:space="preserve">svádět, namlouvat si</t>
  </si>
  <si>
    <t xml:space="preserve">2.5.5.3.4</t>
  </si>
  <si>
    <t xml:space="preserve">vec01746</t>
  </si>
  <si>
    <t xml:space="preserve">spěchat, chvátat</t>
  </si>
  <si>
    <t xml:space="preserve">v41hs</t>
  </si>
  <si>
    <t xml:space="preserve">být vděčný</t>
  </si>
  <si>
    <t xml:space="preserve">2.9.3.</t>
  </si>
  <si>
    <t xml:space="preserve">vec00685</t>
  </si>
  <si>
    <t xml:space="preserve">jít někudy, procházet</t>
  </si>
  <si>
    <t xml:space="preserve">vec01377</t>
  </si>
  <si>
    <t xml:space="preserve">odvést někoho někam</t>
  </si>
  <si>
    <t xml:space="preserve">v41alc</t>
  </si>
  <si>
    <t xml:space="preserve">vec01477</t>
  </si>
  <si>
    <t xml:space="preserve">zachovávat zvyky, tradice</t>
  </si>
  <si>
    <t xml:space="preserve">vec00981</t>
  </si>
  <si>
    <t xml:space="preserve">zadržovat</t>
  </si>
  <si>
    <t xml:space="preserve">vec00663</t>
  </si>
  <si>
    <t xml:space="preserve">oslavovat (svátky, výročí)</t>
  </si>
  <si>
    <t xml:space="preserve">v41afv</t>
  </si>
  <si>
    <t xml:space="preserve">vec00484</t>
  </si>
  <si>
    <t xml:space="preserve">být potrestán, pokárán</t>
  </si>
  <si>
    <t xml:space="preserve">v41ju</t>
  </si>
  <si>
    <t xml:space="preserve">být nějaký, mít nějakou vlastnost</t>
  </si>
  <si>
    <t xml:space="preserve">vec00821</t>
  </si>
  <si>
    <t xml:space="preserve">hodit, mít správnou velikost, padnout</t>
  </si>
  <si>
    <t xml:space="preserve">vec00372</t>
  </si>
  <si>
    <t xml:space="preserve">dopadnout na někoho</t>
  </si>
  <si>
    <t xml:space="preserve">věk</t>
  </si>
  <si>
    <t xml:space="preserve">1.1.1.1</t>
  </si>
  <si>
    <t xml:space="preserve">vec00084</t>
  </si>
  <si>
    <t xml:space="preserve">být vyrobeno</t>
  </si>
  <si>
    <t xml:space="preserve">vec00693</t>
  </si>
  <si>
    <t xml:space="preserve">vec00611</t>
  </si>
  <si>
    <t xml:space="preserve">předstírat, převlékat se, hrát</t>
  </si>
  <si>
    <t xml:space="preserve">vec00439</t>
  </si>
  <si>
    <t xml:space="preserve">nacházet se ve stavu</t>
  </si>
  <si>
    <t xml:space="preserve">sloužit k něčemu, být používán za účelem</t>
  </si>
  <si>
    <t xml:space="preserve">1.2.1.3</t>
  </si>
  <si>
    <t xml:space="preserve">vec00017</t>
  </si>
  <si>
    <t xml:space="preserve">vec00308</t>
  </si>
  <si>
    <t xml:space="preserve">panovat, existovat, nacházet se</t>
  </si>
  <si>
    <t xml:space="preserve">vec00086</t>
  </si>
  <si>
    <t xml:space="preserve">být vidět, slyšet; projevit se, ukázat se</t>
  </si>
  <si>
    <t xml:space="preserve">počasí</t>
  </si>
  <si>
    <t xml:space="preserve">nacházet se (blízko, daleko…)</t>
  </si>
  <si>
    <t xml:space="preserve">trvat (čas)</t>
  </si>
  <si>
    <t xml:space="preserve">vec00470</t>
  </si>
  <si>
    <t xml:space="preserve">pociťovat</t>
  </si>
  <si>
    <t xml:space="preserve">vec00077</t>
  </si>
  <si>
    <t xml:space="preserve">potřebovat</t>
  </si>
  <si>
    <t xml:space="preserve">muset (se), smět</t>
  </si>
  <si>
    <t xml:space="preserve">vec01446</t>
  </si>
  <si>
    <t xml:space="preserve">(po)litovat, soucítit</t>
  </si>
  <si>
    <t xml:space="preserve">v41odz</t>
  </si>
  <si>
    <t xml:space="preserve">trvat, zabrat (časově)</t>
  </si>
  <si>
    <t xml:space="preserve">v41njv</t>
  </si>
  <si>
    <t xml:space="preserve">vec00031</t>
  </si>
  <si>
    <t xml:space="preserve">mluvit, povídat si</t>
  </si>
  <si>
    <t xml:space="preserve">vec01572</t>
  </si>
  <si>
    <t xml:space="preserve">tlachat, plkat</t>
  </si>
  <si>
    <t xml:space="preserve">v41irq</t>
  </si>
  <si>
    <t xml:space="preserve">vec00258</t>
  </si>
  <si>
    <t xml:space="preserve">pramenit</t>
  </si>
  <si>
    <t xml:space="preserve">vec01292</t>
  </si>
  <si>
    <t xml:space="preserve">napadnout, vynalézt, navrhnout</t>
  </si>
  <si>
    <t xml:space="preserve">vec00393</t>
  </si>
  <si>
    <t xml:space="preserve">ztratit, pozbýt</t>
  </si>
  <si>
    <t xml:space="preserve">vec01193</t>
  </si>
  <si>
    <t xml:space="preserve">tratit, prodělat</t>
  </si>
  <si>
    <t xml:space="preserve">mluvit se o něčem, přijít na přetřes</t>
  </si>
  <si>
    <t xml:space="preserve">v41mhq</t>
  </si>
  <si>
    <t xml:space="preserve">najet, ujet, urazit</t>
  </si>
  <si>
    <t xml:space="preserve">v41fhm</t>
  </si>
  <si>
    <t xml:space="preserve">vec00307</t>
  </si>
  <si>
    <t xml:space="preserve">potkat, narazit na někoho</t>
  </si>
  <si>
    <t xml:space="preserve">vec00233</t>
  </si>
  <si>
    <t xml:space="preserve">napadnout, vynalézt, objevit</t>
  </si>
  <si>
    <t xml:space="preserve">vec01679</t>
  </si>
  <si>
    <t xml:space="preserve">nasněžit</t>
  </si>
  <si>
    <t xml:space="preserve">v41chn</t>
  </si>
  <si>
    <t xml:space="preserve">vec00773</t>
  </si>
  <si>
    <t xml:space="preserve">ovlivnit, zapůsobit</t>
  </si>
  <si>
    <t xml:space="preserve">moci, mít příležitost, důvod atd.</t>
  </si>
  <si>
    <t xml:space="preserve">3.1</t>
  </si>
  <si>
    <t xml:space="preserve">vec00345</t>
  </si>
  <si>
    <t xml:space="preserve">důvěřovat</t>
  </si>
  <si>
    <t xml:space="preserve">vec00243</t>
  </si>
  <si>
    <t xml:space="preserve">vec00742</t>
  </si>
  <si>
    <t xml:space="preserve">bát se, těšit se</t>
  </si>
  <si>
    <t xml:space="preserve">vec00032</t>
  </si>
  <si>
    <t xml:space="preserve">vec00364</t>
  </si>
  <si>
    <t xml:space="preserve">vec00493</t>
  </si>
  <si>
    <t xml:space="preserve">myslet si, vzpomínat, představit si</t>
  </si>
  <si>
    <t xml:space="preserve">vec01707</t>
  </si>
  <si>
    <t xml:space="preserve">podílet se, zasloužit se</t>
  </si>
  <si>
    <t xml:space="preserve">vec01475</t>
  </si>
  <si>
    <t xml:space="preserve">mít problémy</t>
  </si>
  <si>
    <t xml:space="preserve">vec01828</t>
  </si>
  <si>
    <t xml:space="preserve">poznamenat</t>
  </si>
  <si>
    <t xml:space="preserve">vec00516</t>
  </si>
  <si>
    <t xml:space="preserve">tíhnout, mít sklony, předpoklady</t>
  </si>
  <si>
    <t xml:space="preserve">stát za to, mít cenu</t>
  </si>
  <si>
    <t xml:space="preserve">1.1.4.</t>
  </si>
  <si>
    <t xml:space="preserve">vec01229</t>
  </si>
  <si>
    <t xml:space="preserve">disponovat</t>
  </si>
  <si>
    <t xml:space="preserve">vec00574</t>
  </si>
  <si>
    <t xml:space="preserve">vec01458</t>
  </si>
  <si>
    <t xml:space="preserve">zajímat se, věnovat se</t>
  </si>
  <si>
    <t xml:space="preserve">v41ocb</t>
  </si>
  <si>
    <t xml:space="preserve">vec00218</t>
  </si>
  <si>
    <t xml:space="preserve">vylézt</t>
  </si>
  <si>
    <t xml:space="preserve">připadat, připadnout</t>
  </si>
  <si>
    <t xml:space="preserve">1.1.4.3.3</t>
  </si>
  <si>
    <t xml:space="preserve">vec01380</t>
  </si>
  <si>
    <t xml:space="preserve">zastarat, vyjít z módy</t>
  </si>
  <si>
    <t xml:space="preserve">vec00381</t>
  </si>
  <si>
    <t xml:space="preserve">vec00331</t>
  </si>
  <si>
    <t xml:space="preserve">projevit se, ukázat se</t>
  </si>
  <si>
    <t xml:space="preserve">v41bbi</t>
  </si>
  <si>
    <t xml:space="preserve">předstírat, převlékat se</t>
  </si>
  <si>
    <t xml:space="preserve">chodit, pohybovat se (snadno)</t>
  </si>
  <si>
    <t xml:space="preserve">v41pmc</t>
  </si>
  <si>
    <t xml:space="preserve">vec00402</t>
  </si>
  <si>
    <t xml:space="preserve">vyložit si, vysvětlit si</t>
  </si>
  <si>
    <t xml:space="preserve">v41zd</t>
  </si>
  <si>
    <t xml:space="preserve">vec01736</t>
  </si>
  <si>
    <t xml:space="preserve">dohnat</t>
  </si>
  <si>
    <t xml:space="preserve">vec01018</t>
  </si>
  <si>
    <t xml:space="preserve">dozrát</t>
  </si>
  <si>
    <t xml:space="preserve">v41nwv</t>
  </si>
  <si>
    <t xml:space="preserve">vec01289</t>
  </si>
  <si>
    <t xml:space="preserve">přestrojit, převléci, maskovat</t>
  </si>
  <si>
    <t xml:space="preserve">stát za, zastat</t>
  </si>
  <si>
    <t xml:space="preserve">vec00509</t>
  </si>
  <si>
    <t xml:space="preserve">rozhodnout</t>
  </si>
  <si>
    <t xml:space="preserve">v41dkk</t>
  </si>
  <si>
    <t xml:space="preserve">zahrát (kartu)</t>
  </si>
  <si>
    <t xml:space="preserve">vec01034</t>
  </si>
  <si>
    <t xml:space="preserve">snášet, klást</t>
  </si>
  <si>
    <t xml:space="preserve">vec00283</t>
  </si>
  <si>
    <t xml:space="preserve">přinést</t>
  </si>
  <si>
    <t xml:space="preserve">vec00104</t>
  </si>
  <si>
    <t xml:space="preserve">riskovat</t>
  </si>
  <si>
    <t xml:space="preserve">v41afz</t>
  </si>
  <si>
    <t xml:space="preserve">dostat za úkol</t>
  </si>
  <si>
    <t xml:space="preserve">2.5.5.1.2.2</t>
  </si>
  <si>
    <t xml:space="preserve">vec00962</t>
  </si>
  <si>
    <t xml:space="preserve">odstraňovat</t>
  </si>
  <si>
    <t xml:space="preserve">vec00316</t>
  </si>
  <si>
    <t xml:space="preserve">dodržet</t>
  </si>
  <si>
    <t xml:space="preserve">vec00126</t>
  </si>
  <si>
    <t xml:space="preserve">chytit, přistihnout</t>
  </si>
  <si>
    <t xml:space="preserve">vec01506</t>
  </si>
  <si>
    <t xml:space="preserve">překvapit, zaskočit</t>
  </si>
  <si>
    <t xml:space="preserve">v41ktw</t>
  </si>
  <si>
    <t xml:space="preserve">vec00603</t>
  </si>
  <si>
    <t xml:space="preserve">sbalit</t>
  </si>
  <si>
    <t xml:space="preserve">vec00365</t>
  </si>
  <si>
    <t xml:space="preserve">zastřelit</t>
  </si>
  <si>
    <t xml:space="preserve">v41chx</t>
  </si>
  <si>
    <t xml:space="preserve">vec01575</t>
  </si>
  <si>
    <t xml:space="preserve">dabovat</t>
  </si>
  <si>
    <t xml:space="preserve">vec01734</t>
  </si>
  <si>
    <t xml:space="preserve">domlouvat</t>
  </si>
  <si>
    <t xml:space="preserve">v41sad</t>
  </si>
  <si>
    <t xml:space="preserve">vec01209</t>
  </si>
  <si>
    <t xml:space="preserve">divit se, pozastavit se</t>
  </si>
  <si>
    <t xml:space="preserve">v41bkw</t>
  </si>
  <si>
    <t xml:space="preserve">ztotožňovat</t>
  </si>
  <si>
    <t xml:space="preserve">2.5.2.</t>
  </si>
  <si>
    <t xml:space="preserve">v41fqj</t>
  </si>
  <si>
    <t xml:space="preserve">rozehrát</t>
  </si>
  <si>
    <t xml:space="preserve">v41ald</t>
  </si>
  <si>
    <t xml:space="preserve">vec01313</t>
  </si>
  <si>
    <t xml:space="preserve">setrvat</t>
  </si>
  <si>
    <t xml:space="preserve">v41ayb</t>
  </si>
  <si>
    <t xml:space="preserve">v41bcz</t>
  </si>
  <si>
    <t xml:space="preserve">v41rzd</t>
  </si>
  <si>
    <t xml:space="preserve">lose touch, přestat být v kontaktu</t>
  </si>
  <si>
    <t xml:space="preserve">2.5.</t>
  </si>
  <si>
    <t xml:space="preserve">vec00371</t>
  </si>
  <si>
    <t xml:space="preserve">zapomenout</t>
  </si>
  <si>
    <t xml:space="preserve">v41bhu</t>
  </si>
  <si>
    <t xml:space="preserve">pohybovat, posouvat</t>
  </si>
  <si>
    <t xml:space="preserve">2.1.1.1.3</t>
  </si>
  <si>
    <t xml:space="preserve">chutnat</t>
  </si>
  <si>
    <t xml:space="preserve">1.1.1.1.1.1</t>
  </si>
  <si>
    <t xml:space="preserve">v41no</t>
  </si>
  <si>
    <t xml:space="preserve">udělat dojem, zaujmout</t>
  </si>
  <si>
    <t xml:space="preserve">vec00217</t>
  </si>
  <si>
    <t xml:space="preserve">dojít k závěru</t>
  </si>
  <si>
    <t xml:space="preserve">v41aga</t>
  </si>
  <si>
    <t xml:space="preserve">zbýt, vybýt na někoho</t>
  </si>
  <si>
    <t xml:space="preserve">2.1.1.2.2.8</t>
  </si>
  <si>
    <t xml:space="preserve">v41dsc</t>
  </si>
  <si>
    <t xml:space="preserve">rozmyslet si, změnit názor</t>
  </si>
  <si>
    <t xml:space="preserve">2.2.5.1</t>
  </si>
  <si>
    <t xml:space="preserve">v41sae</t>
  </si>
  <si>
    <t xml:space="preserve">vec00475</t>
  </si>
  <si>
    <t xml:space="preserve">podporovat</t>
  </si>
  <si>
    <t xml:space="preserve">vec00199</t>
  </si>
  <si>
    <t xml:space="preserve">setrvávat</t>
  </si>
  <si>
    <t xml:space="preserve">v41kie</t>
  </si>
  <si>
    <t xml:space="preserve">vec00811</t>
  </si>
  <si>
    <t xml:space="preserve">slézt, sešplhat</t>
  </si>
  <si>
    <t xml:space="preserve">zestárnout, zchátrat</t>
  </si>
  <si>
    <t xml:space="preserve">vec01885</t>
  </si>
  <si>
    <t xml:space="preserve">vec00755</t>
  </si>
  <si>
    <t xml:space="preserve">zmizet</t>
  </si>
  <si>
    <t xml:space="preserve">v41ppv</t>
  </si>
  <si>
    <t xml:space="preserve">zúžit, přešít</t>
  </si>
  <si>
    <t xml:space="preserve">2.4.2.2.7.3</t>
  </si>
  <si>
    <t xml:space="preserve">v41pq</t>
  </si>
  <si>
    <t xml:space="preserve">vec01207</t>
  </si>
  <si>
    <t xml:space="preserve">dát si pozor</t>
  </si>
  <si>
    <t xml:space="preserve">v41kej</t>
  </si>
  <si>
    <t xml:space="preserve">vec00272</t>
  </si>
  <si>
    <t xml:space="preserve">požadovat, chtít</t>
  </si>
  <si>
    <t xml:space="preserve">v41rg</t>
  </si>
  <si>
    <t xml:space="preserve">vec01192</t>
  </si>
  <si>
    <t xml:space="preserve">zesměšňovat</t>
  </si>
  <si>
    <t xml:space="preserve">vec01133</t>
  </si>
  <si>
    <t xml:space="preserve">trápit se</t>
  </si>
  <si>
    <t xml:space="preserve">v41pbx</t>
  </si>
  <si>
    <t xml:space="preserve">vec01950</t>
  </si>
  <si>
    <t xml:space="preserve">vylákat, vysát, získat</t>
  </si>
  <si>
    <t xml:space="preserve">vec01771</t>
  </si>
  <si>
    <t xml:space="preserve">narůst</t>
  </si>
  <si>
    <t xml:space="preserve">v41hfi</t>
  </si>
  <si>
    <t xml:space="preserve">proběhnout</t>
  </si>
  <si>
    <t xml:space="preserve">2.2.4.1</t>
  </si>
  <si>
    <t xml:space="preserve">vec00113</t>
  </si>
  <si>
    <t xml:space="preserve">vypršet</t>
  </si>
  <si>
    <t xml:space="preserve">v41yl</t>
  </si>
  <si>
    <t xml:space="preserve">v41fmt</t>
  </si>
  <si>
    <t xml:space="preserve">patřit, náležet</t>
  </si>
  <si>
    <t xml:space="preserve">1.1.4.3</t>
  </si>
  <si>
    <t xml:space="preserve">vec00221</t>
  </si>
  <si>
    <t xml:space="preserve">zabrat, zafungovat</t>
  </si>
  <si>
    <t xml:space="preserve">v41iax</t>
  </si>
  <si>
    <t xml:space="preserve">vec00460</t>
  </si>
  <si>
    <t xml:space="preserve">ignorovat, zanedbat</t>
  </si>
  <si>
    <t xml:space="preserve">v41ryy</t>
  </si>
  <si>
    <t xml:space="preserve">ztratit z dohledu</t>
  </si>
  <si>
    <t xml:space="preserve">2.7.1.1</t>
  </si>
  <si>
    <t xml:space="preserve">zapomínat</t>
  </si>
  <si>
    <t xml:space="preserve">v41nor</t>
  </si>
  <si>
    <t xml:space="preserve">vec00581</t>
  </si>
  <si>
    <t xml:space="preserve">telefonovat, mluvit</t>
  </si>
  <si>
    <t xml:space="preserve">v41awl</t>
  </si>
  <si>
    <t xml:space="preserve">pohnout</t>
  </si>
  <si>
    <t xml:space="preserve">v41jed</t>
  </si>
  <si>
    <t xml:space="preserve">vec00905</t>
  </si>
  <si>
    <t xml:space="preserve">opustit, rozejít se</t>
  </si>
  <si>
    <t xml:space="preserve">v41oqq</t>
  </si>
  <si>
    <t xml:space="preserve">vec00060</t>
  </si>
  <si>
    <t xml:space="preserve">vyhlásit</t>
  </si>
  <si>
    <t xml:space="preserve">porouchat se</t>
  </si>
  <si>
    <t xml:space="preserve">2.1.4.7</t>
  </si>
  <si>
    <t xml:space="preserve">v41kzv</t>
  </si>
  <si>
    <t xml:space="preserve">vec01978</t>
  </si>
  <si>
    <t xml:space="preserve">zbláznit se</t>
  </si>
  <si>
    <t xml:space="preserve">v41fdb</t>
  </si>
  <si>
    <t xml:space="preserve">vec00012</t>
  </si>
  <si>
    <t xml:space="preserve">umožnit</t>
  </si>
  <si>
    <t xml:space="preserve">v41bzx</t>
  </si>
  <si>
    <t xml:space="preserve">záležet</t>
  </si>
  <si>
    <t xml:space="preserve">1.1.3.2.1</t>
  </si>
  <si>
    <t xml:space="preserve">letět? Asi překlep, mělo by být ležet (podle příkladu)</t>
  </si>
  <si>
    <t xml:space="preserve">v41ndv</t>
  </si>
  <si>
    <t xml:space="preserve">vec01797</t>
  </si>
  <si>
    <t xml:space="preserve">odblokovat</t>
  </si>
  <si>
    <t xml:space="preserve">v41jdc</t>
  </si>
  <si>
    <t xml:space="preserve">žádat</t>
  </si>
  <si>
    <t xml:space="preserve">v41onl</t>
  </si>
  <si>
    <t xml:space="preserve">v41khh</t>
  </si>
  <si>
    <t xml:space="preserve">vec01061</t>
  </si>
  <si>
    <t xml:space="preserve">odvážit se</t>
  </si>
  <si>
    <t xml:space="preserve">v41kqd</t>
  </si>
  <si>
    <t xml:space="preserve">vec01444</t>
  </si>
  <si>
    <t xml:space="preserve">skložit do celku</t>
  </si>
  <si>
    <t xml:space="preserve">vec00942</t>
  </si>
  <si>
    <t xml:space="preserve">složit funkci, rezignovat</t>
  </si>
  <si>
    <t xml:space="preserve">v41dar</t>
  </si>
  <si>
    <t xml:space="preserve">vec00468</t>
  </si>
  <si>
    <t xml:space="preserve">chovat</t>
  </si>
  <si>
    <t xml:space="preserve">završit, vyšperkovat</t>
  </si>
  <si>
    <t xml:space="preserve">2.3.</t>
  </si>
  <si>
    <t xml:space="preserve">v41pui</t>
  </si>
  <si>
    <t xml:space="preserve">vec01498</t>
  </si>
  <si>
    <t xml:space="preserve">vyhrotit</t>
  </si>
  <si>
    <t xml:space="preserve">v41oql</t>
  </si>
  <si>
    <t xml:space="preserve">vyhlásit, oznámit</t>
  </si>
  <si>
    <t xml:space="preserve">v41dyr</t>
  </si>
  <si>
    <t xml:space="preserve">v41iva</t>
  </si>
  <si>
    <t xml:space="preserve">vec00250</t>
  </si>
  <si>
    <t xml:space="preserve">připadat, odpovídat</t>
  </si>
  <si>
    <t xml:space="preserve">v41cge</t>
  </si>
  <si>
    <t xml:space="preserve">měnit, proměnit, promíchat</t>
  </si>
  <si>
    <t xml:space="preserve">2.4.2.2.7.4</t>
  </si>
  <si>
    <t xml:space="preserve">v41hrm</t>
  </si>
  <si>
    <t xml:space="preserve">vec01742</t>
  </si>
  <si>
    <t xml:space="preserve">prohřešit se</t>
  </si>
  <si>
    <t xml:space="preserve">v41pu</t>
  </si>
  <si>
    <t xml:space="preserve">v41oey</t>
  </si>
  <si>
    <t xml:space="preserve">vyložit, vytáhnout, vyndat</t>
  </si>
  <si>
    <t xml:space="preserve">2.1.1.2.1.4.2</t>
  </si>
  <si>
    <t xml:space="preserve">v41chm</t>
  </si>
  <si>
    <t xml:space="preserve">vec00153</t>
  </si>
  <si>
    <t xml:space="preserve">mít se dobře</t>
  </si>
  <si>
    <t xml:space="preserve">v41hu</t>
  </si>
  <si>
    <t xml:space="preserve">brát si někoho na mušku</t>
  </si>
  <si>
    <t xml:space="preserve">2.5.3.3</t>
  </si>
  <si>
    <t xml:space="preserve">v41dal</t>
  </si>
  <si>
    <t xml:space="preserve">vec00369</t>
  </si>
  <si>
    <t xml:space="preserve">zaměstnat (nuceně)</t>
  </si>
  <si>
    <t xml:space="preserve">Restrict: nuceně</t>
  </si>
  <si>
    <t xml:space="preserve">v41iqq</t>
  </si>
  <si>
    <t xml:space="preserve">vec00239</t>
  </si>
  <si>
    <t xml:space="preserve">zapsat se, přihlásit se, zapojit se</t>
  </si>
  <si>
    <t xml:space="preserve">v41emf</t>
  </si>
  <si>
    <t xml:space="preserve">vec00125</t>
  </si>
  <si>
    <t xml:space="preserve">platit</t>
  </si>
  <si>
    <t xml:space="preserve">v41qsn</t>
  </si>
  <si>
    <t xml:space="preserve">mluvit</t>
  </si>
  <si>
    <t xml:space="preserve">v41iuy</t>
  </si>
  <si>
    <t xml:space="preserve">vec01608</t>
  </si>
  <si>
    <t xml:space="preserve">padat, připadávat</t>
  </si>
  <si>
    <t xml:space="preserve">v41rho</t>
  </si>
  <si>
    <t xml:space="preserve">vec00117</t>
  </si>
  <si>
    <t xml:space="preserve">pokusit se, snažit se</t>
  </si>
  <si>
    <t xml:space="preserve">v41oie</t>
  </si>
  <si>
    <t xml:space="preserve">vec01465</t>
  </si>
  <si>
    <t xml:space="preserve">vyváznout</t>
  </si>
  <si>
    <t xml:space="preserve">v41otz</t>
  </si>
  <si>
    <t xml:space="preserve">vec01356</t>
  </si>
  <si>
    <t xml:space="preserve">v41sek</t>
  </si>
  <si>
    <t xml:space="preserve">kosit, sekat</t>
  </si>
  <si>
    <t xml:space="preserve">v41bhx</t>
  </si>
  <si>
    <t xml:space="preserve">vec01037</t>
  </si>
  <si>
    <t xml:space="preserve">řídit vozidlo</t>
  </si>
  <si>
    <t xml:space="preserve">vec00403</t>
  </si>
  <si>
    <t xml:space="preserve">cestovat</t>
  </si>
  <si>
    <t xml:space="preserve">v41puk</t>
  </si>
  <si>
    <t xml:space="preserve">projevovat</t>
  </si>
  <si>
    <t xml:space="preserve">2.5.4.</t>
  </si>
  <si>
    <t xml:space="preserve">vec00176</t>
  </si>
  <si>
    <t xml:space="preserve">udržet</t>
  </si>
  <si>
    <t xml:space="preserve">držet naživu</t>
  </si>
  <si>
    <t xml:space="preserve">2.4.2.4.1.2</t>
  </si>
  <si>
    <t xml:space="preserve">zůstat v klidu</t>
  </si>
  <si>
    <t xml:space="preserve">Antonym</t>
  </si>
  <si>
    <t xml:space="preserve">v41npz</t>
  </si>
  <si>
    <t xml:space="preserve">vec00745</t>
  </si>
  <si>
    <t xml:space="preserve">vrátit něco někde</t>
  </si>
  <si>
    <t xml:space="preserve">v41mt</t>
  </si>
  <si>
    <t xml:space="preserve">počkat někomu s něčím</t>
  </si>
  <si>
    <t xml:space="preserve">v41mbo</t>
  </si>
  <si>
    <t xml:space="preserve">vec01690</t>
  </si>
  <si>
    <t xml:space="preserve">uhodnout</t>
  </si>
  <si>
    <t xml:space="preserve">najít</t>
  </si>
  <si>
    <t xml:space="preserve">v41lrz</t>
  </si>
  <si>
    <t xml:space="preserve">vec00074</t>
  </si>
  <si>
    <t xml:space="preserve">nasypat</t>
  </si>
  <si>
    <t xml:space="preserve">Rest: sypáním</t>
  </si>
  <si>
    <t xml:space="preserve">v41cyx</t>
  </si>
  <si>
    <t xml:space="preserve">vec00465</t>
  </si>
  <si>
    <t xml:space="preserve">otevřít, načít</t>
  </si>
  <si>
    <t xml:space="preserve">Rest:sud</t>
  </si>
  <si>
    <t xml:space="preserve">v41aeh</t>
  </si>
  <si>
    <t xml:space="preserve">zavřít (dveře)</t>
  </si>
  <si>
    <t xml:space="preserve">2.4.2.2.7.12</t>
  </si>
  <si>
    <t xml:space="preserve">vec00213</t>
  </si>
  <si>
    <t xml:space="preserve">dodělat, dokončit</t>
  </si>
  <si>
    <t xml:space="preserve">zabít</t>
  </si>
  <si>
    <t xml:space="preserve">v41fem</t>
  </si>
  <si>
    <t xml:space="preserve">vec00861</t>
  </si>
  <si>
    <t xml:space="preserve">zahájit, spustit</t>
  </si>
  <si>
    <t xml:space="preserve">v41peo</t>
  </si>
  <si>
    <t xml:space="preserve">vec00507</t>
  </si>
  <si>
    <t xml:space="preserve">zapsat, zaznamenat</t>
  </si>
  <si>
    <t xml:space="preserve">v41gar</t>
  </si>
  <si>
    <t xml:space="preserve">v41iiq</t>
  </si>
  <si>
    <t xml:space="preserve">v41fdo</t>
  </si>
  <si>
    <t xml:space="preserve">vec00095</t>
  </si>
  <si>
    <t xml:space="preserve">obrátit, změnit</t>
  </si>
  <si>
    <t xml:space="preserve">vec01224</t>
  </si>
  <si>
    <t xml:space="preserve">vec01236</t>
  </si>
  <si>
    <t xml:space="preserve">obracet stránky</t>
  </si>
  <si>
    <t xml:space="preserve">v41bzw</t>
  </si>
  <si>
    <t xml:space="preserve">vec01085</t>
  </si>
  <si>
    <t xml:space="preserve">běhat</t>
  </si>
  <si>
    <t xml:space="preserve">v41mhp</t>
  </si>
  <si>
    <t xml:space="preserve">udávat někoho úřadům</t>
  </si>
  <si>
    <t xml:space="preserve">2.2.4.</t>
  </si>
  <si>
    <t xml:space="preserve">v41omp</t>
  </si>
  <si>
    <t xml:space="preserve">Rest: karetní hry</t>
  </si>
  <si>
    <t xml:space="preserve">v41pve</t>
  </si>
  <si>
    <t xml:space="preserve">vec00639</t>
  </si>
  <si>
    <t xml:space="preserve">zavadit, narazit</t>
  </si>
  <si>
    <t xml:space="preserve">v41pt</t>
  </si>
  <si>
    <t xml:space="preserve">věnovat se</t>
  </si>
  <si>
    <t xml:space="preserve">vec00434</t>
  </si>
  <si>
    <t xml:space="preserve">jít, mířit</t>
  </si>
  <si>
    <t xml:space="preserve">v41rgt</t>
  </si>
  <si>
    <t xml:space="preserve">mást, klamat</t>
  </si>
  <si>
    <t xml:space="preserve">1.1.3.2.2.5</t>
  </si>
  <si>
    <t xml:space="preserve">v41kme</t>
  </si>
  <si>
    <t xml:space="preserve">vec01906</t>
  </si>
  <si>
    <t xml:space="preserve">hubnout</t>
  </si>
  <si>
    <t xml:space="preserve">v41dwj</t>
  </si>
  <si>
    <t xml:space="preserve">vec01808</t>
  </si>
  <si>
    <t xml:space="preserve">nepostarat se (?)</t>
  </si>
  <si>
    <t xml:space="preserve">v41dkm</t>
  </si>
  <si>
    <t xml:space="preserve">nést, přemisťovat</t>
  </si>
  <si>
    <t xml:space="preserve">2.1.1.2.1</t>
  </si>
  <si>
    <t xml:space="preserve">v41omi</t>
  </si>
  <si>
    <t xml:space="preserve">žalovat, práskat</t>
  </si>
  <si>
    <t xml:space="preserve">v41mtt</t>
  </si>
  <si>
    <t xml:space="preserve">vec01013</t>
  </si>
  <si>
    <t xml:space="preserve">zadat, stanovit</t>
  </si>
  <si>
    <t xml:space="preserve">vec00228</t>
  </si>
  <si>
    <t xml:space="preserve">jmenovat</t>
  </si>
  <si>
    <t xml:space="preserve">v41jm</t>
  </si>
  <si>
    <t xml:space="preserve">tepat</t>
  </si>
  <si>
    <t xml:space="preserve">tlačit, bolet</t>
  </si>
  <si>
    <t xml:space="preserve">v41cyz</t>
  </si>
  <si>
    <t xml:space="preserve">vec01669</t>
  </si>
  <si>
    <t xml:space="preserve">natlačit, vrazit</t>
  </si>
  <si>
    <t xml:space="preserve">v41mhm</t>
  </si>
  <si>
    <t xml:space="preserve">udat tón</t>
  </si>
  <si>
    <t xml:space="preserve">v41lqk</t>
  </si>
  <si>
    <t xml:space="preserve">vec00205</t>
  </si>
  <si>
    <t xml:space="preserve">bojovat, čelit, utkat se</t>
  </si>
  <si>
    <t xml:space="preserve">v41lda</t>
  </si>
  <si>
    <t xml:space="preserve">spojit hovor</t>
  </si>
  <si>
    <t xml:space="preserve">v41rel</t>
  </si>
  <si>
    <t xml:space="preserve">vec01436</t>
  </si>
  <si>
    <t xml:space="preserve">přesvědčit se, zjistit, nabýt dojmu</t>
  </si>
  <si>
    <t xml:space="preserve">v41mup</t>
  </si>
  <si>
    <t xml:space="preserve">vec00705</t>
  </si>
  <si>
    <t xml:space="preserve">sednout si, posadit se</t>
  </si>
  <si>
    <t xml:space="preserve">v41nzv</t>
  </si>
  <si>
    <t xml:space="preserve">vec00167</t>
  </si>
  <si>
    <t xml:space="preserve">vyrůst</t>
  </si>
  <si>
    <t xml:space="preserve">v41mfs</t>
  </si>
  <si>
    <t xml:space="preserve">v41ifi</t>
  </si>
  <si>
    <t xml:space="preserve">vec01284</t>
  </si>
  <si>
    <t xml:space="preserve">odložit, přeložit</t>
  </si>
  <si>
    <t xml:space="preserve">v41qjv</t>
  </si>
  <si>
    <t xml:space="preserve">vec00735</t>
  </si>
  <si>
    <t xml:space="preserve">umístit?</t>
  </si>
  <si>
    <t xml:space="preserve">v41fhz</t>
  </si>
  <si>
    <t xml:space="preserve">vec00547</t>
  </si>
  <si>
    <t xml:space="preserve">vec01898</t>
  </si>
  <si>
    <t xml:space="preserve">trápit, vadit</t>
  </si>
  <si>
    <t xml:space="preserve">v41eeq</t>
  </si>
  <si>
    <t xml:space="preserve">vec00923</t>
  </si>
  <si>
    <t xml:space="preserve">smazat</t>
  </si>
  <si>
    <t xml:space="preserve">v41kcm</t>
  </si>
  <si>
    <t xml:space="preserve">vyrůst z dítěte v dospělého</t>
  </si>
  <si>
    <t xml:space="preserve">2.4.1.1.17</t>
  </si>
  <si>
    <t xml:space="preserve">v41fkz</t>
  </si>
  <si>
    <t xml:space="preserve">vec00794</t>
  </si>
  <si>
    <t xml:space="preserve">zpívat</t>
  </si>
  <si>
    <t xml:space="preserve">2.2.4.5</t>
  </si>
  <si>
    <t xml:space="preserve">v41mlm</t>
  </si>
  <si>
    <t xml:space="preserve">zjevit se někomu</t>
  </si>
  <si>
    <t xml:space="preserve">1.1.4.1.3.3</t>
  </si>
  <si>
    <t xml:space="preserve">v41qrm</t>
  </si>
  <si>
    <t xml:space="preserve">mluvit, změnit téma</t>
  </si>
  <si>
    <t xml:space="preserve">v41bcx</t>
  </si>
  <si>
    <t xml:space="preserve">dostihnout, dohnat</t>
  </si>
  <si>
    <t xml:space="preserve">v41rpp</t>
  </si>
  <si>
    <t xml:space="preserve">ozývat se</t>
  </si>
  <si>
    <t xml:space="preserve">2.1.2.1</t>
  </si>
  <si>
    <t xml:space="preserve">v41mlr</t>
  </si>
  <si>
    <t xml:space="preserve">v41lcu</t>
  </si>
  <si>
    <t xml:space="preserve">v41ya</t>
  </si>
  <si>
    <t xml:space="preserve">dostihnout, doběhnout</t>
  </si>
  <si>
    <t xml:space="preserve">v41jee</t>
  </si>
  <si>
    <t xml:space="preserve">vec00022</t>
  </si>
  <si>
    <t xml:space="preserve">vydat se, jet</t>
  </si>
  <si>
    <t xml:space="preserve">v41fji</t>
  </si>
  <si>
    <t xml:space="preserve">hodit se, padnout, sedět</t>
  </si>
  <si>
    <t xml:space="preserve">v41bbq</t>
  </si>
  <si>
    <t xml:space="preserve">nechápu význam</t>
  </si>
  <si>
    <t xml:space="preserve">v41qai</t>
  </si>
  <si>
    <t xml:space="preserve">zkrátit šitím</t>
  </si>
  <si>
    <t xml:space="preserve">označit záložkou</t>
  </si>
  <si>
    <t xml:space="preserve">2.4.2.2.7.8</t>
  </si>
  <si>
    <t xml:space="preserve">v41hpc</t>
  </si>
  <si>
    <t xml:space="preserve">zakecat se</t>
  </si>
  <si>
    <t xml:space="preserve">2.2.4.2</t>
  </si>
  <si>
    <t xml:space="preserve">v41nqc</t>
  </si>
  <si>
    <t xml:space="preserve">vejít, vstoupit</t>
  </si>
  <si>
    <t xml:space="preserve">v41pws</t>
  </si>
  <si>
    <t xml:space="preserve">v41fjz</t>
  </si>
  <si>
    <t xml:space="preserve">týkat se, vztahovat se</t>
  </si>
  <si>
    <t xml:space="preserve">v41zh</t>
  </si>
  <si>
    <t xml:space="preserve">domluvit, doříci</t>
  </si>
  <si>
    <t xml:space="preserve">v41pac</t>
  </si>
  <si>
    <t xml:space="preserve">vec00872</t>
  </si>
  <si>
    <t xml:space="preserve">posypat, pokrýt</t>
  </si>
  <si>
    <t xml:space="preserve">v41evg</t>
  </si>
  <si>
    <t xml:space="preserve">vec00628</t>
  </si>
  <si>
    <t xml:space="preserve">léčit operací</t>
  </si>
  <si>
    <t xml:space="preserve">Rest: chirurgicky</t>
  </si>
  <si>
    <t xml:space="preserve">v41kfh</t>
  </si>
  <si>
    <t xml:space="preserve">umisťovat</t>
  </si>
  <si>
    <t xml:space="preserve">v41axc</t>
  </si>
  <si>
    <t xml:space="preserve">vec00687</t>
  </si>
  <si>
    <t xml:space="preserve">chytat, lovit, stíhat</t>
  </si>
  <si>
    <t xml:space="preserve">v41hyf</t>
  </si>
  <si>
    <t xml:space="preserve">zahrát, odehrát roli</t>
  </si>
  <si>
    <t xml:space="preserve">vec00194</t>
  </si>
  <si>
    <t xml:space="preserve">znamenat</t>
  </si>
  <si>
    <t xml:space="preserve">v41haa</t>
  </si>
  <si>
    <t xml:space="preserve">v41lgu</t>
  </si>
  <si>
    <t xml:space="preserve">vyrovnat skóre</t>
  </si>
  <si>
    <t xml:space="preserve">2.4.3.1.4</t>
  </si>
  <si>
    <t xml:space="preserve">skládat, sestavit</t>
  </si>
  <si>
    <t xml:space="preserve">v41iwn</t>
  </si>
  <si>
    <t xml:space="preserve">vec01784</t>
  </si>
  <si>
    <t xml:space="preserve">napustit, dolít</t>
  </si>
  <si>
    <t xml:space="preserve">spářit</t>
  </si>
  <si>
    <t xml:space="preserve">2.1.5.3</t>
  </si>
  <si>
    <t xml:space="preserve">v41aly</t>
  </si>
  <si>
    <t xml:space="preserve">trápit</t>
  </si>
  <si>
    <t xml:space="preserve">v41eal</t>
  </si>
  <si>
    <t xml:space="preserve">skončit</t>
  </si>
  <si>
    <t xml:space="preserve">2.9.2.</t>
  </si>
  <si>
    <t xml:space="preserve">v41lxe</t>
  </si>
  <si>
    <t xml:space="preserve">pohybovat se ve formě tekutiny</t>
  </si>
  <si>
    <t xml:space="preserve">2.1.1.1.1.2</t>
  </si>
  <si>
    <t xml:space="preserve">v41pfo</t>
  </si>
  <si>
    <t xml:space="preserve">vec00172</t>
  </si>
  <si>
    <t xml:space="preserve">vyvést, odvést</t>
  </si>
  <si>
    <t xml:space="preserve">v41axj</t>
  </si>
  <si>
    <t xml:space="preserve">sálat, žhnout, mít horečku</t>
  </si>
  <si>
    <t xml:space="preserve">1.1.1.3</t>
  </si>
  <si>
    <t xml:space="preserve">v41jql</t>
  </si>
  <si>
    <t xml:space="preserve">vec00106</t>
  </si>
  <si>
    <t xml:space="preserve">vybírat, rozhodnout</t>
  </si>
  <si>
    <t xml:space="preserve">v41rf</t>
  </si>
  <si>
    <t xml:space="preserve">změna počasí</t>
  </si>
  <si>
    <t xml:space="preserve">2.1.6.1</t>
  </si>
  <si>
    <t xml:space="preserve">v41blg</t>
  </si>
  <si>
    <t xml:space="preserve">vec00552</t>
  </si>
  <si>
    <t xml:space="preserve">vyklepat od nečistot</t>
  </si>
  <si>
    <t xml:space="preserve">v41nyu</t>
  </si>
  <si>
    <t xml:space="preserve">propustit z práce</t>
  </si>
  <si>
    <t xml:space="preserve">2.1.4.4.2</t>
  </si>
  <si>
    <t xml:space="preserve">v41he</t>
  </si>
  <si>
    <t xml:space="preserve">vec01954</t>
  </si>
  <si>
    <t xml:space="preserve">praštit</t>
  </si>
  <si>
    <t xml:space="preserve">v41nlt</t>
  </si>
  <si>
    <t xml:space="preserve">vec01145</t>
  </si>
  <si>
    <t xml:space="preserve">vítat se, zdravit se</t>
  </si>
  <si>
    <t xml:space="preserve">v41hsp</t>
  </si>
  <si>
    <t xml:space="preserve">zažít</t>
  </si>
  <si>
    <t xml:space="preserve">v41nhh</t>
  </si>
  <si>
    <t xml:space="preserve">vec00149</t>
  </si>
  <si>
    <t xml:space="preserve">zvážit, uvážit</t>
  </si>
  <si>
    <t xml:space="preserve">v41pej</t>
  </si>
  <si>
    <t xml:space="preserve">vec00206</t>
  </si>
  <si>
    <t xml:space="preserve">činit, dělat</t>
  </si>
  <si>
    <t xml:space="preserve">v41ove</t>
  </si>
  <si>
    <t xml:space="preserve">vec00162</t>
  </si>
  <si>
    <t xml:space="preserve">projednat</t>
  </si>
  <si>
    <t xml:space="preserve">v41llj</t>
  </si>
  <si>
    <t xml:space="preserve">šlápnout, dupnout</t>
  </si>
  <si>
    <t xml:space="preserve">2.1.1.1.1.2.5</t>
  </si>
  <si>
    <t xml:space="preserve">v41cdp</t>
  </si>
  <si>
    <t xml:space="preserve">vec00638</t>
  </si>
  <si>
    <t xml:space="preserve">namalovat, nakreslit</t>
  </si>
  <si>
    <t xml:space="preserve">v41mkt</t>
  </si>
  <si>
    <t xml:space="preserve">vec00734</t>
  </si>
  <si>
    <t xml:space="preserve">uklouznout</t>
  </si>
  <si>
    <t xml:space="preserve">v41gus</t>
  </si>
  <si>
    <t xml:space="preserve">vec00197</t>
  </si>
  <si>
    <t xml:space="preserve">vzniknout, vzejít, zrodit se</t>
  </si>
  <si>
    <t xml:space="preserve">vec00390</t>
  </si>
  <si>
    <t xml:space="preserve">vzpamatovat se, oklepat se</t>
  </si>
  <si>
    <t xml:space="preserve">v41hea</t>
  </si>
  <si>
    <t xml:space="preserve">vec00429</t>
  </si>
  <si>
    <t xml:space="preserve">vyměnit</t>
  </si>
  <si>
    <t xml:space="preserve">v41clp</t>
  </si>
  <si>
    <t xml:space="preserve">šít, řasit</t>
  </si>
  <si>
    <t xml:space="preserve">v41dux</t>
  </si>
  <si>
    <t xml:space="preserve">vec01630</t>
  </si>
  <si>
    <t xml:space="preserve">znejistět</t>
  </si>
  <si>
    <t xml:space="preserve">v41huv</t>
  </si>
  <si>
    <t xml:space="preserve">vec00690</t>
  </si>
  <si>
    <t xml:space="preserve">předčítat</t>
  </si>
  <si>
    <t xml:space="preserve">v41flf</t>
  </si>
  <si>
    <t xml:space="preserve">bolet</t>
  </si>
  <si>
    <t xml:space="preserve">v41lc</t>
  </si>
  <si>
    <t xml:space="preserve">vec00204</t>
  </si>
  <si>
    <t xml:space="preserve">připadat si</t>
  </si>
  <si>
    <t xml:space="preserve">v41qks</t>
  </si>
  <si>
    <t xml:space="preserve">vec01549</t>
  </si>
  <si>
    <t xml:space="preserve">dusit se</t>
  </si>
  <si>
    <t xml:space="preserve">v41jrv</t>
  </si>
  <si>
    <t xml:space="preserve">vec01305</t>
  </si>
  <si>
    <t xml:space="preserve">dělit se</t>
  </si>
  <si>
    <t xml:space="preserve">v41qut</t>
  </si>
  <si>
    <t xml:space="preserve">zapsat</t>
  </si>
  <si>
    <t xml:space="preserve">Rest: in written form</t>
  </si>
  <si>
    <t xml:space="preserve">v41pxr</t>
  </si>
  <si>
    <t xml:space="preserve">zahrabat, pohřbít</t>
  </si>
  <si>
    <t xml:space="preserve">2.1.1.2.2</t>
  </si>
  <si>
    <t xml:space="preserve">v41qid</t>
  </si>
  <si>
    <t xml:space="preserve">umístit bodnutím</t>
  </si>
  <si>
    <t xml:space="preserve">2.1.1.2.2.2</t>
  </si>
  <si>
    <t xml:space="preserve">v41hve</t>
  </si>
  <si>
    <t xml:space="preserve">oznámit</t>
  </si>
  <si>
    <t xml:space="preserve">v41qkk</t>
  </si>
  <si>
    <t xml:space="preserve">trhnout udicí (rybolov)</t>
  </si>
  <si>
    <t xml:space="preserve">2.1.3.2</t>
  </si>
  <si>
    <t xml:space="preserve">v41pna</t>
  </si>
  <si>
    <t xml:space="preserve">nadchnout se, zaujmout se</t>
  </si>
  <si>
    <t xml:space="preserve">vec01870</t>
  </si>
  <si>
    <t xml:space="preserve">rozvášnit se</t>
  </si>
  <si>
    <t xml:space="preserve">v41llg</t>
  </si>
  <si>
    <t xml:space="preserve">lyžovat</t>
  </si>
  <si>
    <t xml:space="preserve">2.1.1.1.1.1.3</t>
  </si>
  <si>
    <t xml:space="preserve">v41bam</t>
  </si>
  <si>
    <t xml:space="preserve">rozumět něčím něco</t>
  </si>
  <si>
    <t xml:space="preserve">2.2.3.1</t>
  </si>
  <si>
    <t xml:space="preserve">v41ldq</t>
  </si>
  <si>
    <t xml:space="preserve">nevyslovit</t>
  </si>
  <si>
    <t xml:space="preserve">v41nvs</t>
  </si>
  <si>
    <t xml:space="preserve">vec00847</t>
  </si>
  <si>
    <t xml:space="preserve">odčerpat, vysát</t>
  </si>
  <si>
    <t xml:space="preserve">v41fea</t>
  </si>
  <si>
    <t xml:space="preserve">setřást, sklepat</t>
  </si>
  <si>
    <t xml:space="preserve">2.4.4.2.1.2</t>
  </si>
  <si>
    <t xml:space="preserve">v41rjc</t>
  </si>
  <si>
    <t xml:space="preserve">zanechat, vzdát</t>
  </si>
  <si>
    <t xml:space="preserve">v41hjh</t>
  </si>
  <si>
    <t xml:space="preserve">vec00467</t>
  </si>
  <si>
    <t xml:space="preserve">spadnout</t>
  </si>
  <si>
    <t xml:space="preserve">v41fph</t>
  </si>
  <si>
    <t xml:space="preserve">vec00203</t>
  </si>
  <si>
    <t xml:space="preserve">cítit (čich)</t>
  </si>
  <si>
    <t xml:space="preserve">v41hxe</t>
  </si>
  <si>
    <t xml:space="preserve">vec00557</t>
  </si>
  <si>
    <t xml:space="preserve">vec01353</t>
  </si>
  <si>
    <t xml:space="preserve">vykládat, vyprávět</t>
  </si>
  <si>
    <t xml:space="preserve">v41hvh</t>
  </si>
  <si>
    <t xml:space="preserve">oznamovat</t>
  </si>
  <si>
    <t xml:space="preserve">v41ian</t>
  </si>
  <si>
    <t xml:space="preserve">zahrát</t>
  </si>
  <si>
    <t xml:space="preserve">Rest: přehnaně</t>
  </si>
  <si>
    <t xml:space="preserve">v41lcq</t>
  </si>
  <si>
    <t xml:space="preserve">nacházet se, ležet</t>
  </si>
  <si>
    <t xml:space="preserve">v41jyx</t>
  </si>
  <si>
    <t xml:space="preserve">rozšířit zprávu o něčem/někom</t>
  </si>
  <si>
    <t xml:space="preserve">2.2.4.1.16</t>
  </si>
  <si>
    <t xml:space="preserve">v41dfu</t>
  </si>
  <si>
    <t xml:space="preserve">nastavit, prodloužit</t>
  </si>
  <si>
    <t xml:space="preserve">2.4.2.2.7</t>
  </si>
  <si>
    <t xml:space="preserve">v41qdy</t>
  </si>
  <si>
    <t xml:space="preserve">mizet</t>
  </si>
  <si>
    <t xml:space="preserve">v41kax</t>
  </si>
  <si>
    <t xml:space="preserve">rozmluvit</t>
  </si>
  <si>
    <t xml:space="preserve">v41mqu</t>
  </si>
  <si>
    <t xml:space="preserve">vec00899</t>
  </si>
  <si>
    <t xml:space="preserve">připevnit</t>
  </si>
  <si>
    <t xml:space="preserve">v41ipf</t>
  </si>
  <si>
    <t xml:space="preserve">zabrzdit, zbrzdit, zpomalit</t>
  </si>
  <si>
    <t xml:space="preserve">2.1.1.</t>
  </si>
  <si>
    <t xml:space="preserve">v41rua</t>
  </si>
  <si>
    <t xml:space="preserve">ovlivnit</t>
  </si>
  <si>
    <t xml:space="preserve">v41kfq</t>
  </si>
  <si>
    <t xml:space="preserve">vec00443</t>
  </si>
  <si>
    <t xml:space="preserve">nashromáždit</t>
  </si>
  <si>
    <t xml:space="preserve">v41bhr</t>
  </si>
  <si>
    <t xml:space="preserve">pojednávat</t>
  </si>
  <si>
    <t xml:space="preserve">2.2.</t>
  </si>
  <si>
    <t xml:space="preserve">v41bia</t>
  </si>
  <si>
    <t xml:space="preserve">trčet, vstávat</t>
  </si>
  <si>
    <t xml:space="preserve">v41ahv</t>
  </si>
  <si>
    <t xml:space="preserve">vec00994</t>
  </si>
  <si>
    <t xml:space="preserve">zmínit se, odkázat na, vzpomenout</t>
  </si>
  <si>
    <t xml:space="preserve">v41gaf</t>
  </si>
  <si>
    <t xml:space="preserve">vec00043</t>
  </si>
  <si>
    <t xml:space="preserve">nazvat</t>
  </si>
  <si>
    <t xml:space="preserve">v41eoy</t>
  </si>
  <si>
    <t xml:space="preserve">vec00021</t>
  </si>
  <si>
    <t xml:space="preserve">shánět, hledat</t>
  </si>
  <si>
    <t xml:space="preserve">v41qdn</t>
  </si>
  <si>
    <t xml:space="preserve">vypršet, skončit</t>
  </si>
  <si>
    <t xml:space="preserve">2.4.4.2.1</t>
  </si>
  <si>
    <t xml:space="preserve">v41kr</t>
  </si>
  <si>
    <t xml:space="preserve">mířit, směrovat</t>
  </si>
  <si>
    <t xml:space="preserve">v41ifj</t>
  </si>
  <si>
    <t xml:space="preserve">vec01520</t>
  </si>
  <si>
    <t xml:space="preserve">šířit se</t>
  </si>
  <si>
    <t xml:space="preserve">v41fnv</t>
  </si>
  <si>
    <t xml:space="preserve">vytvářet, produkovat</t>
  </si>
  <si>
    <t xml:space="preserve">vec00196</t>
  </si>
  <si>
    <t xml:space="preserve">způsobit</t>
  </si>
  <si>
    <t xml:space="preserve">v41lhk</t>
  </si>
  <si>
    <t xml:space="preserve">vec01368</t>
  </si>
  <si>
    <t xml:space="preserve">zacelit se</t>
  </si>
  <si>
    <t xml:space="preserve">v41npu</t>
  </si>
  <si>
    <t xml:space="preserve">restaurovat</t>
  </si>
  <si>
    <t xml:space="preserve">nebo možná 2.4.2.4.1.3.2</t>
  </si>
  <si>
    <t xml:space="preserve">v41jup</t>
  </si>
  <si>
    <t xml:space="preserve">v41qlr</t>
  </si>
  <si>
    <t xml:space="preserve">Rest: spaním</t>
  </si>
  <si>
    <t xml:space="preserve">Rest: ve spánku</t>
  </si>
  <si>
    <t xml:space="preserve">v41nxb</t>
  </si>
  <si>
    <t xml:space="preserve">vydat se (z)</t>
  </si>
  <si>
    <t xml:space="preserve">2.4.1.2.8</t>
  </si>
  <si>
    <t xml:space="preserve">v41krs</t>
  </si>
  <si>
    <t xml:space="preserve">vec00514</t>
  </si>
  <si>
    <t xml:space="preserve">tajit</t>
  </si>
  <si>
    <t xml:space="preserve">v41kmy</t>
  </si>
  <si>
    <t xml:space="preserve">vec01106</t>
  </si>
  <si>
    <t xml:space="preserve">shodit</t>
  </si>
  <si>
    <t xml:space="preserve">v41ach</t>
  </si>
  <si>
    <t xml:space="preserve">zaplatit</t>
  </si>
  <si>
    <t xml:space="preserve">v41ens</t>
  </si>
  <si>
    <t xml:space="preserve">vec00251</t>
  </si>
  <si>
    <t xml:space="preserve">odradit</t>
  </si>
  <si>
    <t xml:space="preserve">v41icr</t>
  </si>
  <si>
    <t xml:space="preserve">zakrýt, pokrýt</t>
  </si>
  <si>
    <t xml:space="preserve">v41pxt</t>
  </si>
  <si>
    <t xml:space="preserve">narážet na abstraktní překážku</t>
  </si>
  <si>
    <t xml:space="preserve">v41gx</t>
  </si>
  <si>
    <t xml:space="preserve">zažívat bolest/útrapy od někoho</t>
  </si>
  <si>
    <t xml:space="preserve">2.5.3.</t>
  </si>
  <si>
    <t xml:space="preserve">v41lbn</t>
  </si>
  <si>
    <t xml:space="preserve">oplácet</t>
  </si>
  <si>
    <t xml:space="preserve">2.5.7.1</t>
  </si>
  <si>
    <t xml:space="preserve">v41mur</t>
  </si>
  <si>
    <t xml:space="preserve">v41fgn</t>
  </si>
  <si>
    <t xml:space="preserve">vec01245</t>
  </si>
  <si>
    <t xml:space="preserve">ohlásit se</t>
  </si>
  <si>
    <t xml:space="preserve">nejspíš by bylo dobré změnit Roleset na Communicator a Audience_Addressee</t>
  </si>
  <si>
    <t xml:space="preserve">v41ofe</t>
  </si>
  <si>
    <t xml:space="preserve">vec00924</t>
  </si>
  <si>
    <t xml:space="preserve">vystěhovat</t>
  </si>
  <si>
    <t xml:space="preserve">v41ldb</t>
  </si>
  <si>
    <t xml:space="preserve">telefonovat</t>
  </si>
  <si>
    <t xml:space="preserve">v41pjt</t>
  </si>
  <si>
    <t xml:space="preserve">v41qel</t>
  </si>
  <si>
    <t xml:space="preserve">zazpívat</t>
  </si>
  <si>
    <t xml:space="preserve">2.1.5.1.1.3</t>
  </si>
  <si>
    <t xml:space="preserve">v41mcc</t>
  </si>
  <si>
    <t xml:space="preserve">nefungovat</t>
  </si>
  <si>
    <t xml:space="preserve">v41qif</t>
  </si>
  <si>
    <t xml:space="preserve">v41mer</t>
  </si>
  <si>
    <t xml:space="preserve">učinit tvrdším</t>
  </si>
  <si>
    <t xml:space="preserve">2.1.5.2.1</t>
  </si>
  <si>
    <t xml:space="preserve">Nebo 2.4.2.2.7</t>
  </si>
  <si>
    <t xml:space="preserve">tvrdit muziku</t>
  </si>
  <si>
    <t xml:space="preserve">v41tu</t>
  </si>
  <si>
    <t xml:space="preserve">vec00607</t>
  </si>
  <si>
    <t xml:space="preserve">dostancovat se</t>
  </si>
  <si>
    <t xml:space="preserve">v41ckm</t>
  </si>
  <si>
    <t xml:space="preserve">vec01228</t>
  </si>
  <si>
    <t xml:space="preserve">představovat si, mít na mysli</t>
  </si>
  <si>
    <t xml:space="preserve">v41eyh</t>
  </si>
  <si>
    <t xml:space="preserve">směrovat, namířit</t>
  </si>
  <si>
    <t xml:space="preserve">2.1.5.1.2</t>
  </si>
  <si>
    <t xml:space="preserve">v41qbt</t>
  </si>
  <si>
    <t xml:space="preserve">zaměřovat pozornost, odpor…</t>
  </si>
  <si>
    <t xml:space="preserve">v41qnz</t>
  </si>
  <si>
    <t xml:space="preserve">vec01529</t>
  </si>
  <si>
    <t xml:space="preserve">šeptat</t>
  </si>
  <si>
    <t xml:space="preserve">v41cps</t>
  </si>
  <si>
    <t xml:space="preserve">brát, hledět na něco nějak</t>
  </si>
  <si>
    <t xml:space="preserve">v41pze</t>
  </si>
  <si>
    <t xml:space="preserve">zabrat se, pohltit, vtáhnout</t>
  </si>
  <si>
    <t xml:space="preserve">2.2.5.4</t>
  </si>
  <si>
    <t xml:space="preserve">v41ndq</t>
  </si>
  <si>
    <t xml:space="preserve">v41ijp</t>
  </si>
  <si>
    <t xml:space="preserve">překonat, přetéci</t>
  </si>
  <si>
    <t xml:space="preserve">v41cvd</t>
  </si>
  <si>
    <t xml:space="preserve">vec00835</t>
  </si>
  <si>
    <t xml:space="preserve">mířit</t>
  </si>
  <si>
    <t xml:space="preserve">v41jjc</t>
  </si>
  <si>
    <t xml:space="preserve">vec01246</t>
  </si>
  <si>
    <t xml:space="preserve">množit, kopírovat</t>
  </si>
  <si>
    <t xml:space="preserve">v41azn</t>
  </si>
  <si>
    <t xml:space="preserve">vec00592</t>
  </si>
  <si>
    <t xml:space="preserve">vec01254</t>
  </si>
  <si>
    <t xml:space="preserve">znít hřmotně</t>
  </si>
  <si>
    <t xml:space="preserve">Rest: hřmotně</t>
  </si>
  <si>
    <t xml:space="preserve">v41gys</t>
  </si>
  <si>
    <t xml:space="preserve">říkat</t>
  </si>
  <si>
    <t xml:space="preserve">v41iag</t>
  </si>
  <si>
    <t xml:space="preserve">přehodi překážku</t>
  </si>
  <si>
    <t xml:space="preserve">2.1.1.2.2.1.2</t>
  </si>
  <si>
    <t xml:space="preserve">v41sba</t>
  </si>
  <si>
    <t xml:space="preserve">vzbudit naděje</t>
  </si>
  <si>
    <t xml:space="preserve">Rest: naděje</t>
  </si>
  <si>
    <t xml:space="preserve">v41cbr</t>
  </si>
  <si>
    <t xml:space="preserve">vec01227</t>
  </si>
  <si>
    <t xml:space="preserve">škrtnout, zavadit, těsně trefit</t>
  </si>
  <si>
    <t xml:space="preserve">Antonym; Rest: těsně</t>
  </si>
  <si>
    <t xml:space="preserve">v41akx</t>
  </si>
  <si>
    <t xml:space="preserve">vec00318</t>
  </si>
  <si>
    <t xml:space="preserve">spojit se</t>
  </si>
  <si>
    <t xml:space="preserve">v41fmc</t>
  </si>
  <si>
    <t xml:space="preserve">mluvit, mlít</t>
  </si>
  <si>
    <t xml:space="preserve">v41onn</t>
  </si>
  <si>
    <t xml:space="preserve">nahrát, načíst na CD</t>
  </si>
  <si>
    <t xml:space="preserve">2.1.1.2.2.13</t>
  </si>
  <si>
    <t xml:space="preserve">v41phr</t>
  </si>
  <si>
    <t xml:space="preserve">vec00555</t>
  </si>
  <si>
    <t xml:space="preserve">vyloučit</t>
  </si>
  <si>
    <t xml:space="preserve">zvracet</t>
  </si>
  <si>
    <t xml:space="preserve">2.6.2.2</t>
  </si>
  <si>
    <t xml:space="preserve">v41bxx</t>
  </si>
  <si>
    <t xml:space="preserve">naladit hudební nástroj</t>
  </si>
  <si>
    <t xml:space="preserve">2.4.2.2.5</t>
  </si>
  <si>
    <t xml:space="preserve">vec01908</t>
  </si>
  <si>
    <t xml:space="preserve">zlepšovat, tříbit</t>
  </si>
  <si>
    <t xml:space="preserve">v41lmj</t>
  </si>
  <si>
    <t xml:space="preserve">dávat</t>
  </si>
  <si>
    <t xml:space="preserve">v41hqj</t>
  </si>
  <si>
    <t xml:space="preserve">vec01276</t>
  </si>
  <si>
    <t xml:space="preserve">proděravět</t>
  </si>
  <si>
    <t xml:space="preserve">vyjednotit?</t>
  </si>
  <si>
    <t xml:space="preserve">2.1.4.4.1.2</t>
  </si>
  <si>
    <t xml:space="preserve">v41qnf</t>
  </si>
  <si>
    <t xml:space="preserve">v41cok</t>
  </si>
  <si>
    <t xml:space="preserve">vec00634</t>
  </si>
  <si>
    <t xml:space="preserve">nadsazovat</t>
  </si>
  <si>
    <t xml:space="preserve">v41qnv</t>
  </si>
  <si>
    <t xml:space="preserve">pokrýt práškem</t>
  </si>
  <si>
    <t xml:space="preserve">Rest: práškem</t>
  </si>
  <si>
    <t xml:space="preserve">v41gk</t>
  </si>
  <si>
    <t xml:space="preserve">v41giy</t>
  </si>
  <si>
    <t xml:space="preserve">vec00930</t>
  </si>
  <si>
    <t xml:space="preserve">srazit (k zemi)</t>
  </si>
  <si>
    <t xml:space="preserve">v41qfx</t>
  </si>
  <si>
    <t xml:space="preserve">sepnout</t>
  </si>
  <si>
    <t xml:space="preserve">2.1.3.4</t>
  </si>
  <si>
    <t xml:space="preserve">v41bkh</t>
  </si>
  <si>
    <t xml:space="preserve">mluvit s někým o něčem</t>
  </si>
  <si>
    <t xml:space="preserve">v41lgc</t>
  </si>
  <si>
    <t xml:space="preserve">mravně se zkazit, začít si něco s někým</t>
  </si>
  <si>
    <t xml:space="preserve">v41foq</t>
  </si>
  <si>
    <t xml:space="preserve">vec00280</t>
  </si>
  <si>
    <t xml:space="preserve">překonat, předstihnout</t>
  </si>
  <si>
    <t xml:space="preserve">jestli správně rozumím významu</t>
  </si>
  <si>
    <t xml:space="preserve">v41poq</t>
  </si>
  <si>
    <t xml:space="preserve">vec01726</t>
  </si>
  <si>
    <t xml:space="preserve">zacementovat</t>
  </si>
  <si>
    <t xml:space="preserve">v41ebv</t>
  </si>
  <si>
    <t xml:space="preserve">vec00854</t>
  </si>
  <si>
    <t xml:space="preserve">odvést, odvrátit</t>
  </si>
  <si>
    <t xml:space="preserve">v41pdc</t>
  </si>
  <si>
    <t xml:space="preserve">vytknout před závorku</t>
  </si>
  <si>
    <t xml:space="preserve">v41owt</t>
  </si>
  <si>
    <t xml:space="preserve">vec00069</t>
  </si>
  <si>
    <t xml:space="preserve">vyjádřit podporu, důvěru etc.</t>
  </si>
  <si>
    <t xml:space="preserve">v41adx</t>
  </si>
  <si>
    <t xml:space="preserve">hrát s někým hudbu</t>
  </si>
  <si>
    <t xml:space="preserve">v41pun</t>
  </si>
  <si>
    <t xml:space="preserve">vec00014</t>
  </si>
  <si>
    <t xml:space="preserve">udržovat</t>
  </si>
  <si>
    <t xml:space="preserve">v41qet</t>
  </si>
  <si>
    <t xml:space="preserve">vec01345</t>
  </si>
  <si>
    <t xml:space="preserve">vepsat, zaznamenat</t>
  </si>
  <si>
    <t xml:space="preserve">v41quw</t>
  </si>
  <si>
    <t xml:space="preserve">v41pwz</t>
  </si>
  <si>
    <t xml:space="preserve">pojistit</t>
  </si>
  <si>
    <t xml:space="preserve">2.2.5.1.1.4</t>
  </si>
  <si>
    <t xml:space="preserve">v41azq</t>
  </si>
  <si>
    <t xml:space="preserve">vydávat hučivý zvuk</t>
  </si>
  <si>
    <t xml:space="preserve">v41oyx</t>
  </si>
  <si>
    <t xml:space="preserve">tvořit vystřiháváním</t>
  </si>
  <si>
    <t xml:space="preserve">měnit stříháním</t>
  </si>
  <si>
    <t xml:space="preserve">Rest: stříháním</t>
  </si>
  <si>
    <t xml:space="preserve">v41isr</t>
  </si>
  <si>
    <t xml:space="preserve">vec00637</t>
  </si>
  <si>
    <t xml:space="preserve">naklonit se</t>
  </si>
  <si>
    <t xml:space="preserve">v41hlw</t>
  </si>
  <si>
    <t xml:space="preserve">vec01968</t>
  </si>
  <si>
    <t xml:space="preserve">zarůstat</t>
  </si>
  <si>
    <t xml:space="preserve">v41oyk</t>
  </si>
  <si>
    <t xml:space="preserve">vec00109</t>
  </si>
  <si>
    <t xml:space="preserve">v41ish</t>
  </si>
  <si>
    <t xml:space="preserve">v41qkj</t>
  </si>
  <si>
    <t xml:space="preserve">sednout si, obsadit</t>
  </si>
  <si>
    <t xml:space="preserve">v41gae</t>
  </si>
  <si>
    <t xml:space="preserve">určit, označit</t>
  </si>
  <si>
    <t xml:space="preserve">2.2.4.4.9</t>
  </si>
  <si>
    <t xml:space="preserve">v41bzk</t>
  </si>
  <si>
    <t xml:space="preserve">obešít lemem</t>
  </si>
  <si>
    <t xml:space="preserve">2.1.5.1.2.3</t>
  </si>
  <si>
    <t xml:space="preserve">v41dcl</t>
  </si>
  <si>
    <t xml:space="preserve">v41jpe</t>
  </si>
  <si>
    <t xml:space="preserve">rozmístit</t>
  </si>
  <si>
    <t xml:space="preserve">v41kzd</t>
  </si>
  <si>
    <t xml:space="preserve">vec00710</t>
  </si>
  <si>
    <t xml:space="preserve">shromáždit se</t>
  </si>
  <si>
    <t xml:space="preserve">v41mgc</t>
  </si>
  <si>
    <t xml:space="preserve">v41qnb</t>
  </si>
  <si>
    <t xml:space="preserve">nechápu, v příkladech je jiné sloveso s odlišným významem</t>
  </si>
  <si>
    <t xml:space="preserve">vec00366</t>
  </si>
  <si>
    <t xml:space="preserve">zahrnout</t>
  </si>
  <si>
    <t xml:space="preserve">nejsem si jistý významem</t>
  </si>
  <si>
    <t xml:space="preserve">v41lvy</t>
  </si>
  <si>
    <t xml:space="preserve">šeptat někomu</t>
  </si>
  <si>
    <t xml:space="preserve">v41ipj</t>
  </si>
  <si>
    <t xml:space="preserve">tloustnout</t>
  </si>
  <si>
    <t xml:space="preserve">v41pwe</t>
  </si>
  <si>
    <t xml:space="preserve">zacházet do krajností</t>
  </si>
  <si>
    <t xml:space="preserve">2.9.11.</t>
  </si>
  <si>
    <t xml:space="preserve">v41qwu</t>
  </si>
  <si>
    <t xml:space="preserve">vec00337</t>
  </si>
  <si>
    <t xml:space="preserve">zrychlit</t>
  </si>
  <si>
    <t xml:space="preserve">v41eyl</t>
  </si>
  <si>
    <t xml:space="preserve">vec01698</t>
  </si>
  <si>
    <t xml:space="preserve">ubrat</t>
  </si>
  <si>
    <t xml:space="preserve">vec00118</t>
  </si>
  <si>
    <t xml:space="preserve">snížit</t>
  </si>
  <si>
    <t xml:space="preserve">v41hdg</t>
  </si>
  <si>
    <t xml:space="preserve">v41lx</t>
  </si>
  <si>
    <t xml:space="preserve">škubat</t>
  </si>
  <si>
    <t xml:space="preserve">v41gig</t>
  </si>
  <si>
    <t xml:space="preserve">vec01646</t>
  </si>
  <si>
    <t xml:space="preserve">podnítit</t>
  </si>
  <si>
    <t xml:space="preserve">v41hno</t>
  </si>
  <si>
    <t xml:space="preserve">vec00147</t>
  </si>
  <si>
    <t xml:space="preserve">utratit peníze stavěním</t>
  </si>
  <si>
    <t xml:space="preserve">Rest: stavěním</t>
  </si>
  <si>
    <t xml:space="preserve">v41hyy</t>
  </si>
  <si>
    <t xml:space="preserve">určit, vnuknout</t>
  </si>
  <si>
    <t xml:space="preserve">2.5.5.1.2</t>
  </si>
  <si>
    <t xml:space="preserve">určit, jmenovat</t>
  </si>
  <si>
    <t xml:space="preserve">v41hyz</t>
  </si>
  <si>
    <t xml:space="preserve">v41olb</t>
  </si>
  <si>
    <t xml:space="preserve">vec00819</t>
  </si>
  <si>
    <t xml:space="preserve">odhodit</t>
  </si>
  <si>
    <t xml:space="preserve">v41hme</t>
  </si>
  <si>
    <t xml:space="preserve">vec00476</t>
  </si>
  <si>
    <t xml:space="preserve">nasáknout</t>
  </si>
  <si>
    <t xml:space="preserve">v41efe</t>
  </si>
  <si>
    <t xml:space="preserve">vec00380</t>
  </si>
  <si>
    <t xml:space="preserve">zbavit se někoho</t>
  </si>
  <si>
    <t xml:space="preserve">v41gxh</t>
  </si>
  <si>
    <t xml:space="preserve">vec01194</t>
  </si>
  <si>
    <t xml:space="preserve">zdvihnout</t>
  </si>
  <si>
    <t xml:space="preserve">v41ioz</t>
  </si>
  <si>
    <t xml:space="preserve">vec01668</t>
  </si>
  <si>
    <t xml:space="preserve">přiblížit, připodobnit</t>
  </si>
  <si>
    <t xml:space="preserve">abstract, metaphorical</t>
  </si>
  <si>
    <t xml:space="preserve">v41rlq</t>
  </si>
  <si>
    <t xml:space="preserve">ovládnout, chopit se</t>
  </si>
  <si>
    <t xml:space="preserve">1.1.3.2</t>
  </si>
  <si>
    <t xml:space="preserve">v41fdy</t>
  </si>
  <si>
    <t xml:space="preserve">sundat třesením</t>
  </si>
  <si>
    <t xml:space="preserve">Rest: třesením</t>
  </si>
  <si>
    <t xml:space="preserve">v41oho</t>
  </si>
  <si>
    <t xml:space="preserve">vec00764</t>
  </si>
  <si>
    <t xml:space="preserve">vytrhnout</t>
  </si>
  <si>
    <t xml:space="preserve">vec00732</t>
  </si>
  <si>
    <t xml:space="preserve">těžit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</si>
</sst>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d/mmm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6"/>
  <sheetViews>
    <sheetView showFormulas="false" showGridLines="true" showRowColHeaders="true" showZeros="true" rightToLeft="false" tabSelected="true" showOutlineSymbols="true" defaultGridColor="true" view="normal" topLeftCell="F352" colorId="64" zoomScale="100" zoomScaleNormal="100" zoomScalePageLayoutView="100" workbookViewId="0">
      <selection pane="topLeft" activeCell="N380" activeCellId="0" sqref="N380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1" width="14.56"/>
    <col collapsed="false" customWidth="true" hidden="false" outlineLevel="0" max="2" min="2" style="1" width="12.44"/>
    <col collapsed="false" customWidth="true" hidden="false" outlineLevel="0" max="3" min="3" style="1" width="9.11"/>
    <col collapsed="false" customWidth="true" hidden="false" outlineLevel="0" max="4" min="4" style="1" width="18.88"/>
    <col collapsed="false" customWidth="true" hidden="false" outlineLevel="0" max="5" min="5" style="1" width="20.44"/>
    <col collapsed="false" customWidth="true" hidden="false" outlineLevel="0" max="6" min="6" style="2" width="15.66"/>
    <col collapsed="false" customWidth="true" hidden="false" outlineLevel="0" max="7" min="7" style="2" width="2.44"/>
    <col collapsed="false" customWidth="false" hidden="false" outlineLevel="0" max="8" min="8" style="2" width="11.56"/>
    <col collapsed="false" customWidth="true" hidden="false" outlineLevel="0" max="9" min="9" style="2" width="4"/>
    <col collapsed="false" customWidth="false" hidden="false" outlineLevel="0" max="10" min="10" style="2" width="11.56"/>
    <col collapsed="false" customWidth="true" hidden="false" outlineLevel="0" max="11" min="11" style="1" width="4"/>
    <col collapsed="false" customWidth="true" hidden="false" outlineLevel="0" max="12" min="12" style="1" width="44"/>
    <col collapsed="false" customWidth="true" hidden="false" outlineLevel="0" max="13" min="13" style="1" width="29.56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H1" s="2" t="s">
        <v>6</v>
      </c>
      <c r="J1" s="2" t="s">
        <v>7</v>
      </c>
      <c r="L1" s="1" t="s">
        <v>8</v>
      </c>
      <c r="M1" s="1" t="s">
        <v>9</v>
      </c>
      <c r="N1" s="1" t="s">
        <v>10</v>
      </c>
    </row>
    <row r="4" customFormat="false" ht="12.75" hidden="false" customHeight="true" outlineLevel="0" collapsed="false">
      <c r="A4" s="1" t="str">
        <f aca="false">HYPERLINK("https://lindat.mff.cuni.cz/services/PDT-Vallex4.5/PDT-Vallex4.5.html?verb=mít#v41chlBV", "v41chlBV")</f>
        <v>v41chlBV</v>
      </c>
      <c r="B4" s="1" t="s">
        <v>11</v>
      </c>
      <c r="C4" s="1" t="str">
        <f aca="false">HYPERLINK("https://lindat.mff.cuni.cz/services/PDT-Vallex4.5/PDT-Vallex4.5.html?verb=mít", "mít")</f>
        <v>mít</v>
      </c>
      <c r="D4" s="1" t="n">
        <v>181</v>
      </c>
      <c r="E4" s="1" t="n">
        <v>160</v>
      </c>
      <c r="F4" s="2" t="s">
        <v>12</v>
      </c>
      <c r="H4" s="2" t="s">
        <v>13</v>
      </c>
      <c r="L4" s="1" t="s">
        <v>14</v>
      </c>
      <c r="M4" s="1" t="s">
        <v>15</v>
      </c>
    </row>
    <row r="5" customFormat="false" ht="12.75" hidden="false" customHeight="true" outlineLevel="0" collapsed="false">
      <c r="A5" s="1" t="str">
        <f aca="false">HYPERLINK("https://lindat.mff.cuni.cz/services/PDT-Vallex4.5/PDT-Vallex4.5.html?verb=mít#v41chlCF", "v41chlCF")</f>
        <v>v41chlCF</v>
      </c>
      <c r="B5" s="1" t="s">
        <v>11</v>
      </c>
      <c r="C5" s="1" t="str">
        <f aca="false">HYPERLINK("https://lindat.mff.cuni.cz/services/PDT-Vallex4.5/PDT-Vallex4.5.html?verb=mít", "mít")</f>
        <v>mít</v>
      </c>
      <c r="D5" s="1" t="n">
        <v>181</v>
      </c>
      <c r="E5" s="1" t="n">
        <v>160</v>
      </c>
      <c r="F5" s="2" t="s">
        <v>16</v>
      </c>
      <c r="L5" s="1" t="s">
        <v>17</v>
      </c>
      <c r="M5" s="1" t="s">
        <v>18</v>
      </c>
    </row>
    <row r="6" customFormat="false" ht="12.75" hidden="false" customHeight="true" outlineLevel="0" collapsed="false">
      <c r="A6" s="1" t="str">
        <f aca="false">HYPERLINK("https://lindat.mff.cuni.cz/services/PDT-Vallex4.5/PDT-Vallex4.5.html?verb=mít#v41chlCL", "v41chlCL")</f>
        <v>v41chlCL</v>
      </c>
      <c r="B6" s="1" t="s">
        <v>11</v>
      </c>
      <c r="C6" s="1" t="str">
        <f aca="false">HYPERLINK("https://lindat.mff.cuni.cz/services/PDT-Vallex4.5/PDT-Vallex4.5.html?verb=mít", "mít")</f>
        <v>mít</v>
      </c>
      <c r="D6" s="1" t="n">
        <v>181</v>
      </c>
      <c r="E6" s="1" t="n">
        <v>160</v>
      </c>
      <c r="F6" s="2" t="s">
        <v>16</v>
      </c>
      <c r="H6" s="2" t="s">
        <v>19</v>
      </c>
      <c r="L6" s="1" t="s">
        <v>20</v>
      </c>
      <c r="M6" s="1" t="s">
        <v>18</v>
      </c>
    </row>
    <row r="7" customFormat="false" ht="12.75" hidden="false" customHeight="true" outlineLevel="0" collapsed="false">
      <c r="A7" s="1" t="str">
        <f aca="false">HYPERLINK("https://lindat.mff.cuni.cz/services/PDT-Vallex4.5/PDT-Vallex4.5.html?verb=mít#v41chlCS", "v41chlCS")</f>
        <v>v41chlCS</v>
      </c>
      <c r="B7" s="1" t="s">
        <v>11</v>
      </c>
      <c r="C7" s="1" t="str">
        <f aca="false">HYPERLINK("https://lindat.mff.cuni.cz/services/PDT-Vallex4.5/PDT-Vallex4.5.html?verb=mít", "mít")</f>
        <v>mít</v>
      </c>
      <c r="D7" s="1" t="n">
        <v>181</v>
      </c>
      <c r="E7" s="1" t="n">
        <v>160</v>
      </c>
      <c r="F7" s="2" t="s">
        <v>21</v>
      </c>
      <c r="L7" s="1" t="s">
        <v>22</v>
      </c>
      <c r="M7" s="1" t="s">
        <v>23</v>
      </c>
    </row>
    <row r="8" customFormat="false" ht="12.75" hidden="false" customHeight="true" outlineLevel="0" collapsed="false">
      <c r="A8" s="1" t="str">
        <f aca="false">HYPERLINK("https://lindat.mff.cuni.cz/services/PDT-Vallex4.5/PDT-Vallex4.5.html?verb=mít#v41chlCV", "v41chlCV")</f>
        <v>v41chlCV</v>
      </c>
      <c r="B8" s="1" t="s">
        <v>11</v>
      </c>
      <c r="C8" s="1" t="str">
        <f aca="false">HYPERLINK("https://lindat.mff.cuni.cz/services/PDT-Vallex4.5/PDT-Vallex4.5.html?verb=mít", "mít")</f>
        <v>mít</v>
      </c>
      <c r="D8" s="1" t="n">
        <v>181</v>
      </c>
      <c r="E8" s="1" t="n">
        <v>160</v>
      </c>
      <c r="F8" s="2" t="s">
        <v>16</v>
      </c>
      <c r="L8" s="1" t="s">
        <v>24</v>
      </c>
      <c r="M8" s="1" t="s">
        <v>18</v>
      </c>
    </row>
    <row r="9" customFormat="false" ht="12.75" hidden="false" customHeight="true" outlineLevel="0" collapsed="false">
      <c r="A9" s="1" t="str">
        <f aca="false">HYPERLINK("https://lindat.mff.cuni.cz/services/PDT-Vallex4.5/PDT-Vallex4.5.html?verb=mít#v41chlDG", "v41chlDG")</f>
        <v>v41chlDG</v>
      </c>
      <c r="B9" s="1" t="s">
        <v>11</v>
      </c>
      <c r="C9" s="1" t="str">
        <f aca="false">HYPERLINK("https://lindat.mff.cuni.cz/services/PDT-Vallex4.5/PDT-Vallex4.5.html?verb=mít", "mít")</f>
        <v>mít</v>
      </c>
      <c r="D9" s="1" t="n">
        <v>181</v>
      </c>
      <c r="E9" s="1" t="n">
        <v>160</v>
      </c>
      <c r="F9" s="2" t="s">
        <v>16</v>
      </c>
      <c r="L9" s="1" t="s">
        <v>25</v>
      </c>
      <c r="M9" s="1" t="s">
        <v>26</v>
      </c>
    </row>
    <row r="10" customFormat="false" ht="12.75" hidden="false" customHeight="true" outlineLevel="0" collapsed="false">
      <c r="A10" s="1" t="str">
        <f aca="false">HYPERLINK("https://lindat.mff.cuni.cz/services/PDT-Vallex4.5/PDT-Vallex4.5.html?verb=mít#v41chlDQ", "v41chlDQ")</f>
        <v>v41chlDQ</v>
      </c>
      <c r="B10" s="1" t="s">
        <v>11</v>
      </c>
      <c r="C10" s="1" t="str">
        <f aca="false">HYPERLINK("https://lindat.mff.cuni.cz/services/PDT-Vallex4.5/PDT-Vallex4.5.html?verb=mít", "mít")</f>
        <v>mít</v>
      </c>
      <c r="D10" s="1" t="n">
        <v>181</v>
      </c>
      <c r="E10" s="1" t="n">
        <v>160</v>
      </c>
      <c r="F10" s="2" t="s">
        <v>27</v>
      </c>
      <c r="L10" s="1" t="s">
        <v>28</v>
      </c>
      <c r="M10" s="1" t="s">
        <v>29</v>
      </c>
    </row>
    <row r="11" customFormat="false" ht="12.75" hidden="false" customHeight="true" outlineLevel="0" collapsed="false">
      <c r="A11" s="1" t="str">
        <f aca="false">HYPERLINK("https://lindat.mff.cuni.cz/services/PDT-Vallex4.5/PDT-Vallex4.5.html?verb=mít#v41chlDW", "v41chlDW")</f>
        <v>v41chlDW</v>
      </c>
      <c r="B11" s="1" t="s">
        <v>11</v>
      </c>
      <c r="C11" s="1" t="str">
        <f aca="false">HYPERLINK("https://lindat.mff.cuni.cz/services/PDT-Vallex4.5/PDT-Vallex4.5.html?verb=mít", "mít")</f>
        <v>mít</v>
      </c>
      <c r="D11" s="1" t="n">
        <v>181</v>
      </c>
      <c r="E11" s="1" t="n">
        <v>160</v>
      </c>
      <c r="F11" s="2" t="s">
        <v>30</v>
      </c>
      <c r="L11" s="1" t="s">
        <v>31</v>
      </c>
      <c r="M11" s="1" t="s">
        <v>32</v>
      </c>
    </row>
    <row r="12" customFormat="false" ht="12.75" hidden="false" customHeight="true" outlineLevel="0" collapsed="false">
      <c r="A12" s="1" t="str">
        <f aca="false">HYPERLINK("https://lindat.mff.cuni.cz/services/PDT-Vallex4.5/PDT-Vallex4.5.html?verb=mít#v41chlDX", "v41chlDX")</f>
        <v>v41chlDX</v>
      </c>
      <c r="B12" s="1" t="s">
        <v>11</v>
      </c>
      <c r="C12" s="1" t="str">
        <f aca="false">HYPERLINK("https://lindat.mff.cuni.cz/services/PDT-Vallex4.5/PDT-Vallex4.5.html?verb=mít", "mít")</f>
        <v>mít</v>
      </c>
      <c r="D12" s="1" t="n">
        <v>181</v>
      </c>
      <c r="E12" s="1" t="n">
        <v>160</v>
      </c>
      <c r="F12" s="2" t="s">
        <v>33</v>
      </c>
      <c r="L12" s="1" t="s">
        <v>34</v>
      </c>
    </row>
    <row r="13" customFormat="false" ht="12.75" hidden="false" customHeight="true" outlineLevel="0" collapsed="false">
      <c r="A13" s="1" t="str">
        <f aca="false">HYPERLINK("https://lindat.mff.cuni.cz/services/PDT-Vallex4.5/PDT-Vallex4.5.html?verb=mít#v41chlE", "v41chlE")</f>
        <v>v41chlE</v>
      </c>
      <c r="B13" s="1" t="s">
        <v>11</v>
      </c>
      <c r="C13" s="1" t="str">
        <f aca="false">HYPERLINK("https://lindat.mff.cuni.cz/services/PDT-Vallex4.5/PDT-Vallex4.5.html?verb=mít", "mít")</f>
        <v>mít</v>
      </c>
      <c r="D13" s="1" t="n">
        <v>181</v>
      </c>
      <c r="E13" s="1" t="n">
        <v>160</v>
      </c>
      <c r="F13" s="2" t="s">
        <v>35</v>
      </c>
      <c r="L13" s="1" t="s">
        <v>36</v>
      </c>
    </row>
    <row r="14" customFormat="false" ht="12.75" hidden="false" customHeight="true" outlineLevel="0" collapsed="false">
      <c r="A14" s="1" t="str">
        <f aca="false">HYPERLINK("https://lindat.mff.cuni.cz/services/PDT-Vallex4.5/PDT-Vallex4.5.html?verb=mít#v41chlEI", "v41chlEI")</f>
        <v>v41chlEI</v>
      </c>
      <c r="B14" s="1" t="s">
        <v>11</v>
      </c>
      <c r="C14" s="1" t="str">
        <f aca="false">HYPERLINK("https://lindat.mff.cuni.cz/services/PDT-Vallex4.5/PDT-Vallex4.5.html?verb=mít", "mít")</f>
        <v>mít</v>
      </c>
      <c r="D14" s="1" t="n">
        <v>181</v>
      </c>
      <c r="E14" s="1" t="n">
        <v>160</v>
      </c>
      <c r="F14" s="2" t="s">
        <v>37</v>
      </c>
      <c r="L14" s="1" t="s">
        <v>38</v>
      </c>
    </row>
    <row r="15" customFormat="false" ht="12.75" hidden="false" customHeight="true" outlineLevel="0" collapsed="false">
      <c r="A15" s="1" t="str">
        <f aca="false">HYPERLINK("https://lindat.mff.cuni.cz/services/PDT-Vallex4.5/PDT-Vallex4.5.html?verb=mít#v41chlEK", "v41chlEK")</f>
        <v>v41chlEK</v>
      </c>
      <c r="B15" s="1" t="s">
        <v>11</v>
      </c>
      <c r="C15" s="1" t="str">
        <f aca="false">HYPERLINK("https://lindat.mff.cuni.cz/services/PDT-Vallex4.5/PDT-Vallex4.5.html?verb=mít", "mít")</f>
        <v>mít</v>
      </c>
      <c r="D15" s="1" t="n">
        <v>181</v>
      </c>
      <c r="E15" s="1" t="n">
        <v>160</v>
      </c>
      <c r="F15" s="2" t="s">
        <v>39</v>
      </c>
      <c r="L15" s="1" t="s">
        <v>40</v>
      </c>
    </row>
    <row r="16" customFormat="false" ht="12.75" hidden="false" customHeight="true" outlineLevel="0" collapsed="false">
      <c r="A16" s="1" t="str">
        <f aca="false">HYPERLINK("https://lindat.mff.cuni.cz/services/PDT-Vallex4.5/PDT-Vallex4.5.html?verb=mít#v41chlES", "v41chlES")</f>
        <v>v41chlES</v>
      </c>
      <c r="B16" s="1" t="s">
        <v>11</v>
      </c>
      <c r="C16" s="1" t="str">
        <f aca="false">HYPERLINK("https://lindat.mff.cuni.cz/services/PDT-Vallex4.5/PDT-Vallex4.5.html?verb=mít", "mít")</f>
        <v>mít</v>
      </c>
      <c r="D16" s="1" t="n">
        <v>181</v>
      </c>
      <c r="E16" s="1" t="n">
        <v>160</v>
      </c>
      <c r="F16" s="2" t="s">
        <v>35</v>
      </c>
      <c r="L16" s="1" t="s">
        <v>41</v>
      </c>
    </row>
    <row r="17" customFormat="false" ht="12.75" hidden="false" customHeight="true" outlineLevel="0" collapsed="false">
      <c r="A17" s="1" t="str">
        <f aca="false">HYPERLINK("https://lindat.mff.cuni.cz/services/PDT-Vallex4.5/PDT-Vallex4.5.html?verb=mít#v41chlFY", "v41chlFY")</f>
        <v>v41chlFY</v>
      </c>
      <c r="B17" s="1" t="s">
        <v>11</v>
      </c>
      <c r="C17" s="1" t="str">
        <f aca="false">HYPERLINK("https://lindat.mff.cuni.cz/services/PDT-Vallex4.5/PDT-Vallex4.5.html?verb=mít", "mít")</f>
        <v>mít</v>
      </c>
      <c r="D17" s="1" t="n">
        <v>181</v>
      </c>
      <c r="E17" s="1" t="n">
        <v>160</v>
      </c>
      <c r="F17" s="2" t="s">
        <v>42</v>
      </c>
      <c r="L17" s="1" t="s">
        <v>43</v>
      </c>
    </row>
    <row r="18" customFormat="false" ht="12.75" hidden="false" customHeight="true" outlineLevel="0" collapsed="false">
      <c r="A18" s="1" t="str">
        <f aca="false">HYPERLINK("https://lindat.mff.cuni.cz/services/PDT-Vallex4.5/PDT-Vallex4.5.html?verb=mít#v41chlL", "v41chlL")</f>
        <v>v41chlL</v>
      </c>
      <c r="B18" s="1" t="s">
        <v>11</v>
      </c>
      <c r="C18" s="1" t="str">
        <f aca="false">HYPERLINK("https://lindat.mff.cuni.cz/services/PDT-Vallex4.5/PDT-Vallex4.5.html?verb=mít", "mít")</f>
        <v>mít</v>
      </c>
      <c r="D18" s="1" t="n">
        <v>181</v>
      </c>
      <c r="E18" s="1" t="n">
        <v>160</v>
      </c>
      <c r="F18" s="2" t="s">
        <v>44</v>
      </c>
      <c r="H18" s="2" t="s">
        <v>45</v>
      </c>
      <c r="L18" s="1" t="s">
        <v>46</v>
      </c>
    </row>
    <row r="19" customFormat="false" ht="12.75" hidden="false" customHeight="true" outlineLevel="0" collapsed="false">
      <c r="A19" s="1" t="str">
        <f aca="false">HYPERLINK("https://lindat.mff.cuni.cz/services/PDT-Vallex4.5/PDT-Vallex4.5.html?verb=mít#v41chlM", "v41chlM")</f>
        <v>v41chlM</v>
      </c>
      <c r="B19" s="1" t="s">
        <v>11</v>
      </c>
      <c r="C19" s="1" t="str">
        <f aca="false">HYPERLINK("https://lindat.mff.cuni.cz/services/PDT-Vallex4.5/PDT-Vallex4.5.html?verb=mít", "mít")</f>
        <v>mít</v>
      </c>
      <c r="D19" s="1" t="n">
        <v>181</v>
      </c>
      <c r="E19" s="1" t="n">
        <v>160</v>
      </c>
      <c r="F19" s="2" t="s">
        <v>47</v>
      </c>
      <c r="L19" s="1" t="s">
        <v>48</v>
      </c>
      <c r="M19" s="1" t="s">
        <v>49</v>
      </c>
    </row>
    <row r="20" customFormat="false" ht="12.75" hidden="false" customHeight="true" outlineLevel="0" collapsed="false">
      <c r="A20" s="1" t="str">
        <f aca="false">HYPERLINK("https://lindat.mff.cuni.cz/services/PDT-Vallex4.5/PDT-Vallex4.5.html?verb=být#v41jsBC", "v41jsBC")</f>
        <v>v41jsBC</v>
      </c>
      <c r="B20" s="1" t="s">
        <v>50</v>
      </c>
      <c r="C20" s="1" t="str">
        <f aca="false">HYPERLINK("https://lindat.mff.cuni.cz/services/PDT-Vallex4.5/PDT-Vallex4.5.html?verb=být", "být")</f>
        <v>být</v>
      </c>
      <c r="D20" s="1" t="n">
        <v>156</v>
      </c>
      <c r="E20" s="1" t="n">
        <v>138</v>
      </c>
      <c r="F20" s="2" t="s">
        <v>51</v>
      </c>
      <c r="L20" s="1" t="s">
        <v>52</v>
      </c>
    </row>
    <row r="21" customFormat="false" ht="12.75" hidden="false" customHeight="true" outlineLevel="0" collapsed="false">
      <c r="A21" s="1" t="str">
        <f aca="false">HYPERLINK("https://lindat.mff.cuni.cz/services/PDT-Vallex4.5/PDT-Vallex4.5.html?verb=být#v41jsBL", "v41jsBL")</f>
        <v>v41jsBL</v>
      </c>
      <c r="B21" s="1" t="s">
        <v>50</v>
      </c>
      <c r="C21" s="1" t="str">
        <f aca="false">HYPERLINK("https://lindat.mff.cuni.cz/services/PDT-Vallex4.5/PDT-Vallex4.5.html?verb=být", "být")</f>
        <v>být</v>
      </c>
      <c r="D21" s="1" t="n">
        <v>156</v>
      </c>
      <c r="E21" s="1" t="n">
        <v>138</v>
      </c>
      <c r="F21" s="2" t="s">
        <v>16</v>
      </c>
      <c r="L21" s="1" t="s">
        <v>53</v>
      </c>
      <c r="M21" s="1" t="s">
        <v>54</v>
      </c>
    </row>
    <row r="22" customFormat="false" ht="12.75" hidden="false" customHeight="true" outlineLevel="0" collapsed="false">
      <c r="A22" s="1" t="str">
        <f aca="false">HYPERLINK("https://lindat.mff.cuni.cz/services/PDT-Vallex4.5/PDT-Vallex4.5.html?verb=být#v41jsBM", "v41jsBM")</f>
        <v>v41jsBM</v>
      </c>
      <c r="B22" s="1" t="s">
        <v>50</v>
      </c>
      <c r="C22" s="1" t="str">
        <f aca="false">HYPERLINK("https://lindat.mff.cuni.cz/services/PDT-Vallex4.5/PDT-Vallex4.5.html?verb=být", "být")</f>
        <v>být</v>
      </c>
      <c r="D22" s="1" t="n">
        <v>156</v>
      </c>
      <c r="E22" s="1" t="n">
        <v>138</v>
      </c>
      <c r="F22" s="2" t="s">
        <v>16</v>
      </c>
      <c r="L22" s="1" t="s">
        <v>55</v>
      </c>
      <c r="M22" s="1" t="s">
        <v>54</v>
      </c>
    </row>
    <row r="23" customFormat="false" ht="12.75" hidden="false" customHeight="true" outlineLevel="0" collapsed="false">
      <c r="A23" s="1" t="str">
        <f aca="false">HYPERLINK("https://lindat.mff.cuni.cz/services/PDT-Vallex4.5/PDT-Vallex4.5.html?verb=být#v41jsBO", "v41jsBO")</f>
        <v>v41jsBO</v>
      </c>
      <c r="B23" s="1" t="s">
        <v>50</v>
      </c>
      <c r="C23" s="1" t="str">
        <f aca="false">HYPERLINK("https://lindat.mff.cuni.cz/services/PDT-Vallex4.5/PDT-Vallex4.5.html?verb=být", "být")</f>
        <v>být</v>
      </c>
      <c r="D23" s="1" t="n">
        <v>156</v>
      </c>
      <c r="E23" s="1" t="n">
        <v>138</v>
      </c>
      <c r="F23" s="2" t="s">
        <v>56</v>
      </c>
      <c r="L23" s="1" t="s">
        <v>57</v>
      </c>
    </row>
    <row r="24" customFormat="false" ht="12.75" hidden="false" customHeight="true" outlineLevel="0" collapsed="false">
      <c r="A24" s="1" t="str">
        <f aca="false">HYPERLINK("https://lindat.mff.cuni.cz/services/PDT-Vallex4.5/PDT-Vallex4.5.html?verb=být#v41jsCY", "v41jsCY")</f>
        <v>v41jsCY</v>
      </c>
      <c r="B24" s="1" t="s">
        <v>50</v>
      </c>
      <c r="C24" s="1" t="str">
        <f aca="false">HYPERLINK("https://lindat.mff.cuni.cz/services/PDT-Vallex4.5/PDT-Vallex4.5.html?verb=být", "být")</f>
        <v>být</v>
      </c>
      <c r="D24" s="1" t="n">
        <v>156</v>
      </c>
      <c r="E24" s="1" t="n">
        <v>138</v>
      </c>
      <c r="F24" s="2" t="s">
        <v>19</v>
      </c>
      <c r="L24" s="1" t="s">
        <v>58</v>
      </c>
    </row>
    <row r="25" customFormat="false" ht="12.75" hidden="false" customHeight="true" outlineLevel="0" collapsed="false">
      <c r="A25" s="1" t="str">
        <f aca="false">HYPERLINK("https://lindat.mff.cuni.cz/services/PDT-Vallex4.5/PDT-Vallex4.5.html?verb=jít#v41bikAB", "v41bikAB")</f>
        <v>v41bikAB</v>
      </c>
      <c r="B25" s="1" t="s">
        <v>59</v>
      </c>
      <c r="C25" s="1" t="str">
        <f aca="false">HYPERLINK("https://lindat.mff.cuni.cz/services/PDT-Vallex4.5/PDT-Vallex4.5.html?verb=jít", "jít")</f>
        <v>jít</v>
      </c>
      <c r="D25" s="1" t="n">
        <v>84</v>
      </c>
      <c r="E25" s="1" t="n">
        <v>64</v>
      </c>
      <c r="F25" s="2" t="s">
        <v>16</v>
      </c>
      <c r="L25" s="1" t="s">
        <v>60</v>
      </c>
      <c r="M25" s="1" t="s">
        <v>61</v>
      </c>
    </row>
    <row r="26" customFormat="false" ht="12.75" hidden="false" customHeight="true" outlineLevel="0" collapsed="false">
      <c r="A26" s="1" t="str">
        <f aca="false">HYPERLINK("https://lindat.mff.cuni.cz/services/PDT-Vallex4.5/PDT-Vallex4.5.html?verb=jít#v41bikAR", "v41bikAR")</f>
        <v>v41bikAR</v>
      </c>
      <c r="B26" s="1" t="s">
        <v>59</v>
      </c>
      <c r="C26" s="1" t="str">
        <f aca="false">HYPERLINK("https://lindat.mff.cuni.cz/services/PDT-Vallex4.5/PDT-Vallex4.5.html?verb=jít", "jít")</f>
        <v>jít</v>
      </c>
      <c r="D26" s="1" t="n">
        <v>84</v>
      </c>
      <c r="E26" s="1" t="n">
        <v>64</v>
      </c>
      <c r="F26" s="2" t="s">
        <v>62</v>
      </c>
      <c r="L26" s="1" t="s">
        <v>63</v>
      </c>
    </row>
    <row r="27" customFormat="false" ht="12.75" hidden="false" customHeight="true" outlineLevel="0" collapsed="false">
      <c r="A27" s="1" t="str">
        <f aca="false">HYPERLINK("https://lindat.mff.cuni.cz/services/PDT-Vallex4.5/PDT-Vallex4.5.html?verb=jít#v41bikBI", "v41bikBI")</f>
        <v>v41bikBI</v>
      </c>
      <c r="B27" s="1" t="s">
        <v>59</v>
      </c>
      <c r="C27" s="1" t="str">
        <f aca="false">HYPERLINK("https://lindat.mff.cuni.cz/services/PDT-Vallex4.5/PDT-Vallex4.5.html?verb=jít", "jít")</f>
        <v>jít</v>
      </c>
      <c r="D27" s="1" t="n">
        <v>84</v>
      </c>
      <c r="E27" s="1" t="n">
        <v>64</v>
      </c>
      <c r="F27" s="2" t="s">
        <v>64</v>
      </c>
      <c r="L27" s="1" t="s">
        <v>65</v>
      </c>
      <c r="N27" s="1" t="s">
        <v>66</v>
      </c>
    </row>
    <row r="28" customFormat="false" ht="12.75" hidden="false" customHeight="true" outlineLevel="0" collapsed="false">
      <c r="A28" s="1" t="str">
        <f aca="false">HYPERLINK("https://lindat.mff.cuni.cz/services/PDT-Vallex4.5/PDT-Vallex4.5.html?verb=jít#v41bikBV", "v41bikBV")</f>
        <v>v41bikBV</v>
      </c>
      <c r="B28" s="1" t="s">
        <v>59</v>
      </c>
      <c r="C28" s="1" t="str">
        <f aca="false">HYPERLINK("https://lindat.mff.cuni.cz/services/PDT-Vallex4.5/PDT-Vallex4.5.html?verb=jít", "jít")</f>
        <v>jít</v>
      </c>
      <c r="D28" s="1" t="n">
        <v>84</v>
      </c>
      <c r="E28" s="1" t="n">
        <v>64</v>
      </c>
      <c r="F28" s="2" t="s">
        <v>16</v>
      </c>
      <c r="L28" s="1" t="s">
        <v>67</v>
      </c>
      <c r="M28" s="1" t="s">
        <v>68</v>
      </c>
    </row>
    <row r="29" customFormat="false" ht="12.75" hidden="false" customHeight="true" outlineLevel="0" collapsed="false">
      <c r="A29" s="1" t="str">
        <f aca="false">HYPERLINK("https://lindat.mff.cuni.cz/services/PDT-Vallex4.5/PDT-Vallex4.5.html?verb=jít#v41bikBW", "v41bikBW")</f>
        <v>v41bikBW</v>
      </c>
      <c r="B29" s="1" t="s">
        <v>59</v>
      </c>
      <c r="C29" s="1" t="str">
        <f aca="false">HYPERLINK("https://lindat.mff.cuni.cz/services/PDT-Vallex4.5/PDT-Vallex4.5.html?verb=jít", "jít")</f>
        <v>jít</v>
      </c>
      <c r="D29" s="1" t="n">
        <v>84</v>
      </c>
      <c r="E29" s="1" t="n">
        <v>64</v>
      </c>
      <c r="F29" s="2" t="s">
        <v>69</v>
      </c>
      <c r="H29" s="2" t="s">
        <v>70</v>
      </c>
      <c r="L29" s="1" t="s">
        <v>71</v>
      </c>
    </row>
    <row r="30" customFormat="false" ht="12.75" hidden="false" customHeight="true" outlineLevel="0" collapsed="false">
      <c r="A30" s="1" t="str">
        <f aca="false">HYPERLINK("https://lindat.mff.cuni.cz/services/PDT-Vallex4.5/PDT-Vallex4.5.html?verb=jít#v41bikCC", "v41bikCC")</f>
        <v>v41bikCC</v>
      </c>
      <c r="B30" s="1" t="s">
        <v>59</v>
      </c>
      <c r="C30" s="1" t="str">
        <f aca="false">HYPERLINK("https://lindat.mff.cuni.cz/services/PDT-Vallex4.5/PDT-Vallex4.5.html?verb=jít", "jít")</f>
        <v>jít</v>
      </c>
      <c r="D30" s="1" t="n">
        <v>84</v>
      </c>
      <c r="E30" s="1" t="n">
        <v>64</v>
      </c>
      <c r="F30" s="2" t="s">
        <v>72</v>
      </c>
      <c r="L30" s="1" t="s">
        <v>73</v>
      </c>
    </row>
    <row r="31" customFormat="false" ht="12.75" hidden="false" customHeight="false" outlineLevel="0" collapsed="false">
      <c r="A31" s="1" t="str">
        <f aca="false">HYPERLINK("https://lindat.mff.cuni.cz/services/PDT-Vallex4.5/PDT-Vallex4.5.html?verb=jít#v41bikG", "v41bikG")</f>
        <v>v41bikG</v>
      </c>
      <c r="B31" s="1" t="s">
        <v>59</v>
      </c>
      <c r="C31" s="1" t="str">
        <f aca="false">HYPERLINK("https://lindat.mff.cuni.cz/services/PDT-Vallex4.5/PDT-Vallex4.5.html?verb=jít", "jít")</f>
        <v>jít</v>
      </c>
      <c r="D31" s="1" t="n">
        <v>84</v>
      </c>
      <c r="E31" s="1" t="n">
        <v>64</v>
      </c>
      <c r="F31" s="2" t="s">
        <v>16</v>
      </c>
      <c r="L31" s="1" t="s">
        <v>74</v>
      </c>
      <c r="M31" s="1" t="s">
        <v>75</v>
      </c>
    </row>
    <row r="32" customFormat="false" ht="12.75" hidden="false" customHeight="false" outlineLevel="0" collapsed="false">
      <c r="A32" s="1" t="str">
        <f aca="false">HYPERLINK("https://lindat.mff.cuni.cz/services/PDT-Vallex4.5/PDT-Vallex4.5.html?verb=jít#v41bikH", "v41bikH")</f>
        <v>v41bikH</v>
      </c>
      <c r="B32" s="1" t="s">
        <v>59</v>
      </c>
      <c r="C32" s="1" t="str">
        <f aca="false">HYPERLINK("https://lindat.mff.cuni.cz/services/PDT-Vallex4.5/PDT-Vallex4.5.html?verb=jít", "jít")</f>
        <v>jít</v>
      </c>
      <c r="D32" s="1" t="n">
        <v>84</v>
      </c>
      <c r="E32" s="1" t="n">
        <v>64</v>
      </c>
      <c r="F32" s="2" t="s">
        <v>76</v>
      </c>
      <c r="L32" s="1" t="s">
        <v>77</v>
      </c>
    </row>
    <row r="33" customFormat="false" ht="12.75" hidden="false" customHeight="false" outlineLevel="0" collapsed="false">
      <c r="A33" s="1" t="str">
        <f aca="false">HYPERLINK("https://lindat.mff.cuni.cz/services/PDT-Vallex4.5/PDT-Vallex4.5.html?verb=dát#v41plAL", "v41plAL")</f>
        <v>v41plAL</v>
      </c>
      <c r="B33" s="1" t="s">
        <v>78</v>
      </c>
      <c r="C33" s="1" t="str">
        <f aca="false">HYPERLINK("https://lindat.mff.cuni.cz/services/PDT-Vallex4.5/PDT-Vallex4.5.html?verb=dát", "dát")</f>
        <v>dát</v>
      </c>
      <c r="D33" s="1" t="n">
        <v>77</v>
      </c>
      <c r="E33" s="1" t="n">
        <v>51</v>
      </c>
      <c r="F33" s="2" t="s">
        <v>16</v>
      </c>
      <c r="L33" s="1" t="s">
        <v>79</v>
      </c>
      <c r="M33" s="1" t="s">
        <v>80</v>
      </c>
      <c r="N33" s="1" t="s">
        <v>81</v>
      </c>
    </row>
    <row r="34" customFormat="false" ht="12.75" hidden="false" customHeight="false" outlineLevel="0" collapsed="false">
      <c r="A34" s="1" t="str">
        <f aca="false">HYPERLINK("https://lindat.mff.cuni.cz/services/PDT-Vallex4.5/PDT-Vallex4.5.html?verb=dát#v41plAM", "v41plAM")</f>
        <v>v41plAM</v>
      </c>
      <c r="B34" s="1" t="s">
        <v>78</v>
      </c>
      <c r="C34" s="1" t="str">
        <f aca="false">HYPERLINK("https://lindat.mff.cuni.cz/services/PDT-Vallex4.5/PDT-Vallex4.5.html?verb=dát", "dát")</f>
        <v>dát</v>
      </c>
      <c r="D34" s="1" t="n">
        <v>77</v>
      </c>
      <c r="E34" s="1" t="n">
        <v>51</v>
      </c>
      <c r="F34" s="2" t="s">
        <v>16</v>
      </c>
      <c r="L34" s="1" t="s">
        <v>82</v>
      </c>
      <c r="M34" s="1" t="s">
        <v>82</v>
      </c>
      <c r="N34" s="1" t="s">
        <v>82</v>
      </c>
    </row>
    <row r="35" customFormat="false" ht="12.75" hidden="false" customHeight="false" outlineLevel="0" collapsed="false">
      <c r="A35" s="1" t="str">
        <f aca="false">HYPERLINK("https://lindat.mff.cuni.cz/services/PDT-Vallex4.5/PDT-Vallex4.5.html?verb=dát#v41plAN", "v41plAN")</f>
        <v>v41plAN</v>
      </c>
      <c r="B35" s="1" t="s">
        <v>78</v>
      </c>
      <c r="C35" s="1" t="str">
        <f aca="false">HYPERLINK("https://lindat.mff.cuni.cz/services/PDT-Vallex4.5/PDT-Vallex4.5.html?verb=dát", "dát")</f>
        <v>dát</v>
      </c>
      <c r="D35" s="1" t="n">
        <v>77</v>
      </c>
      <c r="E35" s="1" t="n">
        <v>51</v>
      </c>
      <c r="F35" s="2" t="s">
        <v>83</v>
      </c>
      <c r="L35" s="1" t="s">
        <v>84</v>
      </c>
    </row>
    <row r="36" customFormat="false" ht="12.75" hidden="false" customHeight="false" outlineLevel="0" collapsed="false">
      <c r="A36" s="1" t="str">
        <f aca="false">HYPERLINK("https://lindat.mff.cuni.cz/services/PDT-Vallex4.5/PDT-Vallex4.5.html?verb=dát#v41plBX", "v41plBX")</f>
        <v>v41plBX</v>
      </c>
      <c r="B36" s="1" t="s">
        <v>78</v>
      </c>
      <c r="C36" s="1" t="str">
        <f aca="false">HYPERLINK("https://lindat.mff.cuni.cz/services/PDT-Vallex4.5/PDT-Vallex4.5.html?verb=dát", "dát")</f>
        <v>dát</v>
      </c>
      <c r="D36" s="1" t="n">
        <v>77</v>
      </c>
      <c r="E36" s="1" t="n">
        <v>51</v>
      </c>
      <c r="F36" s="2" t="s">
        <v>42</v>
      </c>
      <c r="L36" s="1" t="s">
        <v>85</v>
      </c>
    </row>
    <row r="37" customFormat="false" ht="12.75" hidden="false" customHeight="false" outlineLevel="0" collapsed="false">
      <c r="A37" s="1" t="str">
        <f aca="false">HYPERLINK("https://lindat.mff.cuni.cz/services/PDT-Vallex4.5/PDT-Vallex4.5.html?verb=dát#v41plK", "v41plK")</f>
        <v>v41plK</v>
      </c>
      <c r="B37" s="1" t="s">
        <v>78</v>
      </c>
      <c r="C37" s="1" t="str">
        <f aca="false">HYPERLINK("https://lindat.mff.cuni.cz/services/PDT-Vallex4.5/PDT-Vallex4.5.html?verb=dát", "dát")</f>
        <v>dát</v>
      </c>
      <c r="D37" s="1" t="n">
        <v>77</v>
      </c>
      <c r="E37" s="1" t="n">
        <v>51</v>
      </c>
      <c r="F37" s="2" t="s">
        <v>86</v>
      </c>
      <c r="L37" s="1" t="s">
        <v>87</v>
      </c>
    </row>
    <row r="38" customFormat="false" ht="12.75" hidden="false" customHeight="false" outlineLevel="0" collapsed="false">
      <c r="A38" s="1" t="str">
        <f aca="false">HYPERLINK("https://lindat.mff.cuni.cz/services/PDT-Vallex4.5/PDT-Vallex4.5.html?verb=dát#v41plL", "v41plL")</f>
        <v>v41plL</v>
      </c>
      <c r="B38" s="1" t="s">
        <v>78</v>
      </c>
      <c r="C38" s="1" t="str">
        <f aca="false">HYPERLINK("https://lindat.mff.cuni.cz/services/PDT-Vallex4.5/PDT-Vallex4.5.html?verb=dát", "dát")</f>
        <v>dát</v>
      </c>
      <c r="D38" s="1" t="n">
        <v>77</v>
      </c>
      <c r="E38" s="1" t="n">
        <v>51</v>
      </c>
      <c r="F38" s="2" t="s">
        <v>88</v>
      </c>
      <c r="L38" s="1" t="s">
        <v>89</v>
      </c>
    </row>
    <row r="39" customFormat="false" ht="12.75" hidden="false" customHeight="false" outlineLevel="0" collapsed="false">
      <c r="A39" s="1" t="str">
        <f aca="false">HYPERLINK("https://lindat.mff.cuni.cz/services/PDT-Vallex4.5/PDT-Vallex4.5.html?verb=dávat#v41psAG", "v41psAG")</f>
        <v>v41psAG</v>
      </c>
      <c r="B39" s="1" t="s">
        <v>90</v>
      </c>
      <c r="C39" s="1" t="str">
        <f aca="false">HYPERLINK("https://lindat.mff.cuni.cz/services/PDT-Vallex4.5/PDT-Vallex4.5.html?verb=dávat", "dávat")</f>
        <v>dávat</v>
      </c>
      <c r="D39" s="1" t="n">
        <v>59</v>
      </c>
      <c r="E39" s="1" t="n">
        <v>35</v>
      </c>
      <c r="F39" s="2" t="s">
        <v>16</v>
      </c>
      <c r="L39" s="1" t="s">
        <v>79</v>
      </c>
      <c r="M39" s="1" t="s">
        <v>80</v>
      </c>
      <c r="N39" s="1" t="s">
        <v>81</v>
      </c>
    </row>
    <row r="40" customFormat="false" ht="12.75" hidden="false" customHeight="false" outlineLevel="0" collapsed="false">
      <c r="A40" s="1" t="str">
        <f aca="false">HYPERLINK("https://lindat.mff.cuni.cz/services/PDT-Vallex4.5/PDT-Vallex4.5.html?verb=dávat#v41psAH", "v41psAH")</f>
        <v>v41psAH</v>
      </c>
      <c r="B40" s="1" t="s">
        <v>90</v>
      </c>
      <c r="C40" s="1" t="str">
        <f aca="false">HYPERLINK("https://lindat.mff.cuni.cz/services/PDT-Vallex4.5/PDT-Vallex4.5.html?verb=dávat", "dávat")</f>
        <v>dávat</v>
      </c>
      <c r="D40" s="1" t="n">
        <v>59</v>
      </c>
      <c r="E40" s="1" t="n">
        <v>35</v>
      </c>
      <c r="F40" s="2" t="s">
        <v>16</v>
      </c>
      <c r="L40" s="1" t="s">
        <v>79</v>
      </c>
      <c r="M40" s="1" t="s">
        <v>80</v>
      </c>
      <c r="N40" s="1" t="s">
        <v>81</v>
      </c>
    </row>
    <row r="41" customFormat="false" ht="12.75" hidden="false" customHeight="false" outlineLevel="0" collapsed="false">
      <c r="A41" s="1" t="str">
        <f aca="false">HYPERLINK("https://lindat.mff.cuni.cz/services/PDT-Vallex4.5/PDT-Vallex4.5.html?verb=dávat#v41psBD", "v41psBD")</f>
        <v>v41psBD</v>
      </c>
      <c r="B41" s="1" t="s">
        <v>90</v>
      </c>
      <c r="C41" s="1" t="str">
        <f aca="false">HYPERLINK("https://lindat.mff.cuni.cz/services/PDT-Vallex4.5/PDT-Vallex4.5.html?verb=dávat", "dávat")</f>
        <v>dávat</v>
      </c>
      <c r="D41" s="1" t="n">
        <v>59</v>
      </c>
      <c r="E41" s="1" t="n">
        <v>35</v>
      </c>
      <c r="F41" s="2" t="s">
        <v>91</v>
      </c>
      <c r="L41" s="1" t="s">
        <v>92</v>
      </c>
    </row>
    <row r="42" customFormat="false" ht="12.75" hidden="false" customHeight="false" outlineLevel="0" collapsed="false">
      <c r="A42" s="1" t="str">
        <f aca="false">HYPERLINK("https://lindat.mff.cuni.cz/services/PDT-Vallex4.5/PDT-Vallex4.5.html?verb=dávat#v41psD", "v41psD")</f>
        <v>v41psD</v>
      </c>
      <c r="B42" s="1" t="s">
        <v>90</v>
      </c>
      <c r="C42" s="1" t="str">
        <f aca="false">HYPERLINK("https://lindat.mff.cuni.cz/services/PDT-Vallex4.5/PDT-Vallex4.5.html?verb=dávat", "dávat")</f>
        <v>dávat</v>
      </c>
      <c r="D42" s="1" t="n">
        <v>59</v>
      </c>
      <c r="E42" s="1" t="n">
        <v>35</v>
      </c>
      <c r="F42" s="2" t="s">
        <v>93</v>
      </c>
      <c r="L42" s="1" t="s">
        <v>94</v>
      </c>
    </row>
    <row r="43" customFormat="false" ht="12.75" hidden="false" customHeight="false" outlineLevel="0" collapsed="false">
      <c r="A43" s="1" t="str">
        <f aca="false">HYPERLINK("https://lindat.mff.cuni.cz/services/PDT-Vallex4.5/PDT-Vallex4.5.html?verb=dávat#v41psM", "v41psM")</f>
        <v>v41psM</v>
      </c>
      <c r="B43" s="1" t="s">
        <v>90</v>
      </c>
      <c r="C43" s="1" t="str">
        <f aca="false">HYPERLINK("https://lindat.mff.cuni.cz/services/PDT-Vallex4.5/PDT-Vallex4.5.html?verb=dávat", "dávat")</f>
        <v>dávat</v>
      </c>
      <c r="D43" s="1" t="n">
        <v>59</v>
      </c>
      <c r="E43" s="1" t="n">
        <v>35</v>
      </c>
      <c r="F43" s="2" t="s">
        <v>95</v>
      </c>
      <c r="L43" s="1" t="s">
        <v>96</v>
      </c>
    </row>
    <row r="44" customFormat="false" ht="12.75" hidden="false" customHeight="false" outlineLevel="0" collapsed="false">
      <c r="A44" s="1" t="str">
        <f aca="false">HYPERLINK("https://lindat.mff.cuni.cz/services/PDT-Vallex4.5/PDT-Vallex4.5.html?verb=dávat#v41psO", "v41psO")</f>
        <v>v41psO</v>
      </c>
      <c r="B44" s="1" t="s">
        <v>90</v>
      </c>
      <c r="C44" s="1" t="str">
        <f aca="false">HYPERLINK("https://lindat.mff.cuni.cz/services/PDT-Vallex4.5/PDT-Vallex4.5.html?verb=dávat", "dávat")</f>
        <v>dávat</v>
      </c>
      <c r="D44" s="1" t="n">
        <v>59</v>
      </c>
      <c r="E44" s="1" t="n">
        <v>35</v>
      </c>
      <c r="F44" s="2" t="s">
        <v>16</v>
      </c>
      <c r="L44" s="1" t="s">
        <v>79</v>
      </c>
      <c r="M44" s="1" t="s">
        <v>80</v>
      </c>
      <c r="N44" s="1" t="s">
        <v>81</v>
      </c>
    </row>
    <row r="45" customFormat="false" ht="12.75" hidden="false" customHeight="false" outlineLevel="0" collapsed="false">
      <c r="A45" s="1" t="str">
        <f aca="false">HYPERLINK("https://lindat.mff.cuni.cz/services/PDT-Vallex4.5/PDT-Vallex4.5.html?verb=dávat#v41psX", "v41psX")</f>
        <v>v41psX</v>
      </c>
      <c r="B45" s="1" t="s">
        <v>90</v>
      </c>
      <c r="C45" s="1" t="str">
        <f aca="false">HYPERLINK("https://lindat.mff.cuni.cz/services/PDT-Vallex4.5/PDT-Vallex4.5.html?verb=dávat", "dávat")</f>
        <v>dávat</v>
      </c>
      <c r="D45" s="1" t="n">
        <v>59</v>
      </c>
      <c r="E45" s="1" t="n">
        <v>35</v>
      </c>
      <c r="F45" s="2" t="s">
        <v>97</v>
      </c>
      <c r="L45" s="1" t="s">
        <v>98</v>
      </c>
    </row>
    <row r="46" customFormat="false" ht="12.75" hidden="false" customHeight="false" outlineLevel="0" collapsed="false">
      <c r="A46" s="1" t="str">
        <f aca="false">HYPERLINK("https://lindat.mff.cuni.cz/services/PDT-Vallex4.5/PDT-Vallex4.5.html?verb=vzít#v41pmaAA", "v41pmaAA")</f>
        <v>v41pmaAA</v>
      </c>
      <c r="B46" s="1" t="s">
        <v>99</v>
      </c>
      <c r="C46" s="1" t="str">
        <f aca="false">HYPERLINK("https://lindat.mff.cuni.cz/services/PDT-Vallex4.5/PDT-Vallex4.5.html?verb=vzít", "vzít")</f>
        <v>vzít</v>
      </c>
      <c r="D46" s="1" t="n">
        <v>52</v>
      </c>
      <c r="E46" s="1" t="n">
        <v>39</v>
      </c>
      <c r="F46" s="2" t="s">
        <v>100</v>
      </c>
      <c r="L46" s="1" t="s">
        <v>101</v>
      </c>
    </row>
    <row r="47" customFormat="false" ht="12.75" hidden="false" customHeight="false" outlineLevel="0" collapsed="false">
      <c r="A47" s="1" t="str">
        <f aca="false">HYPERLINK("https://lindat.mff.cuni.cz/services/PDT-Vallex4.5/PDT-Vallex4.5.html?verb=vzít#v41pmaAV", "v41pmaAV")</f>
        <v>v41pmaAV</v>
      </c>
      <c r="B47" s="1" t="s">
        <v>99</v>
      </c>
      <c r="C47" s="1" t="str">
        <f aca="false">HYPERLINK("https://lindat.mff.cuni.cz/services/PDT-Vallex4.5/PDT-Vallex4.5.html?verb=vzít", "vzít")</f>
        <v>vzít</v>
      </c>
      <c r="D47" s="1" t="n">
        <v>52</v>
      </c>
      <c r="E47" s="1" t="n">
        <v>39</v>
      </c>
      <c r="F47" s="2" t="s">
        <v>102</v>
      </c>
      <c r="L47" s="1" t="s">
        <v>103</v>
      </c>
    </row>
    <row r="48" customFormat="false" ht="12.75" hidden="false" customHeight="false" outlineLevel="0" collapsed="false">
      <c r="A48" s="1" t="str">
        <f aca="false">HYPERLINK("https://lindat.mff.cuni.cz/services/PDT-Vallex4.5/PDT-Vallex4.5.html?verb=vzít#v41pmaAY", "v41pmaAY")</f>
        <v>v41pmaAY</v>
      </c>
      <c r="B48" s="1" t="s">
        <v>99</v>
      </c>
      <c r="C48" s="1" t="str">
        <f aca="false">HYPERLINK("https://lindat.mff.cuni.cz/services/PDT-Vallex4.5/PDT-Vallex4.5.html?verb=vzít", "vzít")</f>
        <v>vzít</v>
      </c>
      <c r="D48" s="1" t="n">
        <v>52</v>
      </c>
      <c r="E48" s="1" t="n">
        <v>39</v>
      </c>
      <c r="F48" s="2" t="s">
        <v>104</v>
      </c>
      <c r="L48" s="1" t="s">
        <v>105</v>
      </c>
    </row>
    <row r="49" customFormat="false" ht="12.75" hidden="false" customHeight="false" outlineLevel="0" collapsed="false">
      <c r="A49" s="1" t="str">
        <f aca="false">HYPERLINK("https://lindat.mff.cuni.cz/services/PDT-Vallex4.5/PDT-Vallex4.5.html?verb=vzít#v41pmaK", "v41pmaK")</f>
        <v>v41pmaK</v>
      </c>
      <c r="B49" s="1" t="s">
        <v>99</v>
      </c>
      <c r="C49" s="1" t="str">
        <f aca="false">HYPERLINK("https://lindat.mff.cuni.cz/services/PDT-Vallex4.5/PDT-Vallex4.5.html?verb=vzít", "vzít")</f>
        <v>vzít</v>
      </c>
      <c r="D49" s="1" t="n">
        <v>52</v>
      </c>
      <c r="E49" s="1" t="n">
        <v>39</v>
      </c>
      <c r="F49" s="2" t="s">
        <v>106</v>
      </c>
      <c r="H49" s="2" t="s">
        <v>107</v>
      </c>
      <c r="L49" s="1" t="s">
        <v>108</v>
      </c>
    </row>
    <row r="50" customFormat="false" ht="12.75" hidden="false" customHeight="false" outlineLevel="0" collapsed="false">
      <c r="A50" s="1" t="str">
        <f aca="false">HYPERLINK("https://lindat.mff.cuni.cz/services/PDT-Vallex4.5/PDT-Vallex4.5.html?verb=vzít#v41pmaM", "v41pmaM")</f>
        <v>v41pmaM</v>
      </c>
      <c r="B50" s="1" t="s">
        <v>99</v>
      </c>
      <c r="C50" s="1" t="str">
        <f aca="false">HYPERLINK("https://lindat.mff.cuni.cz/services/PDT-Vallex4.5/PDT-Vallex4.5.html?verb=vzít", "vzít")</f>
        <v>vzít</v>
      </c>
      <c r="D50" s="1" t="n">
        <v>52</v>
      </c>
      <c r="E50" s="1" t="n">
        <v>39</v>
      </c>
      <c r="F50" s="2" t="s">
        <v>109</v>
      </c>
      <c r="L50" s="1" t="s">
        <v>110</v>
      </c>
    </row>
    <row r="51" customFormat="false" ht="12.75" hidden="false" customHeight="false" outlineLevel="0" collapsed="false">
      <c r="A51" s="1" t="str">
        <f aca="false">HYPERLINK("https://lindat.mff.cuni.cz/services/PDT-Vallex4.5/PDT-Vallex4.5.html?verb=vzít#v41pmaP", "v41pmaP")</f>
        <v>v41pmaP</v>
      </c>
      <c r="B51" s="1" t="s">
        <v>99</v>
      </c>
      <c r="C51" s="1" t="str">
        <f aca="false">HYPERLINK("https://lindat.mff.cuni.cz/services/PDT-Vallex4.5/PDT-Vallex4.5.html?verb=vzít", "vzít")</f>
        <v>vzít</v>
      </c>
      <c r="D51" s="1" t="n">
        <v>52</v>
      </c>
      <c r="E51" s="1" t="n">
        <v>39</v>
      </c>
      <c r="F51" s="2" t="s">
        <v>111</v>
      </c>
      <c r="L51" s="1" t="s">
        <v>112</v>
      </c>
    </row>
    <row r="52" customFormat="false" ht="12.75" hidden="false" customHeight="false" outlineLevel="0" collapsed="false">
      <c r="A52" s="1" t="str">
        <f aca="false">HYPERLINK("https://lindat.mff.cuni.cz/services/PDT-Vallex4.5/PDT-Vallex4.5.html?verb=vzít#v41pmaX", "v41pmaX")</f>
        <v>v41pmaX</v>
      </c>
      <c r="B52" s="1" t="s">
        <v>99</v>
      </c>
      <c r="C52" s="1" t="str">
        <f aca="false">HYPERLINK("https://lindat.mff.cuni.cz/services/PDT-Vallex4.5/PDT-Vallex4.5.html?verb=vzít", "vzít")</f>
        <v>vzít</v>
      </c>
      <c r="D52" s="1" t="n">
        <v>52</v>
      </c>
      <c r="E52" s="1" t="n">
        <v>39</v>
      </c>
      <c r="F52" s="2" t="s">
        <v>56</v>
      </c>
      <c r="L52" s="1" t="s">
        <v>57</v>
      </c>
    </row>
    <row r="53" customFormat="false" ht="12.75" hidden="false" customHeight="false" outlineLevel="0" collapsed="false">
      <c r="A53" s="1" t="str">
        <f aca="false">HYPERLINK("https://lindat.mff.cuni.cz/services/PDT-Vallex4.5/PDT-Vallex4.5.html?verb=přijít#v41isgT", "v41isgT")</f>
        <v>v41isgT</v>
      </c>
      <c r="B53" s="1" t="s">
        <v>113</v>
      </c>
      <c r="C53" s="1" t="str">
        <f aca="false">HYPERLINK("https://lindat.mff.cuni.cz/services/PDT-Vallex4.5/PDT-Vallex4.5.html?verb=přijít", "přijít")</f>
        <v>přijít</v>
      </c>
      <c r="D53" s="1" t="n">
        <v>51</v>
      </c>
      <c r="E53" s="1" t="n">
        <v>36</v>
      </c>
      <c r="F53" s="2" t="s">
        <v>114</v>
      </c>
      <c r="L53" s="1" t="s">
        <v>115</v>
      </c>
    </row>
    <row r="54" customFormat="false" ht="12.75" hidden="false" customHeight="false" outlineLevel="0" collapsed="false">
      <c r="A54" s="1" t="str">
        <f aca="false">HYPERLINK("https://lindat.mff.cuni.cz/services/PDT-Vallex4.5/PDT-Vallex4.5.html?verb=dělat#v41reAB", "v41reAB")</f>
        <v>v41reAB</v>
      </c>
      <c r="B54" s="1" t="s">
        <v>116</v>
      </c>
      <c r="C54" s="1" t="str">
        <f aca="false">HYPERLINK("https://lindat.mff.cuni.cz/services/PDT-Vallex4.5/PDT-Vallex4.5.html?verb=dělat", "dělat")</f>
        <v>dělat</v>
      </c>
      <c r="D54" s="1" t="n">
        <v>45</v>
      </c>
      <c r="E54" s="1" t="n">
        <v>45</v>
      </c>
      <c r="F54" s="2" t="s">
        <v>117</v>
      </c>
      <c r="L54" s="1" t="s">
        <v>118</v>
      </c>
    </row>
    <row r="55" customFormat="false" ht="12.75" hidden="false" customHeight="false" outlineLevel="0" collapsed="false">
      <c r="A55" s="1" t="str">
        <f aca="false">HYPERLINK("https://lindat.mff.cuni.cz/services/PDT-Vallex4.5/PDT-Vallex4.5.html?verb=dělat#v41reS", "v41reS")</f>
        <v>v41reS</v>
      </c>
      <c r="B55" s="1" t="s">
        <v>116</v>
      </c>
      <c r="C55" s="1" t="str">
        <f aca="false">HYPERLINK("https://lindat.mff.cuni.cz/services/PDT-Vallex4.5/PDT-Vallex4.5.html?verb=dělat", "dělat")</f>
        <v>dělat</v>
      </c>
      <c r="D55" s="1" t="n">
        <v>45</v>
      </c>
      <c r="E55" s="1" t="n">
        <v>45</v>
      </c>
      <c r="F55" s="2" t="s">
        <v>16</v>
      </c>
      <c r="L55" s="1" t="s">
        <v>119</v>
      </c>
      <c r="M55" s="1" t="s">
        <v>120</v>
      </c>
    </row>
    <row r="56" customFormat="false" ht="12.75" hidden="false" customHeight="false" outlineLevel="0" collapsed="false">
      <c r="A56" s="1" t="str">
        <f aca="false">HYPERLINK("https://lindat.mff.cuni.cz/services/PDT-Vallex4.5/PDT-Vallex4.5.html?verb=dělat#v41reX", "v41reX")</f>
        <v>v41reX</v>
      </c>
      <c r="B56" s="1" t="s">
        <v>116</v>
      </c>
      <c r="C56" s="1" t="str">
        <f aca="false">HYPERLINK("https://lindat.mff.cuni.cz/services/PDT-Vallex4.5/PDT-Vallex4.5.html?verb=dělat", "dělat")</f>
        <v>dělat</v>
      </c>
      <c r="D56" s="1" t="n">
        <v>45</v>
      </c>
      <c r="E56" s="1" t="n">
        <v>45</v>
      </c>
      <c r="F56" s="2" t="s">
        <v>121</v>
      </c>
      <c r="L56" s="1" t="s">
        <v>122</v>
      </c>
    </row>
    <row r="57" customFormat="false" ht="12.75" hidden="false" customHeight="false" outlineLevel="0" collapsed="false">
      <c r="A57" s="1" t="str">
        <f aca="false">HYPERLINK("https://lindat.mff.cuni.cz/services/PDT-Vallex4.5/PDT-Vallex4.5.html?verb=brát#v41hsAF", "v41hsAF")</f>
        <v>v41hsAF</v>
      </c>
      <c r="B57" s="1" t="s">
        <v>123</v>
      </c>
      <c r="C57" s="1" t="str">
        <f aca="false">HYPERLINK("https://lindat.mff.cuni.cz/services/PDT-Vallex4.5/PDT-Vallex4.5.html?verb=brát", "brát")</f>
        <v>brát</v>
      </c>
      <c r="D57" s="1" t="n">
        <v>37</v>
      </c>
      <c r="E57" s="1" t="n">
        <v>28</v>
      </c>
      <c r="F57" s="2" t="s">
        <v>16</v>
      </c>
      <c r="L57" s="1" t="s">
        <v>124</v>
      </c>
      <c r="M57" s="3" t="s">
        <v>125</v>
      </c>
    </row>
    <row r="58" customFormat="false" ht="12.75" hidden="false" customHeight="false" outlineLevel="0" collapsed="false">
      <c r="A58" s="1" t="str">
        <f aca="false">HYPERLINK("https://lindat.mff.cuni.cz/services/PDT-Vallex4.5/PDT-Vallex4.5.html?verb=brát#v41hsAH", "v41hsAH")</f>
        <v>v41hsAH</v>
      </c>
      <c r="B58" s="1" t="s">
        <v>123</v>
      </c>
      <c r="C58" s="1" t="str">
        <f aca="false">HYPERLINK("https://lindat.mff.cuni.cz/services/PDT-Vallex4.5/PDT-Vallex4.5.html?verb=brát", "brát")</f>
        <v>brát</v>
      </c>
      <c r="D58" s="1" t="n">
        <v>37</v>
      </c>
      <c r="E58" s="1" t="n">
        <v>28</v>
      </c>
      <c r="F58" s="2" t="s">
        <v>126</v>
      </c>
      <c r="L58" s="1" t="s">
        <v>127</v>
      </c>
    </row>
    <row r="59" customFormat="false" ht="12.75" hidden="false" customHeight="false" outlineLevel="0" collapsed="false">
      <c r="A59" s="1" t="str">
        <f aca="false">HYPERLINK("https://lindat.mff.cuni.cz/services/PDT-Vallex4.5/PDT-Vallex4.5.html?verb=brát#v41hsT", "v41hsT")</f>
        <v>v41hsT</v>
      </c>
      <c r="B59" s="1" t="s">
        <v>123</v>
      </c>
      <c r="C59" s="1" t="str">
        <f aca="false">HYPERLINK("https://lindat.mff.cuni.cz/services/PDT-Vallex4.5/PDT-Vallex4.5.html?verb=brát", "brát")</f>
        <v>brát</v>
      </c>
      <c r="D59" s="1" t="n">
        <v>37</v>
      </c>
      <c r="E59" s="1" t="n">
        <v>28</v>
      </c>
      <c r="F59" s="2" t="s">
        <v>109</v>
      </c>
      <c r="L59" s="1" t="s">
        <v>110</v>
      </c>
    </row>
    <row r="60" customFormat="false" ht="12.75" hidden="false" customHeight="false" outlineLevel="0" collapsed="false">
      <c r="A60" s="1" t="str">
        <f aca="false">HYPERLINK("https://lindat.mff.cuni.cz/services/PDT-Vallex4.5/PDT-Vallex4.5.html?verb=brát#v41hsU", "v41hsU")</f>
        <v>v41hsU</v>
      </c>
      <c r="B60" s="1" t="s">
        <v>123</v>
      </c>
      <c r="C60" s="1" t="str">
        <f aca="false">HYPERLINK("https://lindat.mff.cuni.cz/services/PDT-Vallex4.5/PDT-Vallex4.5.html?verb=brát", "brát")</f>
        <v>brát</v>
      </c>
      <c r="D60" s="1" t="n">
        <v>37</v>
      </c>
      <c r="E60" s="1" t="n">
        <v>28</v>
      </c>
      <c r="F60" s="2" t="s">
        <v>128</v>
      </c>
      <c r="L60" s="1" t="s">
        <v>129</v>
      </c>
    </row>
    <row r="61" customFormat="false" ht="12.75" hidden="false" customHeight="false" outlineLevel="0" collapsed="false">
      <c r="A61" s="1" t="str">
        <f aca="false">HYPERLINK("https://lindat.mff.cuni.cz/services/PDT-Vallex4.5/PDT-Vallex4.5.html?verb=brát#v41hsW", "v41hsW")</f>
        <v>v41hsW</v>
      </c>
      <c r="B61" s="1" t="s">
        <v>123</v>
      </c>
      <c r="C61" s="1" t="str">
        <f aca="false">HYPERLINK("https://lindat.mff.cuni.cz/services/PDT-Vallex4.5/PDT-Vallex4.5.html?verb=brát", "brát")</f>
        <v>brát</v>
      </c>
      <c r="D61" s="1" t="n">
        <v>37</v>
      </c>
      <c r="E61" s="1" t="n">
        <v>28</v>
      </c>
      <c r="F61" s="2" t="s">
        <v>100</v>
      </c>
      <c r="L61" s="1" t="s">
        <v>101</v>
      </c>
    </row>
    <row r="62" customFormat="false" ht="12.75" hidden="false" customHeight="false" outlineLevel="0" collapsed="false">
      <c r="A62" s="1" t="str">
        <f aca="false">HYPERLINK("https://lindat.mff.cuni.cz/services/PDT-Vallex4.5/PDT-Vallex4.5.html?verb=držet#v41alcAH", "v41alcAH")</f>
        <v>v41alcAH</v>
      </c>
      <c r="B62" s="1" t="s">
        <v>130</v>
      </c>
      <c r="C62" s="1" t="str">
        <f aca="false">HYPERLINK("https://lindat.mff.cuni.cz/services/PDT-Vallex4.5/PDT-Vallex4.5.html?verb=držet", "držet")</f>
        <v>držet</v>
      </c>
      <c r="D62" s="1" t="n">
        <v>34</v>
      </c>
      <c r="E62" s="1" t="n">
        <v>27</v>
      </c>
      <c r="F62" s="2" t="s">
        <v>131</v>
      </c>
      <c r="L62" s="1" t="s">
        <v>132</v>
      </c>
    </row>
    <row r="63" customFormat="false" ht="12.75" hidden="false" customHeight="false" outlineLevel="0" collapsed="false">
      <c r="A63" s="1" t="str">
        <f aca="false">HYPERLINK("https://lindat.mff.cuni.cz/services/PDT-Vallex4.5/PDT-Vallex4.5.html?verb=držet#v41alcF", "v41alcF")</f>
        <v>v41alcF</v>
      </c>
      <c r="B63" s="1" t="s">
        <v>130</v>
      </c>
      <c r="C63" s="1" t="str">
        <f aca="false">HYPERLINK("https://lindat.mff.cuni.cz/services/PDT-Vallex4.5/PDT-Vallex4.5.html?verb=držet", "držet")</f>
        <v>držet</v>
      </c>
      <c r="D63" s="1" t="n">
        <v>34</v>
      </c>
      <c r="E63" s="1" t="n">
        <v>27</v>
      </c>
      <c r="F63" s="2" t="s">
        <v>133</v>
      </c>
      <c r="L63" s="1" t="s">
        <v>134</v>
      </c>
    </row>
    <row r="64" customFormat="false" ht="12.75" hidden="false" customHeight="false" outlineLevel="0" collapsed="false">
      <c r="A64" s="1" t="str">
        <f aca="false">HYPERLINK("https://lindat.mff.cuni.cz/services/PDT-Vallex4.5/PDT-Vallex4.5.html?verb=držet#v41alcM", "v41alcM")</f>
        <v>v41alcM</v>
      </c>
      <c r="B64" s="1" t="s">
        <v>130</v>
      </c>
      <c r="C64" s="1" t="str">
        <f aca="false">HYPERLINK("https://lindat.mff.cuni.cz/services/PDT-Vallex4.5/PDT-Vallex4.5.html?verb=držet", "držet")</f>
        <v>držet</v>
      </c>
      <c r="D64" s="1" t="n">
        <v>34</v>
      </c>
      <c r="E64" s="1" t="n">
        <v>27</v>
      </c>
      <c r="F64" s="2" t="s">
        <v>135</v>
      </c>
      <c r="L64" s="1" t="s">
        <v>136</v>
      </c>
    </row>
    <row r="65" customFormat="false" ht="12.75" hidden="false" customHeight="false" outlineLevel="0" collapsed="false">
      <c r="A65" s="1" t="str">
        <f aca="false">HYPERLINK("https://lindat.mff.cuni.cz/services/PDT-Vallex4.5/PDT-Vallex4.5.html?verb=dostat#v41afvX", "v41afvX")</f>
        <v>v41afvX</v>
      </c>
      <c r="B65" s="1" t="s">
        <v>137</v>
      </c>
      <c r="C65" s="1" t="str">
        <f aca="false">HYPERLINK("https://lindat.mff.cuni.cz/services/PDT-Vallex4.5/PDT-Vallex4.5.html?verb=dostat", "dostat")</f>
        <v>dostat</v>
      </c>
      <c r="D65" s="1" t="n">
        <v>29</v>
      </c>
      <c r="E65" s="1" t="n">
        <v>17</v>
      </c>
      <c r="F65" s="2" t="s">
        <v>138</v>
      </c>
      <c r="L65" s="1" t="s">
        <v>139</v>
      </c>
    </row>
    <row r="66" customFormat="false" ht="12.75" hidden="false" customHeight="false" outlineLevel="0" collapsed="false">
      <c r="A66" s="1" t="str">
        <f aca="false">HYPERLINK("https://lindat.mff.cuni.cz/services/PDT-Vallex4.5/PDT-Vallex4.5.html?verb=bývat#v41juA", "v41juA")</f>
        <v>v41juA</v>
      </c>
      <c r="B66" s="1" t="s">
        <v>140</v>
      </c>
      <c r="C66" s="1" t="str">
        <f aca="false">HYPERLINK("https://lindat.mff.cuni.cz/services/PDT-Vallex4.5/PDT-Vallex4.5.html?verb=bývat", "bývat")</f>
        <v>bývat</v>
      </c>
      <c r="D66" s="1" t="n">
        <v>24</v>
      </c>
      <c r="E66" s="1" t="n">
        <v>23</v>
      </c>
      <c r="F66" s="2" t="s">
        <v>16</v>
      </c>
      <c r="L66" s="1" t="s">
        <v>141</v>
      </c>
      <c r="M66" s="1" t="s">
        <v>54</v>
      </c>
    </row>
    <row r="67" customFormat="false" ht="12.75" hidden="false" customHeight="false" outlineLevel="0" collapsed="false">
      <c r="A67" s="1" t="str">
        <f aca="false">HYPERLINK("https://lindat.mff.cuni.cz/services/PDT-Vallex4.5/PDT-Vallex4.5.html?verb=bývat#v41juB", "v41juB")</f>
        <v>v41juB</v>
      </c>
      <c r="B67" s="1" t="s">
        <v>140</v>
      </c>
      <c r="C67" s="1" t="str">
        <f aca="false">HYPERLINK("https://lindat.mff.cuni.cz/services/PDT-Vallex4.5/PDT-Vallex4.5.html?verb=bývat", "bývat")</f>
        <v>bývat</v>
      </c>
      <c r="D67" s="1" t="n">
        <v>24</v>
      </c>
      <c r="E67" s="1" t="n">
        <v>23</v>
      </c>
      <c r="F67" s="2" t="s">
        <v>142</v>
      </c>
      <c r="L67" s="1" t="s">
        <v>143</v>
      </c>
    </row>
    <row r="68" customFormat="false" ht="12.75" hidden="false" customHeight="false" outlineLevel="0" collapsed="false">
      <c r="A68" s="1" t="str">
        <f aca="false">HYPERLINK("https://lindat.mff.cuni.cz/services/PDT-Vallex4.5/PDT-Vallex4.5.html?verb=bývat#v41juC", "v41juC")</f>
        <v>v41juC</v>
      </c>
      <c r="B68" s="1" t="s">
        <v>140</v>
      </c>
      <c r="C68" s="1" t="str">
        <f aca="false">HYPERLINK("https://lindat.mff.cuni.cz/services/PDT-Vallex4.5/PDT-Vallex4.5.html?verb=bývat", "bývat")</f>
        <v>bývat</v>
      </c>
      <c r="D68" s="1" t="n">
        <v>24</v>
      </c>
      <c r="E68" s="1" t="n">
        <v>23</v>
      </c>
      <c r="F68" s="2" t="s">
        <v>144</v>
      </c>
      <c r="L68" s="1" t="s">
        <v>145</v>
      </c>
    </row>
    <row r="69" customFormat="false" ht="12.75" hidden="false" customHeight="false" outlineLevel="0" collapsed="false">
      <c r="A69" s="1" t="str">
        <f aca="false">HYPERLINK("https://lindat.mff.cuni.cz/services/PDT-Vallex4.5/PDT-Vallex4.5.html?verb=bývat#v41juE", "v41juE")</f>
        <v>v41juE</v>
      </c>
      <c r="B69" s="1" t="s">
        <v>140</v>
      </c>
      <c r="C69" s="1" t="str">
        <f aca="false">HYPERLINK("https://lindat.mff.cuni.cz/services/PDT-Vallex4.5/PDT-Vallex4.5.html?verb=bývat", "bývat")</f>
        <v>bývat</v>
      </c>
      <c r="D69" s="1" t="n">
        <v>24</v>
      </c>
      <c r="E69" s="1" t="n">
        <v>23</v>
      </c>
      <c r="F69" s="2" t="s">
        <v>16</v>
      </c>
      <c r="L69" s="1" t="s">
        <v>146</v>
      </c>
      <c r="M69" s="1" t="s">
        <v>147</v>
      </c>
    </row>
    <row r="70" customFormat="false" ht="12.75" hidden="false" customHeight="false" outlineLevel="0" collapsed="false">
      <c r="A70" s="1" t="str">
        <f aca="false">HYPERLINK("https://lindat.mff.cuni.cz/services/PDT-Vallex4.5/PDT-Vallex4.5.html?verb=bývat#v41juF", "v41juF")</f>
        <v>v41juF</v>
      </c>
      <c r="B70" s="1" t="s">
        <v>140</v>
      </c>
      <c r="C70" s="1" t="str">
        <f aca="false">HYPERLINK("https://lindat.mff.cuni.cz/services/PDT-Vallex4.5/PDT-Vallex4.5.html?verb=bývat", "bývat")</f>
        <v>bývat</v>
      </c>
      <c r="D70" s="1" t="n">
        <v>24</v>
      </c>
      <c r="E70" s="1" t="n">
        <v>23</v>
      </c>
      <c r="F70" s="2" t="s">
        <v>148</v>
      </c>
      <c r="L70" s="1" t="s">
        <v>149</v>
      </c>
    </row>
    <row r="71" customFormat="false" ht="12.75" hidden="false" customHeight="false" outlineLevel="0" collapsed="false">
      <c r="A71" s="1" t="str">
        <f aca="false">HYPERLINK("https://lindat.mff.cuni.cz/services/PDT-Vallex4.5/PDT-Vallex4.5.html?verb=bývat#v41juG", "v41juG")</f>
        <v>v41juG</v>
      </c>
      <c r="B71" s="1" t="s">
        <v>140</v>
      </c>
      <c r="C71" s="1" t="str">
        <f aca="false">HYPERLINK("https://lindat.mff.cuni.cz/services/PDT-Vallex4.5/PDT-Vallex4.5.html?verb=bývat", "bývat")</f>
        <v>bývat</v>
      </c>
      <c r="D71" s="1" t="n">
        <v>24</v>
      </c>
      <c r="E71" s="1" t="n">
        <v>23</v>
      </c>
      <c r="F71" s="2" t="s">
        <v>150</v>
      </c>
      <c r="H71" s="2" t="s">
        <v>151</v>
      </c>
      <c r="L71" s="1" t="s">
        <v>152</v>
      </c>
    </row>
    <row r="72" customFormat="false" ht="12.75" hidden="false" customHeight="false" outlineLevel="0" collapsed="false">
      <c r="A72" s="1" t="str">
        <f aca="false">HYPERLINK("https://lindat.mff.cuni.cz/services/PDT-Vallex4.5/PDT-Vallex4.5.html?verb=bývat#v41juH", "v41juH")</f>
        <v>v41juH</v>
      </c>
      <c r="B72" s="1" t="s">
        <v>140</v>
      </c>
      <c r="C72" s="1" t="str">
        <f aca="false">HYPERLINK("https://lindat.mff.cuni.cz/services/PDT-Vallex4.5/PDT-Vallex4.5.html?verb=bývat", "bývat")</f>
        <v>bývat</v>
      </c>
      <c r="D72" s="1" t="n">
        <v>24</v>
      </c>
      <c r="E72" s="1" t="n">
        <v>23</v>
      </c>
      <c r="F72" s="2" t="s">
        <v>153</v>
      </c>
      <c r="L72" s="1" t="s">
        <v>154</v>
      </c>
    </row>
    <row r="73" customFormat="false" ht="12.75" hidden="false" customHeight="false" outlineLevel="0" collapsed="false">
      <c r="A73" s="1" t="str">
        <f aca="false">HYPERLINK("https://lindat.mff.cuni.cz/services/PDT-Vallex4.5/PDT-Vallex4.5.html?verb=bývat#v41juL", "v41juL")</f>
        <v>v41juL</v>
      </c>
      <c r="B73" s="1" t="s">
        <v>140</v>
      </c>
      <c r="C73" s="1" t="str">
        <f aca="false">HYPERLINK("https://lindat.mff.cuni.cz/services/PDT-Vallex4.5/PDT-Vallex4.5.html?verb=bývat", "bývat")</f>
        <v>bývat</v>
      </c>
      <c r="D73" s="1" t="n">
        <v>24</v>
      </c>
      <c r="E73" s="1" t="n">
        <v>23</v>
      </c>
      <c r="F73" s="2" t="s">
        <v>16</v>
      </c>
      <c r="L73" s="1" t="s">
        <v>155</v>
      </c>
      <c r="M73" s="1" t="s">
        <v>156</v>
      </c>
    </row>
    <row r="74" customFormat="false" ht="12.75" hidden="false" customHeight="false" outlineLevel="0" collapsed="false">
      <c r="A74" s="1" t="str">
        <f aca="false">HYPERLINK("https://lindat.mff.cuni.cz/services/PDT-Vallex4.5/PDT-Vallex4.5.html?verb=bývat#v41juO", "v41juO")</f>
        <v>v41juO</v>
      </c>
      <c r="B74" s="1" t="s">
        <v>140</v>
      </c>
      <c r="C74" s="1" t="str">
        <f aca="false">HYPERLINK("https://lindat.mff.cuni.cz/services/PDT-Vallex4.5/PDT-Vallex4.5.html?verb=bývat", "bývat")</f>
        <v>bývat</v>
      </c>
      <c r="D74" s="1" t="n">
        <v>24</v>
      </c>
      <c r="E74" s="1" t="n">
        <v>23</v>
      </c>
      <c r="F74" s="2" t="s">
        <v>157</v>
      </c>
      <c r="H74" s="2" t="s">
        <v>158</v>
      </c>
      <c r="L74" s="1" t="s">
        <v>159</v>
      </c>
    </row>
    <row r="75" customFormat="false" ht="12.75" hidden="false" customHeight="false" outlineLevel="0" collapsed="false">
      <c r="A75" s="1" t="str">
        <f aca="false">HYPERLINK("https://lindat.mff.cuni.cz/services/PDT-Vallex4.5/PDT-Vallex4.5.html?verb=bývat#v41juP", "v41juP")</f>
        <v>v41juP</v>
      </c>
      <c r="B75" s="1" t="s">
        <v>140</v>
      </c>
      <c r="C75" s="1" t="str">
        <f aca="false">HYPERLINK("https://lindat.mff.cuni.cz/services/PDT-Vallex4.5/PDT-Vallex4.5.html?verb=bývat", "bývat")</f>
        <v>bývat</v>
      </c>
      <c r="D75" s="1" t="n">
        <v>24</v>
      </c>
      <c r="E75" s="1" t="n">
        <v>23</v>
      </c>
      <c r="F75" s="2" t="s">
        <v>160</v>
      </c>
      <c r="L75" s="1" t="s">
        <v>161</v>
      </c>
    </row>
    <row r="76" customFormat="false" ht="12.75" hidden="false" customHeight="false" outlineLevel="0" collapsed="false">
      <c r="A76" s="1" t="str">
        <f aca="false">HYPERLINK("https://lindat.mff.cuni.cz/services/PDT-Vallex4.5/PDT-Vallex4.5.html?verb=bývat#v41juQ", "v41juQ")</f>
        <v>v41juQ</v>
      </c>
      <c r="B76" s="1" t="s">
        <v>140</v>
      </c>
      <c r="C76" s="1" t="str">
        <f aca="false">HYPERLINK("https://lindat.mff.cuni.cz/services/PDT-Vallex4.5/PDT-Vallex4.5.html?verb=bývat", "bývat")</f>
        <v>bývat</v>
      </c>
      <c r="D76" s="1" t="n">
        <v>24</v>
      </c>
      <c r="E76" s="1" t="n">
        <v>23</v>
      </c>
      <c r="F76" s="2" t="s">
        <v>102</v>
      </c>
      <c r="L76" s="1" t="s">
        <v>103</v>
      </c>
    </row>
    <row r="77" customFormat="false" ht="12.75" hidden="false" customHeight="false" outlineLevel="0" collapsed="false">
      <c r="A77" s="1" t="str">
        <f aca="false">HYPERLINK("https://lindat.mff.cuni.cz/services/PDT-Vallex4.5/PDT-Vallex4.5.html?verb=bývat#v41juR", "v41juR")</f>
        <v>v41juR</v>
      </c>
      <c r="B77" s="1" t="s">
        <v>140</v>
      </c>
      <c r="C77" s="1" t="str">
        <f aca="false">HYPERLINK("https://lindat.mff.cuni.cz/services/PDT-Vallex4.5/PDT-Vallex4.5.html?verb=bývat", "bývat")</f>
        <v>bývat</v>
      </c>
      <c r="D77" s="1" t="n">
        <v>24</v>
      </c>
      <c r="E77" s="1" t="n">
        <v>23</v>
      </c>
      <c r="F77" s="2" t="s">
        <v>16</v>
      </c>
      <c r="L77" s="1" t="s">
        <v>162</v>
      </c>
      <c r="M77" s="4" t="s">
        <v>18</v>
      </c>
    </row>
    <row r="78" customFormat="false" ht="12.75" hidden="false" customHeight="false" outlineLevel="0" collapsed="false">
      <c r="A78" s="1" t="str">
        <f aca="false">HYPERLINK("https://lindat.mff.cuni.cz/services/PDT-Vallex4.5/PDT-Vallex4.5.html?verb=bývat#v41juS", "v41juS")</f>
        <v>v41juS</v>
      </c>
      <c r="B78" s="1" t="s">
        <v>140</v>
      </c>
      <c r="C78" s="1" t="str">
        <f aca="false">HYPERLINK("https://lindat.mff.cuni.cz/services/PDT-Vallex4.5/PDT-Vallex4.5.html?verb=bývat", "bývat")</f>
        <v>bývat</v>
      </c>
      <c r="D78" s="1" t="n">
        <v>24</v>
      </c>
      <c r="E78" s="1" t="n">
        <v>23</v>
      </c>
      <c r="F78" s="2" t="s">
        <v>158</v>
      </c>
      <c r="L78" s="1" t="s">
        <v>163</v>
      </c>
    </row>
    <row r="79" customFormat="false" ht="12.75" hidden="false" customHeight="false" outlineLevel="0" collapsed="false">
      <c r="A79" s="1" t="str">
        <f aca="false">HYPERLINK("https://lindat.mff.cuni.cz/services/PDT-Vallex4.5/PDT-Vallex4.5.html?verb=bývat#v41juT", "v41juT")</f>
        <v>v41juT</v>
      </c>
      <c r="B79" s="1" t="s">
        <v>140</v>
      </c>
      <c r="C79" s="1" t="str">
        <f aca="false">HYPERLINK("https://lindat.mff.cuni.cz/services/PDT-Vallex4.5/PDT-Vallex4.5.html?verb=bývat", "bývat")</f>
        <v>bývat</v>
      </c>
      <c r="D79" s="1" t="n">
        <v>24</v>
      </c>
      <c r="E79" s="1" t="n">
        <v>23</v>
      </c>
      <c r="F79" s="2" t="s">
        <v>62</v>
      </c>
      <c r="L79" s="1" t="s">
        <v>164</v>
      </c>
    </row>
    <row r="80" customFormat="false" ht="12.75" hidden="false" customHeight="false" outlineLevel="0" collapsed="false">
      <c r="A80" s="1" t="str">
        <f aca="false">HYPERLINK("https://lindat.mff.cuni.cz/services/PDT-Vallex4.5/PDT-Vallex4.5.html?verb=bývat#v41juU", "v41juU")</f>
        <v>v41juU</v>
      </c>
      <c r="B80" s="1" t="s">
        <v>140</v>
      </c>
      <c r="C80" s="1" t="str">
        <f aca="false">HYPERLINK("https://lindat.mff.cuni.cz/services/PDT-Vallex4.5/PDT-Vallex4.5.html?verb=bývat", "bývat")</f>
        <v>bývat</v>
      </c>
      <c r="D80" s="1" t="n">
        <v>24</v>
      </c>
      <c r="E80" s="1" t="n">
        <v>23</v>
      </c>
      <c r="F80" s="2" t="s">
        <v>165</v>
      </c>
      <c r="L80" s="1" t="s">
        <v>166</v>
      </c>
    </row>
    <row r="81" customFormat="false" ht="12.75" hidden="false" customHeight="false" outlineLevel="0" collapsed="false">
      <c r="A81" s="1" t="str">
        <f aca="false">HYPERLINK("https://lindat.mff.cuni.cz/services/PDT-Vallex4.5/PDT-Vallex4.5.html?verb=bývat#v41juV", "v41juV")</f>
        <v>v41juV</v>
      </c>
      <c r="B81" s="1" t="s">
        <v>140</v>
      </c>
      <c r="C81" s="1" t="str">
        <f aca="false">HYPERLINK("https://lindat.mff.cuni.cz/services/PDT-Vallex4.5/PDT-Vallex4.5.html?verb=bývat", "bývat")</f>
        <v>bývat</v>
      </c>
      <c r="D81" s="1" t="n">
        <v>24</v>
      </c>
      <c r="E81" s="1" t="n">
        <v>23</v>
      </c>
      <c r="F81" s="2" t="s">
        <v>167</v>
      </c>
      <c r="L81" s="1" t="s">
        <v>168</v>
      </c>
    </row>
    <row r="82" customFormat="false" ht="12.75" hidden="false" customHeight="false" outlineLevel="0" collapsed="false">
      <c r="A82" s="1" t="str">
        <f aca="false">HYPERLINK("https://lindat.mff.cuni.cz/services/PDT-Vallex4.5/PDT-Vallex4.5.html?verb=bývat#v41juW", "v41juW")</f>
        <v>v41juW</v>
      </c>
      <c r="B82" s="1" t="s">
        <v>140</v>
      </c>
      <c r="C82" s="1" t="str">
        <f aca="false">HYPERLINK("https://lindat.mff.cuni.cz/services/PDT-Vallex4.5/PDT-Vallex4.5.html?verb=bývat", "bývat")</f>
        <v>bývat</v>
      </c>
      <c r="D82" s="1" t="n">
        <v>24</v>
      </c>
      <c r="E82" s="1" t="n">
        <v>23</v>
      </c>
      <c r="F82" s="2" t="s">
        <v>16</v>
      </c>
      <c r="L82" s="1" t="s">
        <v>169</v>
      </c>
      <c r="M82" s="5" t="n">
        <v>3</v>
      </c>
    </row>
    <row r="83" customFormat="false" ht="12.75" hidden="false" customHeight="false" outlineLevel="0" collapsed="false">
      <c r="A83" s="1" t="str">
        <f aca="false">HYPERLINK("https://lindat.mff.cuni.cz/services/PDT-Vallex4.5/PDT-Vallex4.5.html?verb=bývat#v41juX", "v41juX")</f>
        <v>v41juX</v>
      </c>
      <c r="B83" s="1" t="s">
        <v>140</v>
      </c>
      <c r="C83" s="1" t="str">
        <f aca="false">HYPERLINK("https://lindat.mff.cuni.cz/services/PDT-Vallex4.5/PDT-Vallex4.5.html?verb=bývat", "bývat")</f>
        <v>bývat</v>
      </c>
      <c r="D83" s="1" t="n">
        <v>24</v>
      </c>
      <c r="E83" s="1" t="n">
        <v>23</v>
      </c>
      <c r="F83" s="2" t="s">
        <v>170</v>
      </c>
      <c r="L83" s="1" t="s">
        <v>171</v>
      </c>
    </row>
    <row r="84" customFormat="false" ht="12.75" hidden="false" customHeight="false" outlineLevel="0" collapsed="false">
      <c r="A84" s="1" t="str">
        <f aca="false">HYPERLINK("https://lindat.mff.cuni.cz/services/PDT-Vallex4.5/PDT-Vallex4.5.html?verb=vyjít#v41odzP", "v41odzP")</f>
        <v>v41odzP</v>
      </c>
      <c r="B84" s="1" t="s">
        <v>172</v>
      </c>
      <c r="C84" s="1" t="str">
        <f aca="false">HYPERLINK("https://lindat.mff.cuni.cz/services/PDT-Vallex4.5/PDT-Vallex4.5.html?verb=vyjít", "vyjít")</f>
        <v>vyjít</v>
      </c>
      <c r="D84" s="1" t="n">
        <v>24</v>
      </c>
      <c r="E84" s="1" t="n">
        <v>16</v>
      </c>
      <c r="F84" s="2" t="s">
        <v>62</v>
      </c>
      <c r="L84" s="1" t="s">
        <v>173</v>
      </c>
    </row>
    <row r="85" customFormat="false" ht="12.75" hidden="false" customHeight="false" outlineLevel="0" collapsed="false">
      <c r="A85" s="1" t="str">
        <f aca="false">HYPERLINK("https://lindat.mff.cuni.cz/services/PDT-Vallex4.5/PDT-Vallex4.5.html?verb=vést#v41njvA", "v41njvA")</f>
        <v>v41njvA</v>
      </c>
      <c r="B85" s="1" t="s">
        <v>174</v>
      </c>
      <c r="C85" s="1" t="str">
        <f aca="false">HYPERLINK("https://lindat.mff.cuni.cz/services/PDT-Vallex4.5/PDT-Vallex4.5.html?verb=vést", "vést")</f>
        <v>vést</v>
      </c>
      <c r="D85" s="1" t="n">
        <v>24</v>
      </c>
      <c r="E85" s="1" t="n">
        <v>15</v>
      </c>
      <c r="F85" s="2" t="s">
        <v>175</v>
      </c>
      <c r="L85" s="1" t="s">
        <v>176</v>
      </c>
    </row>
    <row r="86" customFormat="false" ht="12.75" hidden="false" customHeight="false" outlineLevel="0" collapsed="false">
      <c r="A86" s="1" t="str">
        <f aca="false">HYPERLINK("https://lindat.mff.cuni.cz/services/PDT-Vallex4.5/PDT-Vallex4.5.html?verb=vést#v41njvW", "v41njvW")</f>
        <v>v41njvW</v>
      </c>
      <c r="B86" s="1" t="s">
        <v>174</v>
      </c>
      <c r="C86" s="1" t="str">
        <f aca="false">HYPERLINK("https://lindat.mff.cuni.cz/services/PDT-Vallex4.5/PDT-Vallex4.5.html?verb=vést", "vést")</f>
        <v>vést</v>
      </c>
      <c r="D86" s="1" t="n">
        <v>24</v>
      </c>
      <c r="E86" s="1" t="n">
        <v>15</v>
      </c>
      <c r="F86" s="2" t="s">
        <v>177</v>
      </c>
      <c r="L86" s="1" t="s">
        <v>178</v>
      </c>
    </row>
    <row r="87" customFormat="false" ht="12.75" hidden="false" customHeight="false" outlineLevel="0" collapsed="false">
      <c r="A87" s="1" t="str">
        <f aca="false">HYPERLINK("https://lindat.mff.cuni.cz/services/PDT-Vallex4.5/PDT-Vallex4.5.html?verb=přicházet#v41irqG", "v41irqG")</f>
        <v>v41irqG</v>
      </c>
      <c r="B87" s="1" t="s">
        <v>179</v>
      </c>
      <c r="C87" s="1" t="str">
        <f aca="false">HYPERLINK("https://lindat.mff.cuni.cz/services/PDT-Vallex4.5/PDT-Vallex4.5.html?verb=přicházet", "přicházet")</f>
        <v>přicházet</v>
      </c>
      <c r="D87" s="1" t="n">
        <v>24</v>
      </c>
      <c r="E87" s="1" t="n">
        <v>10</v>
      </c>
      <c r="F87" s="2" t="s">
        <v>180</v>
      </c>
      <c r="L87" s="1" t="s">
        <v>181</v>
      </c>
    </row>
    <row r="88" customFormat="false" ht="12.75" hidden="false" customHeight="false" outlineLevel="0" collapsed="false">
      <c r="A88" s="1" t="str">
        <f aca="false">HYPERLINK("https://lindat.mff.cuni.cz/services/PDT-Vallex4.5/PDT-Vallex4.5.html?verb=přicházet#v41irqN", "v41irqN")</f>
        <v>v41irqN</v>
      </c>
      <c r="B88" s="1" t="s">
        <v>179</v>
      </c>
      <c r="C88" s="1" t="str">
        <f aca="false">HYPERLINK("https://lindat.mff.cuni.cz/services/PDT-Vallex4.5/PDT-Vallex4.5.html?verb=přicházet", "přicházet")</f>
        <v>přicházet</v>
      </c>
      <c r="D88" s="1" t="n">
        <v>24</v>
      </c>
      <c r="E88" s="1" t="n">
        <v>10</v>
      </c>
      <c r="F88" s="2" t="s">
        <v>182</v>
      </c>
      <c r="L88" s="1" t="s">
        <v>183</v>
      </c>
    </row>
    <row r="89" customFormat="false" ht="12.75" hidden="false" customHeight="false" outlineLevel="0" collapsed="false">
      <c r="A89" s="1" t="str">
        <f aca="false">HYPERLINK("https://lindat.mff.cuni.cz/services/PDT-Vallex4.5/PDT-Vallex4.5.html?verb=přicházet#v41irqO", "v41irqO")</f>
        <v>v41irqO</v>
      </c>
      <c r="B89" s="1" t="s">
        <v>179</v>
      </c>
      <c r="C89" s="1" t="str">
        <f aca="false">HYPERLINK("https://lindat.mff.cuni.cz/services/PDT-Vallex4.5/PDT-Vallex4.5.html?verb=přicházet", "přicházet")</f>
        <v>přicházet</v>
      </c>
      <c r="D89" s="1" t="n">
        <v>24</v>
      </c>
      <c r="E89" s="1" t="n">
        <v>10</v>
      </c>
      <c r="F89" s="2" t="s">
        <v>184</v>
      </c>
      <c r="L89" s="1" t="s">
        <v>185</v>
      </c>
    </row>
    <row r="90" customFormat="false" ht="12.75" hidden="false" customHeight="false" outlineLevel="0" collapsed="false">
      <c r="A90" s="1" t="str">
        <f aca="false">HYPERLINK("https://lindat.mff.cuni.cz/services/PDT-Vallex4.5/PDT-Vallex4.5.html?verb=přicházet#v41irqV", "v41irqV")</f>
        <v>v41irqV</v>
      </c>
      <c r="B90" s="1" t="s">
        <v>179</v>
      </c>
      <c r="C90" s="1" t="str">
        <f aca="false">HYPERLINK("https://lindat.mff.cuni.cz/services/PDT-Vallex4.5/PDT-Vallex4.5.html?verb=přicházet", "přicházet")</f>
        <v>přicházet</v>
      </c>
      <c r="D90" s="1" t="n">
        <v>24</v>
      </c>
      <c r="E90" s="1" t="n">
        <v>10</v>
      </c>
      <c r="F90" s="2" t="s">
        <v>186</v>
      </c>
      <c r="L90" s="1" t="s">
        <v>187</v>
      </c>
    </row>
    <row r="91" customFormat="false" ht="12.75" hidden="false" customHeight="false" outlineLevel="0" collapsed="false">
      <c r="A91" s="1" t="str">
        <f aca="false">HYPERLINK("https://lindat.mff.cuni.cz/services/PDT-Vallex4.5/PDT-Vallex4.5.html?verb=přicházet#v41irqX", "v41irqX")</f>
        <v>v41irqX</v>
      </c>
      <c r="B91" s="1" t="s">
        <v>179</v>
      </c>
      <c r="C91" s="1" t="str">
        <f aca="false">HYPERLINK("https://lindat.mff.cuni.cz/services/PDT-Vallex4.5/PDT-Vallex4.5.html?verb=přicházet", "přicházet")</f>
        <v>přicházet</v>
      </c>
      <c r="D91" s="1" t="n">
        <v>24</v>
      </c>
      <c r="E91" s="1" t="n">
        <v>10</v>
      </c>
      <c r="F91" s="2" t="s">
        <v>51</v>
      </c>
      <c r="L91" s="1" t="s">
        <v>188</v>
      </c>
    </row>
    <row r="92" customFormat="false" ht="12.75" hidden="false" customHeight="false" outlineLevel="0" collapsed="false">
      <c r="A92" s="1" t="str">
        <f aca="false">HYPERLINK("https://lindat.mff.cuni.cz/services/PDT-Vallex4.5/PDT-Vallex4.5.html?verb=udělat#v41mhqH", "v41mhqH")</f>
        <v>v41mhqH</v>
      </c>
      <c r="B92" s="1" t="s">
        <v>189</v>
      </c>
      <c r="C92" s="1" t="str">
        <f aca="false">HYPERLINK("https://lindat.mff.cuni.cz/services/PDT-Vallex4.5/PDT-Vallex4.5.html?verb=udělat", "udělat")</f>
        <v>udělat</v>
      </c>
      <c r="D92" s="1" t="n">
        <v>23</v>
      </c>
      <c r="E92" s="1" t="n">
        <v>14</v>
      </c>
      <c r="F92" s="2" t="s">
        <v>16</v>
      </c>
      <c r="L92" s="1" t="s">
        <v>190</v>
      </c>
      <c r="M92" s="1" t="s">
        <v>75</v>
      </c>
    </row>
    <row r="93" customFormat="false" ht="12.75" hidden="false" customHeight="false" outlineLevel="0" collapsed="false">
      <c r="A93" s="1" t="str">
        <f aca="false">HYPERLINK("https://lindat.mff.cuni.cz/services/PDT-Vallex4.5/PDT-Vallex4.5.html?verb=padnout#v41fhmB", "v41fhmB")</f>
        <v>v41fhmB</v>
      </c>
      <c r="B93" s="1" t="s">
        <v>191</v>
      </c>
      <c r="C93" s="1" t="str">
        <f aca="false">HYPERLINK("https://lindat.mff.cuni.cz/services/PDT-Vallex4.5/PDT-Vallex4.5.html?verb=padnout", "padnout")</f>
        <v>padnout</v>
      </c>
      <c r="D93" s="1" t="n">
        <v>22</v>
      </c>
      <c r="E93" s="1" t="n">
        <v>14</v>
      </c>
      <c r="F93" s="2" t="s">
        <v>192</v>
      </c>
      <c r="L93" s="1" t="s">
        <v>193</v>
      </c>
    </row>
    <row r="94" customFormat="false" ht="12.75" hidden="false" customHeight="false" outlineLevel="0" collapsed="false">
      <c r="A94" s="1" t="str">
        <f aca="false">HYPERLINK("https://lindat.mff.cuni.cz/services/PDT-Vallex4.5/PDT-Vallex4.5.html?verb=padnout#v41fhmC", "v41fhmC")</f>
        <v>v41fhmC</v>
      </c>
      <c r="B94" s="1" t="s">
        <v>191</v>
      </c>
      <c r="C94" s="1" t="str">
        <f aca="false">HYPERLINK("https://lindat.mff.cuni.cz/services/PDT-Vallex4.5/PDT-Vallex4.5.html?verb=padnout", "padnout")</f>
        <v>padnout</v>
      </c>
      <c r="D94" s="1" t="n">
        <v>22</v>
      </c>
      <c r="E94" s="1" t="n">
        <v>14</v>
      </c>
      <c r="F94" s="2" t="s">
        <v>182</v>
      </c>
      <c r="H94" s="2" t="s">
        <v>194</v>
      </c>
      <c r="L94" s="1" t="s">
        <v>195</v>
      </c>
    </row>
    <row r="95" customFormat="false" ht="12.75" hidden="false" customHeight="false" outlineLevel="0" collapsed="false">
      <c r="A95" s="1" t="str">
        <f aca="false">HYPERLINK("https://lindat.mff.cuni.cz/services/PDT-Vallex4.5/PDT-Vallex4.5.html?verb=padnout#v41fhmH", "v41fhmH")</f>
        <v>v41fhmH</v>
      </c>
      <c r="B95" s="1" t="s">
        <v>191</v>
      </c>
      <c r="C95" s="1" t="str">
        <f aca="false">HYPERLINK("https://lindat.mff.cuni.cz/services/PDT-Vallex4.5/PDT-Vallex4.5.html?verb=padnout", "padnout")</f>
        <v>padnout</v>
      </c>
      <c r="D95" s="1" t="n">
        <v>22</v>
      </c>
      <c r="E95" s="1" t="n">
        <v>14</v>
      </c>
      <c r="F95" s="2" t="s">
        <v>196</v>
      </c>
      <c r="L95" s="1" t="s">
        <v>197</v>
      </c>
    </row>
    <row r="96" customFormat="false" ht="12.75" hidden="false" customHeight="false" outlineLevel="0" collapsed="false">
      <c r="A96" s="1" t="str">
        <f aca="false">HYPERLINK("https://lindat.mff.cuni.cz/services/PDT-Vallex4.5/PDT-Vallex4.5.html?verb=mívat#v41chnF", "v41chnF")</f>
        <v>v41chnF</v>
      </c>
      <c r="B96" s="1" t="s">
        <v>198</v>
      </c>
      <c r="C96" s="1" t="str">
        <f aca="false">HYPERLINK("https://lindat.mff.cuni.cz/services/PDT-Vallex4.5/PDT-Vallex4.5.html?verb=mívat", "mívat")</f>
        <v>mívat</v>
      </c>
      <c r="D96" s="1" t="n">
        <v>22</v>
      </c>
      <c r="E96" s="1" t="n">
        <v>18</v>
      </c>
      <c r="F96" s="2" t="s">
        <v>21</v>
      </c>
      <c r="H96" s="2" t="s">
        <v>199</v>
      </c>
      <c r="L96" s="1" t="s">
        <v>200</v>
      </c>
    </row>
    <row r="97" customFormat="false" ht="12.75" hidden="false" customHeight="false" outlineLevel="0" collapsed="false">
      <c r="A97" s="1" t="str">
        <f aca="false">HYPERLINK("https://lindat.mff.cuni.cz/services/PDT-Vallex4.5/PDT-Vallex4.5.html?verb=mívat#v41chnG", "v41chnG")</f>
        <v>v41chnG</v>
      </c>
      <c r="B97" s="1" t="s">
        <v>198</v>
      </c>
      <c r="C97" s="1" t="str">
        <f aca="false">HYPERLINK("https://lindat.mff.cuni.cz/services/PDT-Vallex4.5/PDT-Vallex4.5.html?verb=mívat", "mívat")</f>
        <v>mívat</v>
      </c>
      <c r="D97" s="1" t="n">
        <v>22</v>
      </c>
      <c r="E97" s="1" t="n">
        <v>18</v>
      </c>
      <c r="F97" s="2" t="s">
        <v>16</v>
      </c>
      <c r="L97" s="1" t="s">
        <v>201</v>
      </c>
      <c r="M97" s="4" t="s">
        <v>202</v>
      </c>
    </row>
    <row r="98" customFormat="false" ht="12.75" hidden="false" customHeight="false" outlineLevel="0" collapsed="false">
      <c r="A98" s="1" t="str">
        <f aca="false">HYPERLINK("https://lindat.mff.cuni.cz/services/PDT-Vallex4.5/PDT-Vallex4.5.html?verb=mívat#v41chnH", "v41chnH")</f>
        <v>v41chnH</v>
      </c>
      <c r="B98" s="1" t="s">
        <v>198</v>
      </c>
      <c r="C98" s="1" t="str">
        <f aca="false">HYPERLINK("https://lindat.mff.cuni.cz/services/PDT-Vallex4.5/PDT-Vallex4.5.html?verb=mívat", "mívat")</f>
        <v>mívat</v>
      </c>
      <c r="D98" s="1" t="n">
        <v>22</v>
      </c>
      <c r="E98" s="1" t="n">
        <v>18</v>
      </c>
      <c r="F98" s="2" t="s">
        <v>203</v>
      </c>
      <c r="L98" s="1" t="s">
        <v>204</v>
      </c>
    </row>
    <row r="99" customFormat="false" ht="12.75" hidden="false" customHeight="false" outlineLevel="0" collapsed="false">
      <c r="A99" s="1" t="str">
        <f aca="false">HYPERLINK("https://lindat.mff.cuni.cz/services/PDT-Vallex4.5/PDT-Vallex4.5.html?verb=mívat#v41chnJ", "v41chnJ")</f>
        <v>v41chnJ</v>
      </c>
      <c r="B99" s="1" t="s">
        <v>198</v>
      </c>
      <c r="C99" s="1" t="str">
        <f aca="false">HYPERLINK("https://lindat.mff.cuni.cz/services/PDT-Vallex4.5/PDT-Vallex4.5.html?verb=mívat", "mívat")</f>
        <v>mívat</v>
      </c>
      <c r="D99" s="1" t="n">
        <v>22</v>
      </c>
      <c r="E99" s="1" t="n">
        <v>18</v>
      </c>
      <c r="F99" s="2" t="s">
        <v>205</v>
      </c>
      <c r="H99" s="2" t="s">
        <v>206</v>
      </c>
      <c r="L99" s="1" t="s">
        <v>207</v>
      </c>
    </row>
    <row r="100" customFormat="false" ht="12.75" hidden="false" customHeight="false" outlineLevel="0" collapsed="false">
      <c r="A100" s="1" t="str">
        <f aca="false">HYPERLINK("https://lindat.mff.cuni.cz/services/PDT-Vallex4.5/PDT-Vallex4.5.html?verb=mívat#v41chnK", "v41chnK")</f>
        <v>v41chnK</v>
      </c>
      <c r="B100" s="1" t="s">
        <v>198</v>
      </c>
      <c r="C100" s="1" t="str">
        <f aca="false">HYPERLINK("https://lindat.mff.cuni.cz/services/PDT-Vallex4.5/PDT-Vallex4.5.html?verb=mívat", "mívat")</f>
        <v>mívat</v>
      </c>
      <c r="D100" s="1" t="n">
        <v>22</v>
      </c>
      <c r="E100" s="1" t="n">
        <v>18</v>
      </c>
      <c r="F100" s="2" t="s">
        <v>208</v>
      </c>
      <c r="H100" s="2" t="s">
        <v>209</v>
      </c>
      <c r="J100" s="2" t="s">
        <v>210</v>
      </c>
      <c r="L100" s="1" t="s">
        <v>211</v>
      </c>
    </row>
    <row r="101" customFormat="false" ht="12.75" hidden="false" customHeight="false" outlineLevel="0" collapsed="false">
      <c r="A101" s="1" t="str">
        <f aca="false">HYPERLINK("https://lindat.mff.cuni.cz/services/PDT-Vallex4.5/PDT-Vallex4.5.html?verb=mívat#v41chnL", "v41chnL")</f>
        <v>v41chnL</v>
      </c>
      <c r="B101" s="1" t="s">
        <v>198</v>
      </c>
      <c r="C101" s="1" t="str">
        <f aca="false">HYPERLINK("https://lindat.mff.cuni.cz/services/PDT-Vallex4.5/PDT-Vallex4.5.html?verb=mívat", "mívat")</f>
        <v>mívat</v>
      </c>
      <c r="D101" s="1" t="n">
        <v>22</v>
      </c>
      <c r="E101" s="1" t="n">
        <v>18</v>
      </c>
      <c r="F101" s="2" t="s">
        <v>13</v>
      </c>
      <c r="H101" s="2" t="s">
        <v>212</v>
      </c>
      <c r="L101" s="1" t="s">
        <v>213</v>
      </c>
    </row>
    <row r="102" customFormat="false" ht="12.75" hidden="false" customHeight="false" outlineLevel="0" collapsed="false">
      <c r="A102" s="1" t="str">
        <f aca="false">HYPERLINK("https://lindat.mff.cuni.cz/services/PDT-Vallex4.5/PDT-Vallex4.5.html?verb=mívat#v41chnM", "v41chnM")</f>
        <v>v41chnM</v>
      </c>
      <c r="B102" s="1" t="s">
        <v>198</v>
      </c>
      <c r="C102" s="1" t="str">
        <f aca="false">HYPERLINK("https://lindat.mff.cuni.cz/services/PDT-Vallex4.5/PDT-Vallex4.5.html?verb=mívat", "mívat")</f>
        <v>mívat</v>
      </c>
      <c r="D102" s="1" t="n">
        <v>22</v>
      </c>
      <c r="E102" s="1" t="n">
        <v>18</v>
      </c>
      <c r="F102" s="2" t="s">
        <v>214</v>
      </c>
      <c r="L102" s="1" t="s">
        <v>215</v>
      </c>
    </row>
    <row r="103" customFormat="false" ht="12.75" hidden="false" customHeight="false" outlineLevel="0" collapsed="false">
      <c r="A103" s="1" t="str">
        <f aca="false">HYPERLINK("https://lindat.mff.cuni.cz/services/PDT-Vallex4.5/PDT-Vallex4.5.html?verb=mívat#v41chnN", "v41chnN")</f>
        <v>v41chnN</v>
      </c>
      <c r="B103" s="1" t="s">
        <v>198</v>
      </c>
      <c r="C103" s="1" t="str">
        <f aca="false">HYPERLINK("https://lindat.mff.cuni.cz/services/PDT-Vallex4.5/PDT-Vallex4.5.html?verb=mívat", "mívat")</f>
        <v>mívat</v>
      </c>
      <c r="D103" s="1" t="n">
        <v>22</v>
      </c>
      <c r="E103" s="1" t="n">
        <v>18</v>
      </c>
      <c r="F103" s="2" t="s">
        <v>216</v>
      </c>
      <c r="L103" s="1" t="s">
        <v>217</v>
      </c>
    </row>
    <row r="104" customFormat="false" ht="12.75" hidden="false" customHeight="false" outlineLevel="0" collapsed="false">
      <c r="A104" s="1" t="str">
        <f aca="false">HYPERLINK("https://lindat.mff.cuni.cz/services/PDT-Vallex4.5/PDT-Vallex4.5.html?verb=mívat#v41chnO", "v41chnO")</f>
        <v>v41chnO</v>
      </c>
      <c r="B104" s="1" t="s">
        <v>198</v>
      </c>
      <c r="C104" s="1" t="str">
        <f aca="false">HYPERLINK("https://lindat.mff.cuni.cz/services/PDT-Vallex4.5/PDT-Vallex4.5.html?verb=mívat", "mívat")</f>
        <v>mívat</v>
      </c>
      <c r="D104" s="1" t="n">
        <v>22</v>
      </c>
      <c r="E104" s="1" t="n">
        <v>18</v>
      </c>
      <c r="F104" s="2" t="s">
        <v>218</v>
      </c>
      <c r="L104" s="1" t="s">
        <v>219</v>
      </c>
    </row>
    <row r="105" customFormat="false" ht="12.75" hidden="false" customHeight="false" outlineLevel="0" collapsed="false">
      <c r="A105" s="1" t="str">
        <f aca="false">HYPERLINK("https://lindat.mff.cuni.cz/services/PDT-Vallex4.5/PDT-Vallex4.5.html?verb=mívat#v41chnR", "v41chnR")</f>
        <v>v41chnR</v>
      </c>
      <c r="B105" s="1" t="s">
        <v>198</v>
      </c>
      <c r="C105" s="1" t="str">
        <f aca="false">HYPERLINK("https://lindat.mff.cuni.cz/services/PDT-Vallex4.5/PDT-Vallex4.5.html?verb=mívat", "mívat")</f>
        <v>mívat</v>
      </c>
      <c r="D105" s="1" t="n">
        <v>22</v>
      </c>
      <c r="E105" s="1" t="n">
        <v>18</v>
      </c>
      <c r="F105" s="2" t="s">
        <v>16</v>
      </c>
      <c r="L105" s="1" t="s">
        <v>220</v>
      </c>
      <c r="M105" s="3" t="s">
        <v>221</v>
      </c>
    </row>
    <row r="106" customFormat="false" ht="12.75" hidden="false" customHeight="false" outlineLevel="0" collapsed="false">
      <c r="A106" s="1" t="str">
        <f aca="false">HYPERLINK("https://lindat.mff.cuni.cz/services/PDT-Vallex4.5/PDT-Vallex4.5.html?verb=mívat#v41chnS", "v41chnS")</f>
        <v>v41chnS</v>
      </c>
      <c r="B106" s="1" t="s">
        <v>198</v>
      </c>
      <c r="C106" s="1" t="str">
        <f aca="false">HYPERLINK("https://lindat.mff.cuni.cz/services/PDT-Vallex4.5/PDT-Vallex4.5.html?verb=mívat", "mívat")</f>
        <v>mívat</v>
      </c>
      <c r="D106" s="1" t="n">
        <v>22</v>
      </c>
      <c r="E106" s="1" t="n">
        <v>18</v>
      </c>
      <c r="F106" s="2" t="s">
        <v>222</v>
      </c>
      <c r="L106" s="1" t="s">
        <v>223</v>
      </c>
    </row>
    <row r="107" customFormat="false" ht="12.75" hidden="false" customHeight="false" outlineLevel="0" collapsed="false">
      <c r="A107" s="1" t="str">
        <f aca="false">HYPERLINK("https://lindat.mff.cuni.cz/services/PDT-Vallex4.5/PDT-Vallex4.5.html?verb=mívat#v41chnV", "v41chnV")</f>
        <v>v41chnV</v>
      </c>
      <c r="B107" s="1" t="s">
        <v>198</v>
      </c>
      <c r="C107" s="1" t="str">
        <f aca="false">HYPERLINK("https://lindat.mff.cuni.cz/services/PDT-Vallex4.5/PDT-Vallex4.5.html?verb=mívat", "mívat")</f>
        <v>mívat</v>
      </c>
      <c r="D107" s="1" t="n">
        <v>22</v>
      </c>
      <c r="E107" s="1" t="n">
        <v>18</v>
      </c>
      <c r="F107" s="2" t="s">
        <v>224</v>
      </c>
      <c r="H107" s="2" t="s">
        <v>225</v>
      </c>
      <c r="L107" s="1" t="s">
        <v>226</v>
      </c>
    </row>
    <row r="108" customFormat="false" ht="12.75" hidden="false" customHeight="false" outlineLevel="0" collapsed="false">
      <c r="A108" s="1" t="str">
        <f aca="false">HYPERLINK("https://lindat.mff.cuni.cz/services/PDT-Vallex4.5/PDT-Vallex4.5.html?verb=vycházet#v41ocbB", "v41ocbB")</f>
        <v>v41ocbB</v>
      </c>
      <c r="B108" s="1" t="s">
        <v>227</v>
      </c>
      <c r="C108" s="1" t="str">
        <f aca="false">HYPERLINK("https://lindat.mff.cuni.cz/services/PDT-Vallex4.5/PDT-Vallex4.5.html?verb=vycházet", "vycházet")</f>
        <v>vycházet</v>
      </c>
      <c r="D108" s="1" t="n">
        <v>20</v>
      </c>
      <c r="E108" s="1" t="n">
        <v>13</v>
      </c>
      <c r="F108" s="2" t="s">
        <v>228</v>
      </c>
      <c r="L108" s="1" t="s">
        <v>229</v>
      </c>
    </row>
    <row r="109" customFormat="false" ht="12.75" hidden="false" customHeight="false" outlineLevel="0" collapsed="false">
      <c r="A109" s="1" t="str">
        <f aca="false">HYPERLINK("https://lindat.mff.cuni.cz/services/PDT-Vallex4.5/PDT-Vallex4.5.html?verb=vycházet#v41ocbE", "v41ocbE")</f>
        <v>v41ocbE</v>
      </c>
      <c r="B109" s="1" t="s">
        <v>227</v>
      </c>
      <c r="C109" s="1" t="str">
        <f aca="false">HYPERLINK("https://lindat.mff.cuni.cz/services/PDT-Vallex4.5/PDT-Vallex4.5.html?verb=vycházet", "vycházet")</f>
        <v>vycházet</v>
      </c>
      <c r="D109" s="1" t="n">
        <v>20</v>
      </c>
      <c r="E109" s="1" t="n">
        <v>13</v>
      </c>
      <c r="F109" s="2" t="s">
        <v>16</v>
      </c>
      <c r="L109" s="1" t="s">
        <v>230</v>
      </c>
      <c r="M109" s="1" t="s">
        <v>231</v>
      </c>
    </row>
    <row r="110" customFormat="false" ht="12.75" hidden="false" customHeight="false" outlineLevel="0" collapsed="false">
      <c r="A110" s="1" t="str">
        <f aca="false">HYPERLINK("https://lindat.mff.cuni.cz/services/PDT-Vallex4.5/PDT-Vallex4.5.html?verb=vycházet#v41ocbG", "v41ocbG")</f>
        <v>v41ocbG</v>
      </c>
      <c r="B110" s="1" t="s">
        <v>227</v>
      </c>
      <c r="C110" s="1" t="str">
        <f aca="false">HYPERLINK("https://lindat.mff.cuni.cz/services/PDT-Vallex4.5/PDT-Vallex4.5.html?verb=vycházet", "vycházet")</f>
        <v>vycházet</v>
      </c>
      <c r="D110" s="1" t="n">
        <v>20</v>
      </c>
      <c r="E110" s="1" t="n">
        <v>13</v>
      </c>
      <c r="F110" s="2" t="s">
        <v>232</v>
      </c>
      <c r="L110" s="1" t="s">
        <v>233</v>
      </c>
    </row>
    <row r="111" customFormat="false" ht="12.75" hidden="false" customHeight="false" outlineLevel="0" collapsed="false">
      <c r="A111" s="1" t="str">
        <f aca="false">HYPERLINK("https://lindat.mff.cuni.cz/services/PDT-Vallex4.5/PDT-Vallex4.5.html?verb=vycházet#v41ocbJ", "v41ocbJ")</f>
        <v>v41ocbJ</v>
      </c>
      <c r="B111" s="1" t="s">
        <v>227</v>
      </c>
      <c r="C111" s="1" t="str">
        <f aca="false">HYPERLINK("https://lindat.mff.cuni.cz/services/PDT-Vallex4.5/PDT-Vallex4.5.html?verb=vycházet", "vycházet")</f>
        <v>vycházet</v>
      </c>
      <c r="D111" s="1" t="n">
        <v>20</v>
      </c>
      <c r="E111" s="1" t="n">
        <v>13</v>
      </c>
      <c r="F111" s="2" t="s">
        <v>234</v>
      </c>
      <c r="H111" s="2" t="s">
        <v>235</v>
      </c>
      <c r="L111" s="1" t="s">
        <v>236</v>
      </c>
    </row>
    <row r="112" customFormat="false" ht="12.75" hidden="false" customHeight="false" outlineLevel="0" collapsed="false">
      <c r="A112" s="1" t="str">
        <f aca="false">HYPERLINK("https://lindat.mff.cuni.cz/services/PDT-Vallex4.5/PDT-Vallex4.5.html?verb=chodit#v41bbiE", "v41bbiE")</f>
        <v>v41bbiE</v>
      </c>
      <c r="B112" s="1" t="s">
        <v>237</v>
      </c>
      <c r="C112" s="1" t="str">
        <f aca="false">HYPERLINK("https://lindat.mff.cuni.cz/services/PDT-Vallex4.5/PDT-Vallex4.5.html?verb=chodit", "chodit")</f>
        <v>chodit</v>
      </c>
      <c r="D112" s="1" t="n">
        <v>16</v>
      </c>
      <c r="E112" s="1" t="n">
        <v>13</v>
      </c>
      <c r="F112" s="2" t="s">
        <v>150</v>
      </c>
      <c r="L112" s="1" t="s">
        <v>238</v>
      </c>
    </row>
    <row r="113" customFormat="false" ht="12.75" hidden="false" customHeight="false" outlineLevel="0" collapsed="false">
      <c r="A113" s="1" t="str">
        <f aca="false">HYPERLINK("https://lindat.mff.cuni.cz/services/PDT-Vallex4.5/PDT-Vallex4.5.html?verb=chodit#v41bbiP", "v41bbiP")</f>
        <v>v41bbiP</v>
      </c>
      <c r="B113" s="1" t="s">
        <v>237</v>
      </c>
      <c r="C113" s="1" t="str">
        <f aca="false">HYPERLINK("https://lindat.mff.cuni.cz/services/PDT-Vallex4.5/PDT-Vallex4.5.html?verb=chodit", "chodit")</f>
        <v>chodit</v>
      </c>
      <c r="D113" s="1" t="n">
        <v>16</v>
      </c>
      <c r="E113" s="1" t="n">
        <v>13</v>
      </c>
      <c r="F113" s="2" t="s">
        <v>69</v>
      </c>
      <c r="L113" s="1" t="s">
        <v>239</v>
      </c>
    </row>
    <row r="114" customFormat="false" ht="12.75" hidden="false" customHeight="false" outlineLevel="0" collapsed="false">
      <c r="A114" s="1" t="str">
        <f aca="false">HYPERLINK("https://lindat.mff.cuni.cz/services/PDT-Vallex4.5/PDT-Vallex4.5.html?verb=vzít si#v41pmcC", "v41pmcC")</f>
        <v>v41pmcC</v>
      </c>
      <c r="B114" s="1" t="s">
        <v>240</v>
      </c>
      <c r="C114" s="1" t="str">
        <f aca="false">HYPERLINK("https://lindat.mff.cuni.cz/services/PDT-Vallex4.5/PDT-Vallex4.5.html?verb=vzít si", "vzít si")</f>
        <v>vzít si</v>
      </c>
      <c r="D114" s="1" t="n">
        <v>16</v>
      </c>
      <c r="E114" s="1" t="n">
        <v>13</v>
      </c>
      <c r="F114" s="2" t="s">
        <v>241</v>
      </c>
      <c r="L114" s="1" t="s">
        <v>242</v>
      </c>
    </row>
    <row r="115" customFormat="false" ht="12.75" hidden="false" customHeight="false" outlineLevel="0" collapsed="false">
      <c r="A115" s="1" t="str">
        <f aca="false">HYPERLINK("https://lindat.mff.cuni.cz/services/PDT-Vallex4.5/PDT-Vallex4.5.html?verb=dojít#v41zdD", "v41zdD")</f>
        <v>v41zdD</v>
      </c>
      <c r="B115" s="1" t="s">
        <v>243</v>
      </c>
      <c r="C115" s="1" t="str">
        <f aca="false">HYPERLINK("https://lindat.mff.cuni.cz/services/PDT-Vallex4.5/PDT-Vallex4.5.html?verb=dojít", "dojít")</f>
        <v>dojít</v>
      </c>
      <c r="D115" s="1" t="n">
        <v>15</v>
      </c>
      <c r="E115" s="1" t="n">
        <v>8</v>
      </c>
      <c r="F115" s="2" t="s">
        <v>244</v>
      </c>
      <c r="L115" s="1" t="s">
        <v>245</v>
      </c>
    </row>
    <row r="116" customFormat="false" ht="12.75" hidden="false" customHeight="false" outlineLevel="0" collapsed="false">
      <c r="A116" s="1" t="str">
        <f aca="false">HYPERLINK("https://lindat.mff.cuni.cz/services/PDT-Vallex4.5/PDT-Vallex4.5.html?verb=dojít#v41zdK", "v41zdK")</f>
        <v>v41zdK</v>
      </c>
      <c r="B116" s="1" t="s">
        <v>243</v>
      </c>
      <c r="C116" s="1" t="str">
        <f aca="false">HYPERLINK("https://lindat.mff.cuni.cz/services/PDT-Vallex4.5/PDT-Vallex4.5.html?verb=dojít", "dojít")</f>
        <v>dojít</v>
      </c>
      <c r="D116" s="1" t="n">
        <v>15</v>
      </c>
      <c r="E116" s="1" t="n">
        <v>8</v>
      </c>
      <c r="F116" s="2" t="s">
        <v>246</v>
      </c>
      <c r="L116" s="1" t="s">
        <v>247</v>
      </c>
    </row>
    <row r="117" customFormat="false" ht="12.75" hidden="false" customHeight="false" outlineLevel="0" collapsed="false">
      <c r="A117" s="1" t="str">
        <f aca="false">HYPERLINK("https://lindat.mff.cuni.cz/services/PDT-Vallex4.5/PDT-Vallex4.5.html?verb=vydat#v41nwvD", "v41nwvD")</f>
        <v>v41nwvD</v>
      </c>
      <c r="B117" s="1" t="s">
        <v>248</v>
      </c>
      <c r="C117" s="1" t="str">
        <f aca="false">HYPERLINK("https://lindat.mff.cuni.cz/services/PDT-Vallex4.5/PDT-Vallex4.5.html?verb=vydat", "vydat")</f>
        <v>vydat</v>
      </c>
      <c r="D117" s="1" t="n">
        <v>15</v>
      </c>
      <c r="E117" s="1" t="n">
        <v>6</v>
      </c>
      <c r="F117" s="2" t="s">
        <v>249</v>
      </c>
      <c r="L117" s="1" t="s">
        <v>250</v>
      </c>
    </row>
    <row r="118" customFormat="false" ht="12.75" hidden="false" customHeight="false" outlineLevel="0" collapsed="false">
      <c r="A118" s="1" t="str">
        <f aca="false">HYPERLINK("https://lindat.mff.cuni.cz/services/PDT-Vallex4.5/PDT-Vallex4.5.html?verb=vydat#v41nwvJ", "v41nwvJ")</f>
        <v>v41nwvJ</v>
      </c>
      <c r="B118" s="1" t="s">
        <v>248</v>
      </c>
      <c r="C118" s="1" t="str">
        <f aca="false">HYPERLINK("https://lindat.mff.cuni.cz/services/PDT-Vallex4.5/PDT-Vallex4.5.html?verb=vydat", "vydat")</f>
        <v>vydat</v>
      </c>
      <c r="D118" s="1" t="n">
        <v>15</v>
      </c>
      <c r="E118" s="1" t="n">
        <v>6</v>
      </c>
      <c r="F118" s="2" t="s">
        <v>16</v>
      </c>
      <c r="L118" s="1" t="s">
        <v>251</v>
      </c>
      <c r="M118" s="1" t="s">
        <v>54</v>
      </c>
    </row>
    <row r="119" customFormat="false" ht="12.75" hidden="false" customHeight="false" outlineLevel="0" collapsed="false">
      <c r="A119" s="1" t="str">
        <f aca="false">HYPERLINK("https://lindat.mff.cuni.cz/services/PDT-Vallex4.5/PDT-Vallex4.5.html?verb=vydat#v41nwvM", "v41nwvM")</f>
        <v>v41nwvM</v>
      </c>
      <c r="B119" s="1" t="s">
        <v>248</v>
      </c>
      <c r="C119" s="1" t="str">
        <f aca="false">HYPERLINK("https://lindat.mff.cuni.cz/services/PDT-Vallex4.5/PDT-Vallex4.5.html?verb=vydat", "vydat")</f>
        <v>vydat</v>
      </c>
      <c r="D119" s="1" t="n">
        <v>15</v>
      </c>
      <c r="E119" s="1" t="n">
        <v>6</v>
      </c>
      <c r="F119" s="2" t="s">
        <v>252</v>
      </c>
      <c r="L119" s="1" t="s">
        <v>253</v>
      </c>
    </row>
    <row r="120" customFormat="false" ht="12.75" hidden="false" customHeight="false" outlineLevel="0" collapsed="false">
      <c r="A120" s="1" t="str">
        <f aca="false">HYPERLINK("https://lindat.mff.cuni.cz/services/PDT-Vallex4.5/PDT-Vallex4.5.html?verb=nést#v41dkkG", "v41dkkG")</f>
        <v>v41dkkG</v>
      </c>
      <c r="B120" s="1" t="s">
        <v>254</v>
      </c>
      <c r="C120" s="1" t="str">
        <f aca="false">HYPERLINK("https://lindat.mff.cuni.cz/services/PDT-Vallex4.5/PDT-Vallex4.5.html?verb=nést", "nést")</f>
        <v>nést</v>
      </c>
      <c r="D120" s="1" t="n">
        <v>14</v>
      </c>
      <c r="E120" s="1" t="n">
        <v>10</v>
      </c>
      <c r="F120" s="2" t="s">
        <v>88</v>
      </c>
      <c r="L120" s="1" t="s">
        <v>255</v>
      </c>
    </row>
    <row r="121" customFormat="false" ht="12.75" hidden="false" customHeight="false" outlineLevel="0" collapsed="false">
      <c r="A121" s="1" t="str">
        <f aca="false">HYPERLINK("https://lindat.mff.cuni.cz/services/PDT-Vallex4.5/PDT-Vallex4.5.html?verb=nést#v41dkkH", "v41dkkH")</f>
        <v>v41dkkH</v>
      </c>
      <c r="B121" s="1" t="s">
        <v>254</v>
      </c>
      <c r="C121" s="1" t="str">
        <f aca="false">HYPERLINK("https://lindat.mff.cuni.cz/services/PDT-Vallex4.5/PDT-Vallex4.5.html?verb=nést", "nést")</f>
        <v>nést</v>
      </c>
      <c r="D121" s="1" t="n">
        <v>14</v>
      </c>
      <c r="E121" s="1" t="n">
        <v>10</v>
      </c>
      <c r="F121" s="2" t="s">
        <v>256</v>
      </c>
      <c r="L121" s="1" t="s">
        <v>257</v>
      </c>
    </row>
    <row r="122" customFormat="false" ht="12.75" hidden="false" customHeight="false" outlineLevel="0" collapsed="false">
      <c r="A122" s="1" t="str">
        <f aca="false">HYPERLINK("https://lindat.mff.cuni.cz/services/PDT-Vallex4.5/PDT-Vallex4.5.html?verb=nést#v41dkkJ", "v41dkkJ")</f>
        <v>v41dkkJ</v>
      </c>
      <c r="B122" s="1" t="s">
        <v>254</v>
      </c>
      <c r="C122" s="1" t="str">
        <f aca="false">HYPERLINK("https://lindat.mff.cuni.cz/services/PDT-Vallex4.5/PDT-Vallex4.5.html?verb=nést", "nést")</f>
        <v>nést</v>
      </c>
      <c r="D122" s="1" t="n">
        <v>14</v>
      </c>
      <c r="E122" s="1" t="n">
        <v>10</v>
      </c>
      <c r="F122" s="2" t="s">
        <v>258</v>
      </c>
      <c r="L122" s="1" t="s">
        <v>259</v>
      </c>
    </row>
    <row r="123" customFormat="false" ht="12.75" hidden="false" customHeight="false" outlineLevel="0" collapsed="false">
      <c r="A123" s="1" t="str">
        <f aca="false">HYPERLINK("https://lindat.mff.cuni.cz/services/PDT-Vallex4.5/PDT-Vallex4.5.html?verb=nést#v41dkkM", "v41dkkM")</f>
        <v>v41dkkM</v>
      </c>
      <c r="B123" s="1" t="s">
        <v>254</v>
      </c>
      <c r="C123" s="1" t="str">
        <f aca="false">HYPERLINK("https://lindat.mff.cuni.cz/services/PDT-Vallex4.5/PDT-Vallex4.5.html?verb=nést", "nést")</f>
        <v>nést</v>
      </c>
      <c r="D123" s="1" t="n">
        <v>14</v>
      </c>
      <c r="E123" s="1" t="n">
        <v>10</v>
      </c>
      <c r="F123" s="2" t="s">
        <v>260</v>
      </c>
      <c r="L123" s="1" t="s">
        <v>261</v>
      </c>
    </row>
    <row r="124" customFormat="false" ht="12.75" hidden="false" customHeight="false" outlineLevel="0" collapsed="false">
      <c r="A124" s="1" t="str">
        <f aca="false">HYPERLINK("https://lindat.mff.cuni.cz/services/PDT-Vallex4.5/PDT-Vallex4.5.html?verb=dostávat#v41afzA", "v41afzA")</f>
        <v>v41afzA</v>
      </c>
      <c r="B124" s="1" t="s">
        <v>262</v>
      </c>
      <c r="C124" s="1" t="str">
        <f aca="false">HYPERLINK("https://lindat.mff.cuni.cz/services/PDT-Vallex4.5/PDT-Vallex4.5.html?verb=dostávat", "dostávat")</f>
        <v>dostávat</v>
      </c>
      <c r="D124" s="1" t="n">
        <v>14</v>
      </c>
      <c r="E124" s="1" t="n">
        <v>8</v>
      </c>
      <c r="F124" s="2" t="s">
        <v>16</v>
      </c>
      <c r="L124" s="1" t="s">
        <v>263</v>
      </c>
      <c r="M124" s="1" t="s">
        <v>264</v>
      </c>
    </row>
    <row r="125" customFormat="false" ht="12.75" hidden="false" customHeight="false" outlineLevel="0" collapsed="false">
      <c r="A125" s="1" t="str">
        <f aca="false">HYPERLINK("https://lindat.mff.cuni.cz/services/PDT-Vallex4.5/PDT-Vallex4.5.html?verb=dostávat#v41afzF", "v41afzF")</f>
        <v>v41afzF</v>
      </c>
      <c r="B125" s="1" t="s">
        <v>262</v>
      </c>
      <c r="C125" s="1" t="str">
        <f aca="false">HYPERLINK("https://lindat.mff.cuni.cz/services/PDT-Vallex4.5/PDT-Vallex4.5.html?verb=dostávat", "dostávat")</f>
        <v>dostávat</v>
      </c>
      <c r="D125" s="1" t="n">
        <v>14</v>
      </c>
      <c r="E125" s="1" t="n">
        <v>8</v>
      </c>
      <c r="F125" s="2" t="s">
        <v>265</v>
      </c>
      <c r="L125" s="1" t="s">
        <v>266</v>
      </c>
    </row>
    <row r="126" customFormat="false" ht="12.75" hidden="false" customHeight="false" outlineLevel="0" collapsed="false">
      <c r="A126" s="1" t="str">
        <f aca="false">HYPERLINK("https://lindat.mff.cuni.cz/services/PDT-Vallex4.5/PDT-Vallex4.5.html?verb=dostávat#v41afzI", "v41afzI")</f>
        <v>v41afzI</v>
      </c>
      <c r="B126" s="1" t="s">
        <v>262</v>
      </c>
      <c r="C126" s="1" t="str">
        <f aca="false">HYPERLINK("https://lindat.mff.cuni.cz/services/PDT-Vallex4.5/PDT-Vallex4.5.html?verb=dostávat", "dostávat")</f>
        <v>dostávat</v>
      </c>
      <c r="D126" s="1" t="n">
        <v>14</v>
      </c>
      <c r="E126" s="1" t="n">
        <v>8</v>
      </c>
      <c r="F126" s="2" t="s">
        <v>267</v>
      </c>
      <c r="L126" s="1" t="s">
        <v>268</v>
      </c>
    </row>
    <row r="127" customFormat="false" ht="12.75" hidden="false" customHeight="false" outlineLevel="0" collapsed="false">
      <c r="A127" s="1" t="str">
        <f aca="false">HYPERLINK("https://lindat.mff.cuni.cz/services/PDT-Vallex4.5/PDT-Vallex4.5.html?verb=dostávat#v41afzK", "v41afzK")</f>
        <v>v41afzK</v>
      </c>
      <c r="B127" s="1" t="s">
        <v>262</v>
      </c>
      <c r="C127" s="1" t="str">
        <f aca="false">HYPERLINK("https://lindat.mff.cuni.cz/services/PDT-Vallex4.5/PDT-Vallex4.5.html?verb=dostávat", "dostávat")</f>
        <v>dostávat</v>
      </c>
      <c r="D127" s="1" t="n">
        <v>14</v>
      </c>
      <c r="E127" s="1" t="n">
        <v>8</v>
      </c>
      <c r="F127" s="2" t="s">
        <v>269</v>
      </c>
      <c r="L127" s="1" t="s">
        <v>270</v>
      </c>
    </row>
    <row r="128" customFormat="false" ht="12.75" hidden="false" customHeight="false" outlineLevel="0" collapsed="false">
      <c r="A128" s="1" t="str">
        <f aca="false">HYPERLINK("https://lindat.mff.cuni.cz/services/PDT-Vallex4.5/PDT-Vallex4.5.html?verb=dostávat#v41afzL", "v41afzL")</f>
        <v>v41afzL</v>
      </c>
      <c r="B128" s="1" t="s">
        <v>262</v>
      </c>
      <c r="C128" s="1" t="str">
        <f aca="false">HYPERLINK("https://lindat.mff.cuni.cz/services/PDT-Vallex4.5/PDT-Vallex4.5.html?verb=dostávat", "dostávat")</f>
        <v>dostávat</v>
      </c>
      <c r="D128" s="1" t="n">
        <v>14</v>
      </c>
      <c r="E128" s="1" t="n">
        <v>8</v>
      </c>
      <c r="F128" s="2" t="s">
        <v>271</v>
      </c>
      <c r="L128" s="1" t="s">
        <v>272</v>
      </c>
    </row>
    <row r="129" customFormat="false" ht="12.75" hidden="false" customHeight="false" outlineLevel="0" collapsed="false">
      <c r="A129" s="1" t="str">
        <f aca="false">HYPERLINK("https://lindat.mff.cuni.cz/services/PDT-Vallex4.5/PDT-Vallex4.5.html?verb=složit#v41ktwG", "v41ktwG")</f>
        <v>v41ktwG</v>
      </c>
      <c r="B129" s="1" t="s">
        <v>273</v>
      </c>
      <c r="C129" s="1" t="str">
        <f aca="false">HYPERLINK("https://lindat.mff.cuni.cz/services/PDT-Vallex4.5/PDT-Vallex4.5.html?verb=složit", "složit")</f>
        <v>složit</v>
      </c>
      <c r="D129" s="1" t="n">
        <v>13</v>
      </c>
      <c r="E129" s="1" t="n">
        <v>9</v>
      </c>
      <c r="F129" s="2" t="s">
        <v>274</v>
      </c>
      <c r="L129" s="1" t="s">
        <v>275</v>
      </c>
    </row>
    <row r="130" customFormat="false" ht="12.75" hidden="false" customHeight="false" outlineLevel="0" collapsed="false">
      <c r="A130" s="1" t="str">
        <f aca="false">HYPERLINK("https://lindat.mff.cuni.cz/services/PDT-Vallex4.5/PDT-Vallex4.5.html?verb=složit#v41ktwI", "v41ktwI")</f>
        <v>v41ktwI</v>
      </c>
      <c r="B130" s="1" t="s">
        <v>273</v>
      </c>
      <c r="C130" s="1" t="str">
        <f aca="false">HYPERLINK("https://lindat.mff.cuni.cz/services/PDT-Vallex4.5/PDT-Vallex4.5.html?verb=složit", "složit")</f>
        <v>složit</v>
      </c>
      <c r="D130" s="1" t="n">
        <v>13</v>
      </c>
      <c r="E130" s="1" t="n">
        <v>9</v>
      </c>
      <c r="F130" s="2" t="s">
        <v>276</v>
      </c>
      <c r="L130" s="1" t="s">
        <v>277</v>
      </c>
    </row>
    <row r="131" customFormat="false" ht="12.75" hidden="false" customHeight="false" outlineLevel="0" collapsed="false">
      <c r="A131" s="1" t="str">
        <f aca="false">HYPERLINK("https://lindat.mff.cuni.cz/services/PDT-Vallex4.5/PDT-Vallex4.5.html?verb=mluvit#v41chxE", "v41chxE")</f>
        <v>v41chxE</v>
      </c>
      <c r="B131" s="1" t="s">
        <v>278</v>
      </c>
      <c r="C131" s="1" t="str">
        <f aca="false">HYPERLINK("https://lindat.mff.cuni.cz/services/PDT-Vallex4.5/PDT-Vallex4.5.html?verb=mluvit", "mluvit")</f>
        <v>mluvit</v>
      </c>
      <c r="D131" s="1" t="n">
        <v>13</v>
      </c>
      <c r="E131" s="1" t="n">
        <v>9</v>
      </c>
      <c r="F131" s="2" t="s">
        <v>279</v>
      </c>
      <c r="L131" s="1" t="s">
        <v>280</v>
      </c>
    </row>
    <row r="132" customFormat="false" ht="12.75" hidden="false" customHeight="false" outlineLevel="0" collapsed="false">
      <c r="A132" s="1" t="str">
        <f aca="false">HYPERLINK("https://lindat.mff.cuni.cz/services/PDT-Vallex4.5/PDT-Vallex4.5.html?verb=mluvit#v41chxK", "v41chxK")</f>
        <v>v41chxK</v>
      </c>
      <c r="B132" s="1" t="s">
        <v>278</v>
      </c>
      <c r="C132" s="1" t="str">
        <f aca="false">HYPERLINK("https://lindat.mff.cuni.cz/services/PDT-Vallex4.5/PDT-Vallex4.5.html?verb=mluvit", "mluvit")</f>
        <v>mluvit</v>
      </c>
      <c r="D132" s="1" t="n">
        <v>13</v>
      </c>
      <c r="E132" s="1" t="n">
        <v>9</v>
      </c>
      <c r="F132" s="2" t="s">
        <v>281</v>
      </c>
      <c r="L132" s="1" t="s">
        <v>282</v>
      </c>
    </row>
    <row r="133" customFormat="false" ht="12.75" hidden="false" customHeight="false" outlineLevel="0" collapsed="false">
      <c r="A133" s="1" t="str">
        <f aca="false">HYPERLINK("https://lindat.mff.cuni.cz/services/PDT-Vallex4.5/PDT-Vallex4.5.html?verb=zůstat#v41sadI", "v41sadI")</f>
        <v>v41sadI</v>
      </c>
      <c r="B133" s="1" t="s">
        <v>283</v>
      </c>
      <c r="C133" s="1" t="str">
        <f aca="false">HYPERLINK("https://lindat.mff.cuni.cz/services/PDT-Vallex4.5/PDT-Vallex4.5.html?verb=zůstat", "zůstat")</f>
        <v>zůstat</v>
      </c>
      <c r="D133" s="1" t="n">
        <v>13</v>
      </c>
      <c r="E133" s="1" t="n">
        <v>6</v>
      </c>
      <c r="F133" s="2" t="s">
        <v>284</v>
      </c>
      <c r="L133" s="1" t="s">
        <v>285</v>
      </c>
    </row>
    <row r="134" customFormat="false" ht="12.75" hidden="false" customHeight="false" outlineLevel="0" collapsed="false">
      <c r="A134" s="1" t="str">
        <f aca="false">HYPERLINK("https://lindat.mff.cuni.cz/services/PDT-Vallex4.5/PDT-Vallex4.5.html?verb=klást#v41bkwL", "v41bkwL")</f>
        <v>v41bkwL</v>
      </c>
      <c r="B134" s="1" t="s">
        <v>286</v>
      </c>
      <c r="C134" s="1" t="str">
        <f aca="false">HYPERLINK("https://lindat.mff.cuni.cz/services/PDT-Vallex4.5/PDT-Vallex4.5.html?verb=klást", "klást")</f>
        <v>klást</v>
      </c>
      <c r="D134" s="1" t="n">
        <v>12</v>
      </c>
      <c r="E134" s="1" t="n">
        <v>7</v>
      </c>
      <c r="F134" s="2" t="s">
        <v>16</v>
      </c>
      <c r="L134" s="1" t="s">
        <v>287</v>
      </c>
      <c r="M134" s="3" t="s">
        <v>288</v>
      </c>
    </row>
    <row r="135" customFormat="false" ht="12.75" hidden="false" customHeight="false" outlineLevel="0" collapsed="false">
      <c r="A135" s="1" t="str">
        <f aca="false">HYPERLINK("https://lindat.mff.cuni.cz/services/PDT-Vallex4.5/PDT-Vallex4.5.html?verb=podat#v41fqjG", "v41fqjG")</f>
        <v>v41fqjG</v>
      </c>
      <c r="B135" s="1" t="s">
        <v>289</v>
      </c>
      <c r="C135" s="1" t="str">
        <f aca="false">HYPERLINK("https://lindat.mff.cuni.cz/services/PDT-Vallex4.5/PDT-Vallex4.5.html?verb=podat", "podat")</f>
        <v>podat</v>
      </c>
      <c r="D135" s="1" t="n">
        <v>12</v>
      </c>
      <c r="E135" s="1" t="n">
        <v>8</v>
      </c>
      <c r="F135" s="2" t="s">
        <v>88</v>
      </c>
      <c r="L135" s="1" t="s">
        <v>290</v>
      </c>
    </row>
    <row r="136" customFormat="false" ht="12.75" hidden="false" customHeight="false" outlineLevel="0" collapsed="false">
      <c r="A136" s="1" t="str">
        <f aca="false">HYPERLINK("https://lindat.mff.cuni.cz/services/PDT-Vallex4.5/PDT-Vallex4.5.html?verb=držet se#v41aldB", "v41aldB")</f>
        <v>v41aldB</v>
      </c>
      <c r="B136" s="1" t="s">
        <v>291</v>
      </c>
      <c r="C136" s="1" t="str">
        <f aca="false">HYPERLINK("https://lindat.mff.cuni.cz/services/PDT-Vallex4.5/PDT-Vallex4.5.html?verb=držet se", "držet se")</f>
        <v>držet se</v>
      </c>
      <c r="D136" s="1" t="n">
        <v>11</v>
      </c>
      <c r="E136" s="1" t="n">
        <v>6</v>
      </c>
      <c r="F136" s="2" t="s">
        <v>292</v>
      </c>
      <c r="L136" s="1" t="s">
        <v>293</v>
      </c>
    </row>
    <row r="137" customFormat="false" ht="12.75" hidden="false" customHeight="false" outlineLevel="0" collapsed="false">
      <c r="A137" s="1" t="str">
        <f aca="false">HYPERLINK("https://lindat.mff.cuni.cz/services/PDT-Vallex4.5/PDT-Vallex4.5.html?verb=hovořit#v41aybD", "v41aybD")</f>
        <v>v41aybD</v>
      </c>
      <c r="B137" s="1" t="s">
        <v>294</v>
      </c>
      <c r="C137" s="1" t="str">
        <f aca="false">HYPERLINK("https://lindat.mff.cuni.cz/services/PDT-Vallex4.5/PDT-Vallex4.5.html?verb=hovořit", "hovořit")</f>
        <v>hovořit</v>
      </c>
      <c r="D137" s="1" t="n">
        <v>11</v>
      </c>
      <c r="E137" s="1" t="n">
        <v>6</v>
      </c>
      <c r="F137" s="2" t="s">
        <v>279</v>
      </c>
      <c r="L137" s="1" t="s">
        <v>280</v>
      </c>
    </row>
    <row r="138" customFormat="false" ht="12.75" hidden="false" customHeight="false" outlineLevel="0" collapsed="false">
      <c r="A138" s="1" t="str">
        <f aca="false">HYPERLINK("https://lindat.mff.cuni.cz/services/PDT-Vallex4.5/PDT-Vallex4.5.html?verb=hovořit#v41aybI", "v41aybI")</f>
        <v>v41aybI</v>
      </c>
      <c r="B138" s="1" t="s">
        <v>294</v>
      </c>
      <c r="C138" s="1" t="str">
        <f aca="false">HYPERLINK("https://lindat.mff.cuni.cz/services/PDT-Vallex4.5/PDT-Vallex4.5.html?verb=hovořit", "hovořit")</f>
        <v>hovořit</v>
      </c>
      <c r="D138" s="1" t="n">
        <v>11</v>
      </c>
      <c r="E138" s="1" t="n">
        <v>6</v>
      </c>
      <c r="F138" s="2" t="s">
        <v>281</v>
      </c>
      <c r="L138" s="1" t="s">
        <v>282</v>
      </c>
    </row>
    <row r="139" customFormat="false" ht="12.75" hidden="false" customHeight="false" outlineLevel="0" collapsed="false">
      <c r="A139" s="1" t="str">
        <f aca="false">HYPERLINK("https://lindat.mff.cuni.cz/services/PDT-Vallex4.5/PDT-Vallex4.5.html?verb=chytit#v41bczF", "v41bczF")</f>
        <v>v41bczF</v>
      </c>
      <c r="B139" s="1" t="s">
        <v>295</v>
      </c>
      <c r="C139" s="1" t="str">
        <f aca="false">HYPERLINK("https://lindat.mff.cuni.cz/services/PDT-Vallex4.5/PDT-Vallex4.5.html?verb=chytit", "chytit")</f>
        <v>chytit</v>
      </c>
      <c r="D139" s="1" t="n">
        <v>11</v>
      </c>
      <c r="E139" s="1" t="n">
        <v>6</v>
      </c>
      <c r="F139" s="2" t="s">
        <v>244</v>
      </c>
      <c r="L139" s="1" t="s">
        <v>245</v>
      </c>
    </row>
    <row r="140" customFormat="false" ht="12.75" hidden="false" customHeight="false" outlineLevel="0" collapsed="false">
      <c r="A140" s="1" t="str">
        <f aca="false">HYPERLINK("https://lindat.mff.cuni.cz/services/PDT-Vallex4.5/PDT-Vallex4.5.html?verb=ztratit#v41rzdI", "v41rzdI")</f>
        <v>v41rzdI</v>
      </c>
      <c r="B140" s="1" t="s">
        <v>296</v>
      </c>
      <c r="C140" s="1" t="str">
        <f aca="false">HYPERLINK("https://lindat.mff.cuni.cz/services/PDT-Vallex4.5/PDT-Vallex4.5.html?verb=ztratit", "ztratit")</f>
        <v>ztratit</v>
      </c>
      <c r="D140" s="1" t="n">
        <v>11</v>
      </c>
      <c r="E140" s="1" t="n">
        <v>5</v>
      </c>
      <c r="F140" s="2" t="s">
        <v>16</v>
      </c>
      <c r="L140" s="1" t="s">
        <v>297</v>
      </c>
      <c r="M140" s="1" t="s">
        <v>298</v>
      </c>
    </row>
    <row r="141" customFormat="false" ht="12.75" hidden="false" customHeight="false" outlineLevel="0" collapsed="false">
      <c r="A141" s="1" t="str">
        <f aca="false">HYPERLINK("https://lindat.mff.cuni.cz/services/PDT-Vallex4.5/PDT-Vallex4.5.html?verb=ztratit#v41rzdJ", "v41rzdJ")</f>
        <v>v41rzdJ</v>
      </c>
      <c r="B141" s="1" t="s">
        <v>296</v>
      </c>
      <c r="C141" s="1" t="str">
        <f aca="false">HYPERLINK("https://lindat.mff.cuni.cz/services/PDT-Vallex4.5/PDT-Vallex4.5.html?verb=ztratit", "ztratit")</f>
        <v>ztratit</v>
      </c>
      <c r="D141" s="1" t="n">
        <v>11</v>
      </c>
      <c r="E141" s="1" t="n">
        <v>5</v>
      </c>
      <c r="F141" s="2" t="s">
        <v>16</v>
      </c>
      <c r="L141" s="1" t="s">
        <v>297</v>
      </c>
      <c r="M141" s="1" t="s">
        <v>298</v>
      </c>
    </row>
    <row r="142" customFormat="false" ht="12.75" hidden="false" customHeight="false" outlineLevel="0" collapsed="false">
      <c r="A142" s="1" t="str">
        <f aca="false">HYPERLINK("https://lindat.mff.cuni.cz/services/PDT-Vallex4.5/PDT-Vallex4.5.html?verb=ztratit#v41rzdK", "v41rzdK")</f>
        <v>v41rzdK</v>
      </c>
      <c r="B142" s="1" t="s">
        <v>296</v>
      </c>
      <c r="C142" s="1" t="str">
        <f aca="false">HYPERLINK("https://lindat.mff.cuni.cz/services/PDT-Vallex4.5/PDT-Vallex4.5.html?verb=ztratit", "ztratit")</f>
        <v>ztratit</v>
      </c>
      <c r="D142" s="1" t="n">
        <v>11</v>
      </c>
      <c r="E142" s="1" t="n">
        <v>5</v>
      </c>
      <c r="F142" s="2" t="s">
        <v>299</v>
      </c>
      <c r="L142" s="1" t="s">
        <v>300</v>
      </c>
    </row>
    <row r="143" customFormat="false" ht="12.75" hidden="false" customHeight="false" outlineLevel="0" collapsed="false">
      <c r="A143" s="1" t="str">
        <f aca="false">HYPERLINK("https://lindat.mff.cuni.cz/services/PDT-Vallex4.5/PDT-Vallex4.5.html?verb=jet#v41bhuA", "v41bhuA")</f>
        <v>v41bhuA</v>
      </c>
      <c r="B143" s="1" t="s">
        <v>301</v>
      </c>
      <c r="C143" s="1" t="str">
        <f aca="false">HYPERLINK("https://lindat.mff.cuni.cz/services/PDT-Vallex4.5/PDT-Vallex4.5.html?verb=jet", "jet")</f>
        <v>jet</v>
      </c>
      <c r="D143" s="1" t="n">
        <v>11</v>
      </c>
      <c r="E143" s="1" t="n">
        <v>9</v>
      </c>
      <c r="F143" s="2" t="s">
        <v>16</v>
      </c>
      <c r="L143" s="1" t="s">
        <v>302</v>
      </c>
      <c r="M143" s="1" t="s">
        <v>303</v>
      </c>
    </row>
    <row r="144" customFormat="false" ht="12.75" hidden="false" customHeight="false" outlineLevel="0" collapsed="false">
      <c r="A144" s="1" t="str">
        <f aca="false">HYPERLINK("https://lindat.mff.cuni.cz/services/PDT-Vallex4.5/PDT-Vallex4.5.html?verb=jet#v41bhuE", "v41bhuE")</f>
        <v>v41bhuE</v>
      </c>
      <c r="B144" s="1" t="s">
        <v>301</v>
      </c>
      <c r="C144" s="1" t="str">
        <f aca="false">HYPERLINK("https://lindat.mff.cuni.cz/services/PDT-Vallex4.5/PDT-Vallex4.5.html?verb=jet", "jet")</f>
        <v>jet</v>
      </c>
      <c r="D144" s="1" t="n">
        <v>11</v>
      </c>
      <c r="E144" s="1" t="n">
        <v>9</v>
      </c>
      <c r="F144" s="2" t="s">
        <v>16</v>
      </c>
      <c r="L144" s="1" t="s">
        <v>304</v>
      </c>
      <c r="M144" s="1" t="s">
        <v>305</v>
      </c>
    </row>
    <row r="145" customFormat="false" ht="12.75" hidden="false" customHeight="false" outlineLevel="0" collapsed="false">
      <c r="A145" s="1" t="str">
        <f aca="false">HYPERLINK("https://lindat.mff.cuni.cz/services/PDT-Vallex4.5/PDT-Vallex4.5.html?verb=činit#v41noH", "v41noH")</f>
        <v>v41noH</v>
      </c>
      <c r="B145" s="1" t="s">
        <v>306</v>
      </c>
      <c r="C145" s="1" t="str">
        <f aca="false">HYPERLINK("https://lindat.mff.cuni.cz/services/PDT-Vallex4.5/PDT-Vallex4.5.html?verb=činit", "činit")</f>
        <v>činit</v>
      </c>
      <c r="D145" s="1" t="n">
        <v>11</v>
      </c>
      <c r="E145" s="1" t="n">
        <v>5</v>
      </c>
      <c r="F145" s="2" t="s">
        <v>199</v>
      </c>
      <c r="L145" s="1" t="s">
        <v>307</v>
      </c>
    </row>
    <row r="146" customFormat="false" ht="12.75" hidden="false" customHeight="false" outlineLevel="0" collapsed="false">
      <c r="A146" s="1" t="str">
        <f aca="false">HYPERLINK("https://lindat.mff.cuni.cz/services/PDT-Vallex4.5/PDT-Vallex4.5.html?verb=činit#v41noJ", "v41noJ")</f>
        <v>v41noJ</v>
      </c>
      <c r="B146" s="1" t="s">
        <v>306</v>
      </c>
      <c r="C146" s="1" t="str">
        <f aca="false">HYPERLINK("https://lindat.mff.cuni.cz/services/PDT-Vallex4.5/PDT-Vallex4.5.html?verb=činit", "činit")</f>
        <v>činit</v>
      </c>
      <c r="D146" s="1" t="n">
        <v>11</v>
      </c>
      <c r="E146" s="1" t="n">
        <v>5</v>
      </c>
      <c r="F146" s="2" t="s">
        <v>308</v>
      </c>
      <c r="L146" s="1" t="s">
        <v>309</v>
      </c>
    </row>
    <row r="147" customFormat="false" ht="12.75" hidden="false" customHeight="false" outlineLevel="0" collapsed="false">
      <c r="A147" s="1" t="str">
        <f aca="false">HYPERLINK("https://lindat.mff.cuni.cz/services/PDT-Vallex4.5/PDT-Vallex4.5.html?verb=dostávat se#v41agaD", "v41agaD")</f>
        <v>v41agaD</v>
      </c>
      <c r="B147" s="1" t="s">
        <v>310</v>
      </c>
      <c r="C147" s="1" t="str">
        <f aca="false">HYPERLINK("https://lindat.mff.cuni.cz/services/PDT-Vallex4.5/PDT-Vallex4.5.html?verb=dostávat se", "dostávat se")</f>
        <v>dostávat se</v>
      </c>
      <c r="D147" s="1" t="n">
        <v>11</v>
      </c>
      <c r="E147" s="1" t="n">
        <v>5</v>
      </c>
      <c r="F147" s="2" t="s">
        <v>16</v>
      </c>
      <c r="L147" s="1" t="s">
        <v>311</v>
      </c>
      <c r="M147" s="1" t="s">
        <v>312</v>
      </c>
    </row>
    <row r="148" customFormat="false" ht="12.75" hidden="false" customHeight="false" outlineLevel="0" collapsed="false">
      <c r="A148" s="1" t="str">
        <f aca="false">HYPERLINK("https://lindat.mff.cuni.cz/services/PDT-Vallex4.5/PDT-Vallex4.5.html?verb=obrátit#v41dscE", "v41dscE")</f>
        <v>v41dscE</v>
      </c>
      <c r="B148" s="1" t="s">
        <v>313</v>
      </c>
      <c r="C148" s="1" t="str">
        <f aca="false">HYPERLINK("https://lindat.mff.cuni.cz/services/PDT-Vallex4.5/PDT-Vallex4.5.html?verb=obrátit", "obrátit")</f>
        <v>obrátit</v>
      </c>
      <c r="D148" s="1" t="n">
        <v>11</v>
      </c>
      <c r="E148" s="1" t="n">
        <v>5</v>
      </c>
      <c r="F148" s="2" t="s">
        <v>16</v>
      </c>
      <c r="L148" s="1" t="s">
        <v>314</v>
      </c>
      <c r="M148" s="1" t="s">
        <v>315</v>
      </c>
    </row>
    <row r="149" customFormat="false" ht="12.75" hidden="false" customHeight="false" outlineLevel="0" collapsed="false">
      <c r="A149" s="1" t="str">
        <f aca="false">HYPERLINK("https://lindat.mff.cuni.cz/services/PDT-Vallex4.5/PDT-Vallex4.5.html?verb=zůstávat#v41saeB", "v41saeB")</f>
        <v>v41saeB</v>
      </c>
      <c r="B149" s="1" t="s">
        <v>316</v>
      </c>
      <c r="C149" s="1" t="str">
        <f aca="false">HYPERLINK("https://lindat.mff.cuni.cz/services/PDT-Vallex4.5/PDT-Vallex4.5.html?verb=zůstávat", "zůstávat")</f>
        <v>zůstávat</v>
      </c>
      <c r="D149" s="1" t="n">
        <v>11</v>
      </c>
      <c r="E149" s="1" t="n">
        <v>8</v>
      </c>
      <c r="F149" s="2" t="s">
        <v>317</v>
      </c>
      <c r="L149" s="1" t="s">
        <v>318</v>
      </c>
    </row>
    <row r="150" customFormat="false" ht="12.75" hidden="false" customHeight="false" outlineLevel="0" collapsed="false">
      <c r="A150" s="1" t="str">
        <f aca="false">HYPERLINK("https://lindat.mff.cuni.cz/services/PDT-Vallex4.5/PDT-Vallex4.5.html?verb=zůstávat#v41saeH", "v41saeH")</f>
        <v>v41saeH</v>
      </c>
      <c r="B150" s="1" t="s">
        <v>316</v>
      </c>
      <c r="C150" s="1" t="str">
        <f aca="false">HYPERLINK("https://lindat.mff.cuni.cz/services/PDT-Vallex4.5/PDT-Vallex4.5.html?verb=zůstávat", "zůstávat")</f>
        <v>zůstávat</v>
      </c>
      <c r="D150" s="1" t="n">
        <v>11</v>
      </c>
      <c r="E150" s="1" t="n">
        <v>8</v>
      </c>
      <c r="F150" s="2" t="s">
        <v>319</v>
      </c>
      <c r="L150" s="1" t="s">
        <v>320</v>
      </c>
    </row>
    <row r="151" customFormat="false" ht="12.75" hidden="false" customHeight="false" outlineLevel="0" collapsed="false">
      <c r="A151" s="1" t="str">
        <f aca="false">HYPERLINK("https://lindat.mff.cuni.cz/services/PDT-Vallex4.5/PDT-Vallex4.5.html?verb=sejít#v41kieA", "v41kieA")</f>
        <v>v41kieA</v>
      </c>
      <c r="B151" s="1" t="s">
        <v>321</v>
      </c>
      <c r="C151" s="1" t="str">
        <f aca="false">HYPERLINK("https://lindat.mff.cuni.cz/services/PDT-Vallex4.5/PDT-Vallex4.5.html?verb=sejít", "sejít")</f>
        <v>sejít</v>
      </c>
      <c r="D151" s="1" t="n">
        <v>10</v>
      </c>
      <c r="E151" s="1" t="n">
        <v>8</v>
      </c>
      <c r="F151" s="2" t="s">
        <v>322</v>
      </c>
      <c r="L151" s="1" t="s">
        <v>323</v>
      </c>
    </row>
    <row r="152" customFormat="false" ht="12.75" hidden="false" customHeight="false" outlineLevel="0" collapsed="false">
      <c r="A152" s="1" t="str">
        <f aca="false">HYPERLINK("https://lindat.mff.cuni.cz/services/PDT-Vallex4.5/PDT-Vallex4.5.html?verb=sejít#v41kieF", "v41kieF")</f>
        <v>v41kieF</v>
      </c>
      <c r="B152" s="1" t="s">
        <v>321</v>
      </c>
      <c r="C152" s="1" t="str">
        <f aca="false">HYPERLINK("https://lindat.mff.cuni.cz/services/PDT-Vallex4.5/PDT-Vallex4.5.html?verb=sejít", "sejít")</f>
        <v>sejít</v>
      </c>
      <c r="D152" s="1" t="n">
        <v>10</v>
      </c>
      <c r="E152" s="1" t="n">
        <v>8</v>
      </c>
      <c r="F152" s="2" t="s">
        <v>232</v>
      </c>
      <c r="L152" s="1" t="s">
        <v>324</v>
      </c>
    </row>
    <row r="153" customFormat="false" ht="12.75" hidden="false" customHeight="false" outlineLevel="0" collapsed="false">
      <c r="A153" s="1" t="str">
        <f aca="false">HYPERLINK("https://lindat.mff.cuni.cz/services/PDT-Vallex4.5/PDT-Vallex4.5.html?verb=sejít#v41kieG", "v41kieG")</f>
        <v>v41kieG</v>
      </c>
      <c r="B153" s="1" t="s">
        <v>321</v>
      </c>
      <c r="C153" s="1" t="str">
        <f aca="false">HYPERLINK("https://lindat.mff.cuni.cz/services/PDT-Vallex4.5/PDT-Vallex4.5.html?verb=sejít", "sejít")</f>
        <v>sejít</v>
      </c>
      <c r="D153" s="1" t="n">
        <v>10</v>
      </c>
      <c r="E153" s="1" t="n">
        <v>8</v>
      </c>
      <c r="F153" s="2" t="s">
        <v>325</v>
      </c>
      <c r="H153" s="2" t="s">
        <v>326</v>
      </c>
      <c r="L153" s="1" t="s">
        <v>327</v>
      </c>
    </row>
    <row r="154" customFormat="false" ht="12.75" hidden="false" customHeight="false" outlineLevel="0" collapsed="false">
      <c r="A154" s="1" t="str">
        <f aca="false">HYPERLINK("https://lindat.mff.cuni.cz/services/PDT-Vallex4.5/PDT-Vallex4.5.html?verb=zabrat#v41ppvE", "v41ppvE")</f>
        <v>v41ppvE</v>
      </c>
      <c r="B154" s="1" t="s">
        <v>328</v>
      </c>
      <c r="C154" s="1" t="str">
        <f aca="false">HYPERLINK("https://lindat.mff.cuni.cz/services/PDT-Vallex4.5/PDT-Vallex4.5.html?verb=zabrat", "zabrat")</f>
        <v>zabrat</v>
      </c>
      <c r="D154" s="1" t="n">
        <v>10</v>
      </c>
      <c r="E154" s="1" t="n">
        <v>8</v>
      </c>
      <c r="F154" s="2" t="s">
        <v>16</v>
      </c>
      <c r="L154" s="1" t="s">
        <v>329</v>
      </c>
      <c r="M154" s="1" t="s">
        <v>330</v>
      </c>
    </row>
    <row r="155" customFormat="false" ht="12.75" hidden="false" customHeight="false" outlineLevel="0" collapsed="false">
      <c r="A155" s="1" t="str">
        <f aca="false">HYPERLINK("https://lindat.mff.cuni.cz/services/PDT-Vallex4.5/PDT-Vallex4.5.html?verb=dát si#v41pqI", "v41pqI")</f>
        <v>v41pqI</v>
      </c>
      <c r="B155" s="1" t="s">
        <v>331</v>
      </c>
      <c r="C155" s="1" t="str">
        <f aca="false">HYPERLINK("https://lindat.mff.cuni.cz/services/PDT-Vallex4.5/PDT-Vallex4.5.html?verb=dát si", "dát si")</f>
        <v>dát si</v>
      </c>
      <c r="D155" s="1" t="n">
        <v>10</v>
      </c>
      <c r="E155" s="1" t="n">
        <v>9</v>
      </c>
      <c r="F155" s="2" t="s">
        <v>332</v>
      </c>
      <c r="L155" s="1" t="s">
        <v>333</v>
      </c>
    </row>
    <row r="156" customFormat="false" ht="12.75" hidden="false" customHeight="false" outlineLevel="0" collapsed="false">
      <c r="A156" s="1" t="str">
        <f aca="false">HYPERLINK("https://lindat.mff.cuni.cz/services/PDT-Vallex4.5/PDT-Vallex4.5.html?verb=říkat#v41kejC", "v41kejC")</f>
        <v>v41kejC</v>
      </c>
      <c r="B156" s="1" t="s">
        <v>334</v>
      </c>
      <c r="C156" s="1" t="str">
        <f aca="false">HYPERLINK("https://lindat.mff.cuni.cz/services/PDT-Vallex4.5/PDT-Vallex4.5.html?verb=říkat", "říkat")</f>
        <v>říkat</v>
      </c>
      <c r="D156" s="1" t="n">
        <v>10</v>
      </c>
      <c r="E156" s="1" t="n">
        <v>6</v>
      </c>
      <c r="F156" s="2" t="s">
        <v>335</v>
      </c>
      <c r="L156" s="1" t="s">
        <v>336</v>
      </c>
    </row>
    <row r="157" customFormat="false" ht="12.75" hidden="false" customHeight="false" outlineLevel="0" collapsed="false">
      <c r="A157" s="1" t="str">
        <f aca="false">HYPERLINK("https://lindat.mff.cuni.cz/services/PDT-Vallex4.5/PDT-Vallex4.5.html?verb=dělat si#v41rgF", "v41rgF")</f>
        <v>v41rgF</v>
      </c>
      <c r="B157" s="1" t="s">
        <v>337</v>
      </c>
      <c r="C157" s="1" t="str">
        <f aca="false">HYPERLINK("https://lindat.mff.cuni.cz/services/PDT-Vallex4.5/PDT-Vallex4.5.html?verb=dělat si", "dělat si")</f>
        <v>dělat si</v>
      </c>
      <c r="D157" s="1" t="n">
        <v>10</v>
      </c>
      <c r="E157" s="1" t="n">
        <v>9</v>
      </c>
      <c r="F157" s="2" t="s">
        <v>338</v>
      </c>
      <c r="L157" s="1" t="s">
        <v>339</v>
      </c>
    </row>
    <row r="158" customFormat="false" ht="12.75" hidden="false" customHeight="false" outlineLevel="0" collapsed="false">
      <c r="A158" s="1" t="str">
        <f aca="false">HYPERLINK("https://lindat.mff.cuni.cz/services/PDT-Vallex4.5/PDT-Vallex4.5.html?verb=dělat si#v41rgH", "v41rgH")</f>
        <v>v41rgH</v>
      </c>
      <c r="B158" s="1" t="s">
        <v>337</v>
      </c>
      <c r="C158" s="1" t="str">
        <f aca="false">HYPERLINK("https://lindat.mff.cuni.cz/services/PDT-Vallex4.5/PDT-Vallex4.5.html?verb=dělat si", "dělat si")</f>
        <v>dělat si</v>
      </c>
      <c r="D158" s="1" t="n">
        <v>10</v>
      </c>
      <c r="E158" s="1" t="n">
        <v>9</v>
      </c>
      <c r="F158" s="2" t="s">
        <v>340</v>
      </c>
      <c r="L158" s="1" t="s">
        <v>341</v>
      </c>
    </row>
    <row r="159" customFormat="false" ht="12.75" hidden="false" customHeight="false" outlineLevel="0" collapsed="false">
      <c r="A159" s="1" t="str">
        <f aca="false">HYPERLINK("https://lindat.mff.cuni.cz/services/PDT-Vallex4.5/PDT-Vallex4.5.html?verb=vytáhnout#v41pbxD", "v41pbxD")</f>
        <v>v41pbxD</v>
      </c>
      <c r="B159" s="1" t="s">
        <v>342</v>
      </c>
      <c r="C159" s="1" t="str">
        <f aca="false">HYPERLINK("https://lindat.mff.cuni.cz/services/PDT-Vallex4.5/PDT-Vallex4.5.html?verb=vytáhnout", "vytáhnout")</f>
        <v>vytáhnout</v>
      </c>
      <c r="D159" s="1" t="n">
        <v>10</v>
      </c>
      <c r="E159" s="1" t="n">
        <v>8</v>
      </c>
      <c r="F159" s="2" t="s">
        <v>343</v>
      </c>
      <c r="L159" s="1" t="s">
        <v>344</v>
      </c>
    </row>
    <row r="160" customFormat="false" ht="12.75" hidden="false" customHeight="false" outlineLevel="0" collapsed="false">
      <c r="A160" s="1" t="str">
        <f aca="false">HYPERLINK("https://lindat.mff.cuni.cz/services/PDT-Vallex4.5/PDT-Vallex4.5.html?verb=vytáhnout#v41pbxI", "v41pbxI")</f>
        <v>v41pbxI</v>
      </c>
      <c r="B160" s="1" t="s">
        <v>342</v>
      </c>
      <c r="C160" s="1" t="str">
        <f aca="false">HYPERLINK("https://lindat.mff.cuni.cz/services/PDT-Vallex4.5/PDT-Vallex4.5.html?verb=vytáhnout", "vytáhnout")</f>
        <v>vytáhnout</v>
      </c>
      <c r="D160" s="1" t="n">
        <v>10</v>
      </c>
      <c r="E160" s="1" t="n">
        <v>8</v>
      </c>
      <c r="F160" s="2" t="s">
        <v>345</v>
      </c>
      <c r="L160" s="1" t="s">
        <v>346</v>
      </c>
    </row>
    <row r="161" customFormat="false" ht="12.75" hidden="false" customHeight="false" outlineLevel="0" collapsed="false">
      <c r="A161" s="1" t="str">
        <f aca="false">HYPERLINK("https://lindat.mff.cuni.cz/services/PDT-Vallex4.5/PDT-Vallex4.5.html?verb=projít#v41hfiE", "v41hfiE")</f>
        <v>v41hfiE</v>
      </c>
      <c r="B161" s="1" t="s">
        <v>347</v>
      </c>
      <c r="C161" s="1" t="str">
        <f aca="false">HYPERLINK("https://lindat.mff.cuni.cz/services/PDT-Vallex4.5/PDT-Vallex4.5.html?verb=projít", "projít")</f>
        <v>projít</v>
      </c>
      <c r="D161" s="1" t="n">
        <v>10</v>
      </c>
      <c r="E161" s="1" t="n">
        <v>5</v>
      </c>
      <c r="F161" s="2" t="s">
        <v>16</v>
      </c>
      <c r="L161" s="1" t="s">
        <v>348</v>
      </c>
      <c r="M161" s="1" t="s">
        <v>349</v>
      </c>
    </row>
    <row r="162" customFormat="false" ht="12.75" hidden="false" customHeight="false" outlineLevel="0" collapsed="false">
      <c r="A162" s="1" t="str">
        <f aca="false">HYPERLINK("https://lindat.mff.cuni.cz/services/PDT-Vallex4.5/PDT-Vallex4.5.html?verb=projít#v41hfiG", "v41hfiG")</f>
        <v>v41hfiG</v>
      </c>
      <c r="B162" s="1" t="s">
        <v>347</v>
      </c>
      <c r="C162" s="1" t="str">
        <f aca="false">HYPERLINK("https://lindat.mff.cuni.cz/services/PDT-Vallex4.5/PDT-Vallex4.5.html?verb=projít", "projít")</f>
        <v>projít</v>
      </c>
      <c r="D162" s="1" t="n">
        <v>10</v>
      </c>
      <c r="E162" s="1" t="n">
        <v>5</v>
      </c>
      <c r="F162" s="2" t="s">
        <v>350</v>
      </c>
      <c r="L162" s="1" t="s">
        <v>351</v>
      </c>
    </row>
    <row r="163" customFormat="false" ht="12.75" hidden="false" customHeight="false" outlineLevel="0" collapsed="false">
      <c r="A163" s="1" t="str">
        <f aca="false">HYPERLINK("https://lindat.mff.cuni.cz/services/PDT-Vallex4.5/PDT-Vallex4.5.html?verb=projít#v41hfiI", "v41hfiI")</f>
        <v>v41hfiI</v>
      </c>
      <c r="B163" s="1" t="s">
        <v>347</v>
      </c>
      <c r="C163" s="1" t="str">
        <f aca="false">HYPERLINK("https://lindat.mff.cuni.cz/services/PDT-Vallex4.5/PDT-Vallex4.5.html?verb=projít", "projít")</f>
        <v>projít</v>
      </c>
      <c r="D163" s="1" t="n">
        <v>10</v>
      </c>
      <c r="E163" s="1" t="n">
        <v>5</v>
      </c>
      <c r="F163" s="2" t="s">
        <v>350</v>
      </c>
      <c r="L163" s="1" t="s">
        <v>351</v>
      </c>
    </row>
    <row r="164" customFormat="false" ht="12.75" hidden="false" customHeight="false" outlineLevel="0" collapsed="false">
      <c r="A164" s="1" t="str">
        <f aca="false">HYPERLINK("https://lindat.mff.cuni.cz/services/PDT-Vallex4.5/PDT-Vallex4.5.html?verb=docházet#v41ylG", "v41ylG")</f>
        <v>v41ylG</v>
      </c>
      <c r="B164" s="1" t="s">
        <v>352</v>
      </c>
      <c r="C164" s="1" t="str">
        <f aca="false">HYPERLINK("https://lindat.mff.cuni.cz/services/PDT-Vallex4.5/PDT-Vallex4.5.html?verb=docházet", "docházet")</f>
        <v>docházet</v>
      </c>
      <c r="D164" s="1" t="n">
        <v>9</v>
      </c>
      <c r="E164" s="1" t="n">
        <v>3</v>
      </c>
      <c r="F164" s="2" t="s">
        <v>246</v>
      </c>
      <c r="L164" s="1" t="s">
        <v>247</v>
      </c>
    </row>
    <row r="165" customFormat="false" ht="12.75" hidden="false" customHeight="false" outlineLevel="0" collapsed="false">
      <c r="A165" s="1" t="str">
        <f aca="false">HYPERLINK("https://lindat.mff.cuni.cz/services/PDT-Vallex4.5/PDT-Vallex4.5.html?verb=platit#v41fmtC", "v41fmtC")</f>
        <v>v41fmtC</v>
      </c>
      <c r="B165" s="1" t="s">
        <v>353</v>
      </c>
      <c r="C165" s="1" t="str">
        <f aca="false">HYPERLINK("https://lindat.mff.cuni.cz/services/PDT-Vallex4.5/PDT-Vallex4.5.html?verb=platit", "platit")</f>
        <v>platit</v>
      </c>
      <c r="D165" s="1" t="n">
        <v>9</v>
      </c>
      <c r="E165" s="1" t="n">
        <v>5</v>
      </c>
      <c r="F165" s="2" t="s">
        <v>16</v>
      </c>
      <c r="L165" s="1" t="s">
        <v>354</v>
      </c>
      <c r="M165" s="1" t="s">
        <v>355</v>
      </c>
    </row>
    <row r="166" customFormat="false" ht="12.75" hidden="false" customHeight="false" outlineLevel="0" collapsed="false">
      <c r="A166" s="1" t="str">
        <f aca="false">HYPERLINK("https://lindat.mff.cuni.cz/services/PDT-Vallex4.5/PDT-Vallex4.5.html?verb=platit#v41fmtE", "v41fmtE")</f>
        <v>v41fmtE</v>
      </c>
      <c r="B166" s="1" t="s">
        <v>353</v>
      </c>
      <c r="C166" s="1" t="str">
        <f aca="false">HYPERLINK("https://lindat.mff.cuni.cz/services/PDT-Vallex4.5/PDT-Vallex4.5.html?verb=platit", "platit")</f>
        <v>platit</v>
      </c>
      <c r="D166" s="1" t="n">
        <v>9</v>
      </c>
      <c r="E166" s="1" t="n">
        <v>5</v>
      </c>
      <c r="F166" s="2" t="s">
        <v>356</v>
      </c>
      <c r="L166" s="1" t="s">
        <v>357</v>
      </c>
    </row>
    <row r="167" customFormat="false" ht="12.75" hidden="false" customHeight="false" outlineLevel="0" collapsed="false">
      <c r="A167" s="1" t="str">
        <f aca="false">HYPERLINK("https://lindat.mff.cuni.cz/services/PDT-Vallex4.5/PDT-Vallex4.5.html?verb=přecházet#v41iaxC", "v41iaxC")</f>
        <v>v41iaxC</v>
      </c>
      <c r="B167" s="1" t="s">
        <v>358</v>
      </c>
      <c r="C167" s="1" t="str">
        <f aca="false">HYPERLINK("https://lindat.mff.cuni.cz/services/PDT-Vallex4.5/PDT-Vallex4.5.html?verb=přecházet", "přecházet")</f>
        <v>přecházet</v>
      </c>
      <c r="D167" s="1" t="n">
        <v>9</v>
      </c>
      <c r="E167" s="1" t="n">
        <v>5</v>
      </c>
      <c r="F167" s="2" t="s">
        <v>359</v>
      </c>
      <c r="L167" s="1" t="s">
        <v>360</v>
      </c>
    </row>
    <row r="168" customFormat="false" ht="12.75" hidden="false" customHeight="false" outlineLevel="0" collapsed="false">
      <c r="A168" s="1" t="str">
        <f aca="false">HYPERLINK("https://lindat.mff.cuni.cz/services/PDT-Vallex4.5/PDT-Vallex4.5.html?verb=ztrácet#v41ryyG", "v41ryyG")</f>
        <v>v41ryyG</v>
      </c>
      <c r="B168" s="1" t="s">
        <v>361</v>
      </c>
      <c r="C168" s="1" t="str">
        <f aca="false">HYPERLINK("https://lindat.mff.cuni.cz/services/PDT-Vallex4.5/PDT-Vallex4.5.html?verb=ztrácet", "ztrácet")</f>
        <v>ztrácet</v>
      </c>
      <c r="D168" s="1" t="n">
        <v>9</v>
      </c>
      <c r="E168" s="1" t="n">
        <v>2</v>
      </c>
      <c r="F168" s="2" t="s">
        <v>16</v>
      </c>
      <c r="L168" s="1" t="s">
        <v>362</v>
      </c>
      <c r="M168" s="1" t="s">
        <v>363</v>
      </c>
    </row>
    <row r="169" customFormat="false" ht="12.75" hidden="false" customHeight="false" outlineLevel="0" collapsed="false">
      <c r="A169" s="1" t="str">
        <f aca="false">HYPERLINK("https://lindat.mff.cuni.cz/services/PDT-Vallex4.5/PDT-Vallex4.5.html?verb=ztrácet#v41ryyH", "v41ryyH")</f>
        <v>v41ryyH</v>
      </c>
      <c r="B169" s="1" t="s">
        <v>361</v>
      </c>
      <c r="C169" s="1" t="str">
        <f aca="false">HYPERLINK("https://lindat.mff.cuni.cz/services/PDT-Vallex4.5/PDT-Vallex4.5.html?verb=ztrácet", "ztrácet")</f>
        <v>ztrácet</v>
      </c>
      <c r="D169" s="1" t="n">
        <v>9</v>
      </c>
      <c r="E169" s="1" t="n">
        <v>2</v>
      </c>
      <c r="F169" s="2" t="s">
        <v>299</v>
      </c>
      <c r="L169" s="1" t="s">
        <v>364</v>
      </c>
    </row>
    <row r="170" customFormat="false" ht="12.75" hidden="false" customHeight="false" outlineLevel="0" collapsed="false">
      <c r="A170" s="1" t="str">
        <f aca="false">HYPERLINK("https://lindat.mff.cuni.cz/services/PDT-Vallex4.5/PDT-Vallex4.5.html?verb=volat#v41norD", "v41norD")</f>
        <v>v41norD</v>
      </c>
      <c r="B170" s="1" t="s">
        <v>365</v>
      </c>
      <c r="C170" s="1" t="str">
        <f aca="false">HYPERLINK("https://lindat.mff.cuni.cz/services/PDT-Vallex4.5/PDT-Vallex4.5.html?verb=volat", "volat")</f>
        <v>volat</v>
      </c>
      <c r="D170" s="1" t="n">
        <v>9</v>
      </c>
      <c r="E170" s="1" t="n">
        <v>3</v>
      </c>
      <c r="F170" s="2" t="s">
        <v>366</v>
      </c>
      <c r="H170" s="2" t="s">
        <v>175</v>
      </c>
      <c r="L170" s="1" t="s">
        <v>367</v>
      </c>
    </row>
    <row r="171" customFormat="false" ht="12.75" hidden="false" customHeight="false" outlineLevel="0" collapsed="false">
      <c r="A171" s="1" t="str">
        <f aca="false">HYPERLINK("https://lindat.mff.cuni.cz/services/PDT-Vallex4.5/PDT-Vallex4.5.html?verb=hodit#v41awlE", "v41awlE")</f>
        <v>v41awlE</v>
      </c>
      <c r="B171" s="1" t="s">
        <v>368</v>
      </c>
      <c r="C171" s="1" t="str">
        <f aca="false">HYPERLINK("https://lindat.mff.cuni.cz/services/PDT-Vallex4.5/PDT-Vallex4.5.html?verb=hodit", "hodit")</f>
        <v>hodit</v>
      </c>
      <c r="D171" s="1" t="n">
        <v>9</v>
      </c>
      <c r="E171" s="1" t="n">
        <v>6</v>
      </c>
      <c r="F171" s="2" t="s">
        <v>16</v>
      </c>
      <c r="L171" s="1" t="s">
        <v>369</v>
      </c>
      <c r="M171" s="1" t="s">
        <v>303</v>
      </c>
    </row>
    <row r="172" customFormat="false" ht="12.75" hidden="false" customHeight="false" outlineLevel="0" collapsed="false">
      <c r="A172" s="1" t="str">
        <f aca="false">HYPERLINK("https://lindat.mff.cuni.cz/services/PDT-Vallex4.5/PDT-Vallex4.5.html?verb=pustit#v41jedI", "v41jedI")</f>
        <v>v41jedI</v>
      </c>
      <c r="B172" s="1" t="s">
        <v>370</v>
      </c>
      <c r="C172" s="1" t="str">
        <f aca="false">HYPERLINK("https://lindat.mff.cuni.cz/services/PDT-Vallex4.5/PDT-Vallex4.5.html?verb=pustit", "pustit")</f>
        <v>pustit</v>
      </c>
      <c r="D172" s="1" t="n">
        <v>9</v>
      </c>
      <c r="E172" s="1" t="n">
        <v>6</v>
      </c>
      <c r="F172" s="2" t="s">
        <v>371</v>
      </c>
      <c r="L172" s="1" t="s">
        <v>372</v>
      </c>
    </row>
    <row r="173" customFormat="false" ht="12.75" hidden="false" customHeight="false" outlineLevel="0" collapsed="false">
      <c r="A173" s="1" t="str">
        <f aca="false">HYPERLINK("https://lindat.mff.cuni.cz/services/PDT-Vallex4.5/PDT-Vallex4.5.html?verb=vypovídat#v41oqqC", "v41oqqC")</f>
        <v>v41oqqC</v>
      </c>
      <c r="B173" s="1" t="s">
        <v>373</v>
      </c>
      <c r="C173" s="1" t="str">
        <f aca="false">HYPERLINK("https://lindat.mff.cuni.cz/services/PDT-Vallex4.5/PDT-Vallex4.5.html?verb=vypovídat", "vypovídat")</f>
        <v>vypovídat</v>
      </c>
      <c r="D173" s="1" t="n">
        <v>8</v>
      </c>
      <c r="E173" s="1" t="n">
        <v>4</v>
      </c>
      <c r="F173" s="2" t="s">
        <v>374</v>
      </c>
      <c r="L173" s="1" t="s">
        <v>375</v>
      </c>
    </row>
    <row r="174" customFormat="false" ht="12.75" hidden="false" customHeight="false" outlineLevel="0" collapsed="false">
      <c r="A174" s="1" t="str">
        <f aca="false">HYPERLINK("https://lindat.mff.cuni.cz/services/PDT-Vallex4.5/PDT-Vallex4.5.html?verb=vypovídat#v41oqqG", "v41oqqG")</f>
        <v>v41oqqG</v>
      </c>
      <c r="B174" s="1" t="s">
        <v>373</v>
      </c>
      <c r="C174" s="1" t="str">
        <f aca="false">HYPERLINK("https://lindat.mff.cuni.cz/services/PDT-Vallex4.5/PDT-Vallex4.5.html?verb=vypovídat", "vypovídat")</f>
        <v>vypovídat</v>
      </c>
      <c r="D174" s="1" t="n">
        <v>8</v>
      </c>
      <c r="E174" s="1" t="n">
        <v>4</v>
      </c>
      <c r="F174" s="2" t="s">
        <v>16</v>
      </c>
      <c r="L174" s="1" t="s">
        <v>376</v>
      </c>
      <c r="M174" s="1" t="s">
        <v>377</v>
      </c>
    </row>
    <row r="175" customFormat="false" ht="12.75" hidden="false" customHeight="false" outlineLevel="0" collapsed="false">
      <c r="A175" s="1" t="str">
        <f aca="false">HYPERLINK("https://lindat.mff.cuni.cz/services/PDT-Vallex4.5/PDT-Vallex4.5.html?verb=spadnout#v41kzvH", "v41kzvH")</f>
        <v>v41kzvH</v>
      </c>
      <c r="B175" s="1" t="s">
        <v>378</v>
      </c>
      <c r="C175" s="1" t="str">
        <f aca="false">HYPERLINK("https://lindat.mff.cuni.cz/services/PDT-Vallex4.5/PDT-Vallex4.5.html?verb=spadnout", "spadnout")</f>
        <v>spadnout</v>
      </c>
      <c r="D175" s="1" t="n">
        <v>8</v>
      </c>
      <c r="E175" s="1" t="n">
        <v>4</v>
      </c>
      <c r="F175" s="2" t="s">
        <v>379</v>
      </c>
      <c r="L175" s="1" t="s">
        <v>380</v>
      </c>
    </row>
    <row r="176" customFormat="false" ht="12.75" hidden="false" customHeight="false" outlineLevel="0" collapsed="false">
      <c r="A176" s="1" t="str">
        <f aca="false">HYPERLINK("https://lindat.mff.cuni.cz/services/PDT-Vallex4.5/PDT-Vallex4.5.html?verb=otevírat#v41fdbH", "v41fdbH")</f>
        <v>v41fdbH</v>
      </c>
      <c r="B176" s="1" t="s">
        <v>381</v>
      </c>
      <c r="C176" s="1" t="str">
        <f aca="false">HYPERLINK("https://lindat.mff.cuni.cz/services/PDT-Vallex4.5/PDT-Vallex4.5.html?verb=otevírat", "otevírat")</f>
        <v>otevírat</v>
      </c>
      <c r="D176" s="1" t="n">
        <v>8</v>
      </c>
      <c r="E176" s="1" t="n">
        <v>2</v>
      </c>
      <c r="F176" s="2" t="s">
        <v>382</v>
      </c>
      <c r="L176" s="1" t="s">
        <v>383</v>
      </c>
    </row>
    <row r="177" customFormat="false" ht="12.75" hidden="false" customHeight="false" outlineLevel="0" collapsed="false">
      <c r="A177" s="1" t="str">
        <f aca="false">HYPERLINK("https://lindat.mff.cuni.cz/services/PDT-Vallex4.5/PDT-Vallex4.5.html?verb=letět#v41bzxH", "v41bzxH")</f>
        <v>v41bzxH</v>
      </c>
      <c r="B177" s="1" t="s">
        <v>384</v>
      </c>
      <c r="C177" s="1" t="str">
        <f aca="false">HYPERLINK("https://lindat.mff.cuni.cz/services/PDT-Vallex4.5/PDT-Vallex4.5.html?verb=letět", "letět")</f>
        <v>letět</v>
      </c>
      <c r="D177" s="1" t="n">
        <v>8</v>
      </c>
      <c r="E177" s="1" t="n">
        <v>7</v>
      </c>
      <c r="F177" s="2" t="s">
        <v>64</v>
      </c>
      <c r="L177" s="1" t="s">
        <v>385</v>
      </c>
      <c r="M177" s="1" t="s">
        <v>386</v>
      </c>
      <c r="N177" s="1" t="s">
        <v>387</v>
      </c>
    </row>
    <row r="178" customFormat="false" ht="12.75" hidden="false" customHeight="false" outlineLevel="0" collapsed="false">
      <c r="A178" s="1" t="str">
        <f aca="false">HYPERLINK("https://lindat.mff.cuni.cz/services/PDT-Vallex4.5/PDT-Vallex4.5.html?verb=uvolnit#v41ndvC", "v41ndvC")</f>
        <v>v41ndvC</v>
      </c>
      <c r="B178" s="1" t="s">
        <v>388</v>
      </c>
      <c r="C178" s="1" t="str">
        <f aca="false">HYPERLINK("https://lindat.mff.cuni.cz/services/PDT-Vallex4.5/PDT-Vallex4.5.html?verb=uvolnit", "uvolnit")</f>
        <v>uvolnit</v>
      </c>
      <c r="D178" s="1" t="n">
        <v>8</v>
      </c>
      <c r="E178" s="1" t="n">
        <v>3</v>
      </c>
      <c r="F178" s="2" t="s">
        <v>389</v>
      </c>
      <c r="L178" s="1" t="s">
        <v>390</v>
      </c>
    </row>
    <row r="179" customFormat="false" ht="12.75" hidden="false" customHeight="false" outlineLevel="0" collapsed="false">
      <c r="A179" s="1" t="str">
        <f aca="false">HYPERLINK("https://lindat.mff.cuni.cz/services/PDT-Vallex4.5/PDT-Vallex4.5.html?verb=psát#v41jdcB", "v41jdcB")</f>
        <v>v41jdcB</v>
      </c>
      <c r="B179" s="1" t="s">
        <v>391</v>
      </c>
      <c r="C179" s="1" t="str">
        <f aca="false">HYPERLINK("https://lindat.mff.cuni.cz/services/PDT-Vallex4.5/PDT-Vallex4.5.html?verb=psát", "psát")</f>
        <v>psát</v>
      </c>
      <c r="D179" s="1" t="n">
        <v>8</v>
      </c>
      <c r="E179" s="1" t="n">
        <v>4</v>
      </c>
      <c r="F179" s="2" t="s">
        <v>335</v>
      </c>
      <c r="L179" s="1" t="s">
        <v>392</v>
      </c>
    </row>
    <row r="180" customFormat="false" ht="12.75" hidden="false" customHeight="false" outlineLevel="0" collapsed="false">
      <c r="A180" s="1" t="str">
        <f aca="false">HYPERLINK("https://lindat.mff.cuni.cz/services/PDT-Vallex4.5/PDT-Vallex4.5.html?verb=vypadnout#v41onlG", "v41onlG")</f>
        <v>v41onlG</v>
      </c>
      <c r="B180" s="1" t="s">
        <v>393</v>
      </c>
      <c r="C180" s="1" t="str">
        <f aca="false">HYPERLINK("https://lindat.mff.cuni.cz/services/PDT-Vallex4.5/PDT-Vallex4.5.html?verb=vypadnout", "vypadnout")</f>
        <v>vypadnout</v>
      </c>
      <c r="D180" s="1" t="n">
        <v>8</v>
      </c>
      <c r="E180" s="1" t="n">
        <v>7</v>
      </c>
      <c r="F180" s="2" t="s">
        <v>16</v>
      </c>
      <c r="L180" s="1" t="s">
        <v>376</v>
      </c>
      <c r="M180" s="1" t="s">
        <v>377</v>
      </c>
    </row>
    <row r="181" customFormat="false" ht="12.75" hidden="false" customHeight="false" outlineLevel="0" collapsed="false">
      <c r="A181" s="1" t="str">
        <f aca="false">HYPERLINK("https://lindat.mff.cuni.cz/services/PDT-Vallex4.5/PDT-Vallex4.5.html?verb=sebrat#v41khhH", "v41khhH")</f>
        <v>v41khhH</v>
      </c>
      <c r="B181" s="1" t="s">
        <v>394</v>
      </c>
      <c r="C181" s="1" t="str">
        <f aca="false">HYPERLINK("https://lindat.mff.cuni.cz/services/PDT-Vallex4.5/PDT-Vallex4.5.html?verb=sebrat", "sebrat")</f>
        <v>sebrat</v>
      </c>
      <c r="D181" s="1" t="n">
        <v>8</v>
      </c>
      <c r="E181" s="1" t="n">
        <v>6</v>
      </c>
      <c r="F181" s="2" t="s">
        <v>395</v>
      </c>
      <c r="L181" s="1" t="s">
        <v>396</v>
      </c>
    </row>
    <row r="182" customFormat="false" ht="12.75" hidden="false" customHeight="false" outlineLevel="0" collapsed="false">
      <c r="A182" s="1" t="str">
        <f aca="false">HYPERLINK("https://lindat.mff.cuni.cz/services/PDT-Vallex4.5/PDT-Vallex4.5.html?verb=skládat#v41kqdB", "v41kqdB")</f>
        <v>v41kqdB</v>
      </c>
      <c r="B182" s="1" t="s">
        <v>397</v>
      </c>
      <c r="C182" s="1" t="str">
        <f aca="false">HYPERLINK("https://lindat.mff.cuni.cz/services/PDT-Vallex4.5/PDT-Vallex4.5.html?verb=skládat", "skládat")</f>
        <v>skládat</v>
      </c>
      <c r="D182" s="1" t="n">
        <v>7</v>
      </c>
      <c r="E182" s="1" t="n">
        <v>6</v>
      </c>
      <c r="F182" s="2" t="s">
        <v>398</v>
      </c>
      <c r="L182" s="1" t="s">
        <v>399</v>
      </c>
    </row>
    <row r="183" customFormat="false" ht="12.75" hidden="false" customHeight="false" outlineLevel="0" collapsed="false">
      <c r="A183" s="1" t="str">
        <f aca="false">HYPERLINK("https://lindat.mff.cuni.cz/services/PDT-Vallex4.5/PDT-Vallex4.5.html?verb=skládat#v41kqdE", "v41kqdE")</f>
        <v>v41kqdE</v>
      </c>
      <c r="B183" s="1" t="s">
        <v>397</v>
      </c>
      <c r="C183" s="1" t="str">
        <f aca="false">HYPERLINK("https://lindat.mff.cuni.cz/services/PDT-Vallex4.5/PDT-Vallex4.5.html?verb=skládat", "skládat")</f>
        <v>skládat</v>
      </c>
      <c r="D183" s="1" t="n">
        <v>7</v>
      </c>
      <c r="E183" s="1" t="n">
        <v>6</v>
      </c>
      <c r="F183" s="2" t="s">
        <v>400</v>
      </c>
      <c r="L183" s="1" t="s">
        <v>401</v>
      </c>
    </row>
    <row r="184" customFormat="false" ht="12.75" hidden="false" customHeight="false" outlineLevel="0" collapsed="false">
      <c r="A184" s="1" t="str">
        <f aca="false">HYPERLINK("https://lindat.mff.cuni.cz/services/PDT-Vallex4.5/PDT-Vallex4.5.html?verb=nasazovat#v41darE", "v41darE")</f>
        <v>v41darE</v>
      </c>
      <c r="B184" s="1" t="s">
        <v>402</v>
      </c>
      <c r="C184" s="1" t="str">
        <f aca="false">HYPERLINK("https://lindat.mff.cuni.cz/services/PDT-Vallex4.5/PDT-Vallex4.5.html?verb=nasazovat", "nasazovat")</f>
        <v>nasazovat</v>
      </c>
      <c r="D184" s="1" t="n">
        <v>7</v>
      </c>
      <c r="E184" s="1" t="n">
        <v>4</v>
      </c>
      <c r="F184" s="2" t="s">
        <v>403</v>
      </c>
      <c r="L184" s="1" t="s">
        <v>404</v>
      </c>
    </row>
    <row r="185" customFormat="false" ht="12.75" hidden="false" customHeight="false" outlineLevel="0" collapsed="false">
      <c r="A185" s="1" t="str">
        <f aca="false">HYPERLINK("https://lindat.mff.cuni.cz/services/PDT-Vallex4.5/PDT-Vallex4.5.html?verb=nasazovat#v41darF", "v41darF")</f>
        <v>v41darF</v>
      </c>
      <c r="B185" s="1" t="s">
        <v>402</v>
      </c>
      <c r="C185" s="1" t="str">
        <f aca="false">HYPERLINK("https://lindat.mff.cuni.cz/services/PDT-Vallex4.5/PDT-Vallex4.5.html?verb=nasazovat", "nasazovat")</f>
        <v>nasazovat</v>
      </c>
      <c r="D185" s="1" t="n">
        <v>7</v>
      </c>
      <c r="E185" s="1" t="n">
        <v>4</v>
      </c>
      <c r="F185" s="2" t="s">
        <v>16</v>
      </c>
      <c r="L185" s="1" t="s">
        <v>405</v>
      </c>
      <c r="M185" s="4" t="s">
        <v>406</v>
      </c>
    </row>
    <row r="186" customFormat="false" ht="12.75" hidden="false" customHeight="false" outlineLevel="0" collapsed="false">
      <c r="A186" s="1" t="str">
        <f aca="false">HYPERLINK("https://lindat.mff.cuni.cz/services/PDT-Vallex4.5/PDT-Vallex4.5.html?verb=zacházet#v41puiG", "v41puiG")</f>
        <v>v41puiG</v>
      </c>
      <c r="B186" s="1" t="s">
        <v>407</v>
      </c>
      <c r="C186" s="1" t="str">
        <f aca="false">HYPERLINK("https://lindat.mff.cuni.cz/services/PDT-Vallex4.5/PDT-Vallex4.5.html?verb=zacházet", "zacházet")</f>
        <v>zacházet</v>
      </c>
      <c r="D186" s="1" t="n">
        <v>7</v>
      </c>
      <c r="E186" s="1" t="n">
        <v>4</v>
      </c>
      <c r="F186" s="2" t="s">
        <v>408</v>
      </c>
      <c r="L186" s="1" t="s">
        <v>409</v>
      </c>
    </row>
    <row r="187" customFormat="false" ht="12.75" hidden="false" customHeight="false" outlineLevel="0" collapsed="false">
      <c r="A187" s="1" t="str">
        <f aca="false">HYPERLINK("https://lindat.mff.cuni.cz/services/PDT-Vallex4.5/PDT-Vallex4.5.html?verb=vypovědět#v41oqlF", "v41oqlF")</f>
        <v>v41oqlF</v>
      </c>
      <c r="B187" s="1" t="s">
        <v>410</v>
      </c>
      <c r="C187" s="1" t="str">
        <f aca="false">HYPERLINK("https://lindat.mff.cuni.cz/services/PDT-Vallex4.5/PDT-Vallex4.5.html?verb=vypovědět", "vypovědět")</f>
        <v>vypovědět</v>
      </c>
      <c r="D187" s="1" t="n">
        <v>7</v>
      </c>
      <c r="E187" s="1" t="n">
        <v>5</v>
      </c>
      <c r="F187" s="2" t="s">
        <v>374</v>
      </c>
      <c r="L187" s="1" t="s">
        <v>411</v>
      </c>
    </row>
    <row r="188" customFormat="false" ht="12.75" hidden="false" customHeight="false" outlineLevel="0" collapsed="false">
      <c r="A188" s="1" t="str">
        <f aca="false">HYPERLINK("https://lindat.mff.cuni.cz/services/PDT-Vallex4.5/PDT-Vallex4.5.html?verb=odejít#v41dyrF", "v41dyrF")</f>
        <v>v41dyrF</v>
      </c>
      <c r="B188" s="1" t="s">
        <v>412</v>
      </c>
      <c r="C188" s="1" t="str">
        <f aca="false">HYPERLINK("https://lindat.mff.cuni.cz/services/PDT-Vallex4.5/PDT-Vallex4.5.html?verb=odejít", "odejít")</f>
        <v>odejít</v>
      </c>
      <c r="D188" s="1" t="n">
        <v>7</v>
      </c>
      <c r="E188" s="1" t="n">
        <v>4</v>
      </c>
      <c r="F188" s="2" t="s">
        <v>16</v>
      </c>
      <c r="L188" s="1" t="s">
        <v>376</v>
      </c>
      <c r="M188" s="1" t="s">
        <v>377</v>
      </c>
    </row>
    <row r="189" customFormat="false" ht="12.75" hidden="false" customHeight="false" outlineLevel="0" collapsed="false">
      <c r="A189" s="1" t="str">
        <f aca="false">HYPERLINK("https://lindat.mff.cuni.cz/services/PDT-Vallex4.5/PDT-Vallex4.5.html?verb=připadnout#v41ivaC", "v41ivaC")</f>
        <v>v41ivaC</v>
      </c>
      <c r="B189" s="1" t="s">
        <v>413</v>
      </c>
      <c r="C189" s="1" t="str">
        <f aca="false">HYPERLINK("https://lindat.mff.cuni.cz/services/PDT-Vallex4.5/PDT-Vallex4.5.html?verb=připadnout", "připadnout")</f>
        <v>připadnout</v>
      </c>
      <c r="D189" s="1" t="n">
        <v>7</v>
      </c>
      <c r="E189" s="1" t="n">
        <v>3</v>
      </c>
      <c r="F189" s="2" t="s">
        <v>414</v>
      </c>
      <c r="L189" s="1" t="s">
        <v>415</v>
      </c>
    </row>
    <row r="190" customFormat="false" ht="12.75" hidden="false" customHeight="false" outlineLevel="0" collapsed="false">
      <c r="A190" s="1" t="str">
        <f aca="false">HYPERLINK("https://lindat.mff.cuni.cz/services/PDT-Vallex4.5/PDT-Vallex4.5.html?verb=míchat#v41cgeF", "v41cgeF")</f>
        <v>v41cgeF</v>
      </c>
      <c r="B190" s="1" t="s">
        <v>416</v>
      </c>
      <c r="C190" s="1" t="str">
        <f aca="false">HYPERLINK("https://lindat.mff.cuni.cz/services/PDT-Vallex4.5/PDT-Vallex4.5.html?verb=míchat", "míchat")</f>
        <v>míchat</v>
      </c>
      <c r="D190" s="1" t="n">
        <v>7</v>
      </c>
      <c r="E190" s="1" t="n">
        <v>5</v>
      </c>
      <c r="F190" s="2" t="s">
        <v>16</v>
      </c>
      <c r="L190" s="1" t="s">
        <v>417</v>
      </c>
      <c r="M190" s="1" t="s">
        <v>418</v>
      </c>
    </row>
    <row r="191" customFormat="false" ht="12.75" hidden="false" customHeight="false" outlineLevel="0" collapsed="false">
      <c r="A191" s="1" t="str">
        <f aca="false">HYPERLINK("https://lindat.mff.cuni.cz/services/PDT-Vallex4.5/PDT-Vallex4.5.html?verb=provést#v41hrmE", "v41hrmE")</f>
        <v>v41hrmE</v>
      </c>
      <c r="B191" s="1" t="s">
        <v>419</v>
      </c>
      <c r="C191" s="1" t="str">
        <f aca="false">HYPERLINK("https://lindat.mff.cuni.cz/services/PDT-Vallex4.5/PDT-Vallex4.5.html?verb=provést", "provést")</f>
        <v>provést</v>
      </c>
      <c r="D191" s="1" t="n">
        <v>7</v>
      </c>
      <c r="E191" s="1" t="n">
        <v>5</v>
      </c>
      <c r="F191" s="2" t="s">
        <v>420</v>
      </c>
      <c r="L191" s="1" t="s">
        <v>421</v>
      </c>
    </row>
    <row r="192" customFormat="false" ht="12.75" hidden="false" customHeight="false" outlineLevel="0" collapsed="false">
      <c r="A192" s="1" t="str">
        <f aca="false">HYPERLINK("https://lindat.mff.cuni.cz/services/PDT-Vallex4.5/PDT-Vallex4.5.html?verb=dávat si#v41puE", "v41puE")</f>
        <v>v41puE</v>
      </c>
      <c r="B192" s="1" t="s">
        <v>422</v>
      </c>
      <c r="C192" s="1" t="str">
        <f aca="false">HYPERLINK("https://lindat.mff.cuni.cz/services/PDT-Vallex4.5/PDT-Vallex4.5.html?verb=dávat si", "dávat si")</f>
        <v>dávat si</v>
      </c>
      <c r="D192" s="1" t="n">
        <v>7</v>
      </c>
      <c r="E192" s="1" t="n">
        <v>6</v>
      </c>
      <c r="F192" s="2" t="s">
        <v>332</v>
      </c>
      <c r="L192" s="1" t="s">
        <v>333</v>
      </c>
    </row>
    <row r="193" customFormat="false" ht="12.75" hidden="false" customHeight="false" outlineLevel="0" collapsed="false">
      <c r="A193" s="1" t="str">
        <f aca="false">HYPERLINK("https://lindat.mff.cuni.cz/services/PDT-Vallex4.5/PDT-Vallex4.5.html?verb=vykládat#v41oeyE", "v41oeyE")</f>
        <v>v41oeyE</v>
      </c>
      <c r="B193" s="1" t="s">
        <v>423</v>
      </c>
      <c r="C193" s="1" t="str">
        <f aca="false">HYPERLINK("https://lindat.mff.cuni.cz/services/PDT-Vallex4.5/PDT-Vallex4.5.html?verb=vykládat", "vykládat")</f>
        <v>vykládat</v>
      </c>
      <c r="D193" s="1" t="n">
        <v>7</v>
      </c>
      <c r="E193" s="1" t="n">
        <v>2</v>
      </c>
      <c r="F193" s="2" t="s">
        <v>16</v>
      </c>
      <c r="L193" s="1" t="s">
        <v>424</v>
      </c>
      <c r="M193" s="1" t="s">
        <v>425</v>
      </c>
    </row>
    <row r="194" customFormat="false" ht="12.75" hidden="false" customHeight="false" outlineLevel="0" collapsed="false">
      <c r="A194" s="1" t="str">
        <f aca="false">HYPERLINK("https://lindat.mff.cuni.cz/services/PDT-Vallex4.5/PDT-Vallex4.5.html?verb=mít se#v41chmF", "v41chmF")</f>
        <v>v41chmF</v>
      </c>
      <c r="B194" s="1" t="s">
        <v>426</v>
      </c>
      <c r="C194" s="1" t="str">
        <f aca="false">HYPERLINK("https://lindat.mff.cuni.cz/services/PDT-Vallex4.5/PDT-Vallex4.5.html?verb=mít se", "mít se")</f>
        <v>mít se</v>
      </c>
      <c r="D194" s="1" t="n">
        <v>7</v>
      </c>
      <c r="E194" s="1" t="n">
        <v>5</v>
      </c>
      <c r="F194" s="2" t="s">
        <v>427</v>
      </c>
      <c r="L194" s="1" t="s">
        <v>428</v>
      </c>
    </row>
    <row r="195" customFormat="false" ht="12.75" hidden="false" customHeight="false" outlineLevel="0" collapsed="false">
      <c r="A195" s="1" t="str">
        <f aca="false">HYPERLINK("https://lindat.mff.cuni.cz/services/PDT-Vallex4.5/PDT-Vallex4.5.html?verb=brát si#v41huE", "v41huE")</f>
        <v>v41huE</v>
      </c>
      <c r="B195" s="1" t="s">
        <v>429</v>
      </c>
      <c r="C195" s="1" t="str">
        <f aca="false">HYPERLINK("https://lindat.mff.cuni.cz/services/PDT-Vallex4.5/PDT-Vallex4.5.html?verb=brát si", "brát si")</f>
        <v>brát si</v>
      </c>
      <c r="D195" s="1" t="n">
        <v>7</v>
      </c>
      <c r="E195" s="1" t="n">
        <v>5</v>
      </c>
      <c r="F195" s="2" t="s">
        <v>16</v>
      </c>
      <c r="L195" s="1" t="s">
        <v>430</v>
      </c>
      <c r="M195" s="1" t="s">
        <v>431</v>
      </c>
    </row>
    <row r="196" customFormat="false" ht="12.75" hidden="false" customHeight="false" outlineLevel="0" collapsed="false">
      <c r="A196" s="1" t="str">
        <f aca="false">HYPERLINK("https://lindat.mff.cuni.cz/services/PDT-Vallex4.5/PDT-Vallex4.5.html?verb=nasadit#v41dalC", "v41dalC")</f>
        <v>v41dalC</v>
      </c>
      <c r="B196" s="1" t="s">
        <v>432</v>
      </c>
      <c r="C196" s="1" t="str">
        <f aca="false">HYPERLINK("https://lindat.mff.cuni.cz/services/PDT-Vallex4.5/PDT-Vallex4.5.html?verb=nasadit", "nasadit")</f>
        <v>nasadit</v>
      </c>
      <c r="D196" s="1" t="n">
        <v>7</v>
      </c>
      <c r="E196" s="1" t="n">
        <v>4</v>
      </c>
      <c r="F196" s="2" t="s">
        <v>433</v>
      </c>
      <c r="L196" s="1" t="s">
        <v>434</v>
      </c>
      <c r="N196" s="1" t="s">
        <v>435</v>
      </c>
    </row>
    <row r="197" customFormat="false" ht="12.75" hidden="false" customHeight="false" outlineLevel="0" collapsed="false">
      <c r="A197" s="1" t="str">
        <f aca="false">HYPERLINK("https://lindat.mff.cuni.cz/services/PDT-Vallex4.5/PDT-Vallex4.5.html?verb=přihlásit se#v41iqqC", "v41iqqC")</f>
        <v>v41iqqC</v>
      </c>
      <c r="B197" s="1" t="s">
        <v>436</v>
      </c>
      <c r="C197" s="1" t="str">
        <f aca="false">HYPERLINK("https://lindat.mff.cuni.cz/services/PDT-Vallex4.5/PDT-Vallex4.5.html?verb=přihlásit se", "přihlásit se")</f>
        <v>přihlásit se</v>
      </c>
      <c r="D197" s="1" t="n">
        <v>7</v>
      </c>
      <c r="E197" s="1" t="n">
        <v>4</v>
      </c>
      <c r="F197" s="2" t="s">
        <v>437</v>
      </c>
      <c r="L197" s="1" t="s">
        <v>438</v>
      </c>
    </row>
    <row r="198" customFormat="false" ht="12.75" hidden="false" customHeight="false" outlineLevel="0" collapsed="false">
      <c r="A198" s="1" t="str">
        <f aca="false">HYPERLINK("https://lindat.mff.cuni.cz/services/PDT-Vallex4.5/PDT-Vallex4.5.html?verb=odvádět#v41emfA", "v41emfA")</f>
        <v>v41emfA</v>
      </c>
      <c r="B198" s="1" t="s">
        <v>439</v>
      </c>
      <c r="C198" s="1" t="str">
        <f aca="false">HYPERLINK("https://lindat.mff.cuni.cz/services/PDT-Vallex4.5/PDT-Vallex4.5.html?verb=odvádět", "odvádět")</f>
        <v>odvádět</v>
      </c>
      <c r="D198" s="1" t="n">
        <v>7</v>
      </c>
      <c r="E198" s="1" t="n">
        <v>5</v>
      </c>
      <c r="F198" s="2" t="s">
        <v>440</v>
      </c>
      <c r="L198" s="1" t="s">
        <v>441</v>
      </c>
    </row>
    <row r="199" customFormat="false" ht="12.75" hidden="false" customHeight="false" outlineLevel="0" collapsed="false">
      <c r="A199" s="1" t="str">
        <f aca="false">HYPERLINK("https://lindat.mff.cuni.cz/services/PDT-Vallex4.5/PDT-Vallex4.5.html?verb=odvádět#v41emfB", "v41emfB")</f>
        <v>v41emfB</v>
      </c>
      <c r="B199" s="1" t="s">
        <v>439</v>
      </c>
      <c r="C199" s="1" t="str">
        <f aca="false">HYPERLINK("https://lindat.mff.cuni.cz/services/PDT-Vallex4.5/PDT-Vallex4.5.html?verb=odvádět", "odvádět")</f>
        <v>odvádět</v>
      </c>
      <c r="D199" s="1" t="n">
        <v>7</v>
      </c>
      <c r="E199" s="1" t="n">
        <v>5</v>
      </c>
      <c r="F199" s="2" t="s">
        <v>440</v>
      </c>
      <c r="L199" s="1" t="s">
        <v>441</v>
      </c>
    </row>
    <row r="200" customFormat="false" ht="12.75" hidden="false" customHeight="false" outlineLevel="0" collapsed="false">
      <c r="A200" s="1" t="str">
        <f aca="false">HYPERLINK("https://lindat.mff.cuni.cz/services/PDT-Vallex4.5/PDT-Vallex4.5.html?verb=odvádět#v41emfF", "v41emfF")</f>
        <v>v41emfF</v>
      </c>
      <c r="B200" s="1" t="s">
        <v>439</v>
      </c>
      <c r="C200" s="1" t="str">
        <f aca="false">HYPERLINK("https://lindat.mff.cuni.cz/services/PDT-Vallex4.5/PDT-Vallex4.5.html?verb=odvádět", "odvádět")</f>
        <v>odvádět</v>
      </c>
      <c r="D200" s="1" t="n">
        <v>7</v>
      </c>
      <c r="E200" s="1" t="n">
        <v>5</v>
      </c>
      <c r="F200" s="2" t="s">
        <v>440</v>
      </c>
      <c r="L200" s="1" t="s">
        <v>441</v>
      </c>
    </row>
    <row r="201" customFormat="false" ht="12.75" hidden="false" customHeight="false" outlineLevel="0" collapsed="false">
      <c r="A201" s="1" t="str">
        <f aca="false">HYPERLINK("https://lindat.mff.cuni.cz/services/PDT-Vallex4.5/PDT-Vallex4.5.html?verb=zavést#v41qsnG", "v41qsnG")</f>
        <v>v41qsnG</v>
      </c>
      <c r="B201" s="1" t="s">
        <v>442</v>
      </c>
      <c r="C201" s="1" t="str">
        <f aca="false">HYPERLINK("https://lindat.mff.cuni.cz/services/PDT-Vallex4.5/PDT-Vallex4.5.html?verb=zavést", "zavést")</f>
        <v>zavést</v>
      </c>
      <c r="D201" s="1" t="n">
        <v>7</v>
      </c>
      <c r="E201" s="1" t="n">
        <v>3</v>
      </c>
      <c r="F201" s="2" t="s">
        <v>175</v>
      </c>
      <c r="L201" s="1" t="s">
        <v>443</v>
      </c>
    </row>
    <row r="202" customFormat="false" ht="12.75" hidden="false" customHeight="false" outlineLevel="0" collapsed="false">
      <c r="A202" s="1" t="str">
        <f aca="false">HYPERLINK("https://lindat.mff.cuni.cz/services/PDT-Vallex4.5/PDT-Vallex4.5.html?verb=připadat#v41iuyB", "v41iuyB")</f>
        <v>v41iuyB</v>
      </c>
      <c r="B202" s="1" t="s">
        <v>444</v>
      </c>
      <c r="C202" s="1" t="str">
        <f aca="false">HYPERLINK("https://lindat.mff.cuni.cz/services/PDT-Vallex4.5/PDT-Vallex4.5.html?verb=připadat", "připadat")</f>
        <v>připadat</v>
      </c>
      <c r="D202" s="1" t="n">
        <v>7</v>
      </c>
      <c r="E202" s="1" t="n">
        <v>3</v>
      </c>
      <c r="F202" s="2" t="s">
        <v>30</v>
      </c>
      <c r="L202" s="1" t="s">
        <v>354</v>
      </c>
    </row>
    <row r="203" customFormat="false" ht="12.75" hidden="false" customHeight="false" outlineLevel="0" collapsed="false">
      <c r="A203" s="1" t="str">
        <f aca="false">HYPERLINK("https://lindat.mff.cuni.cz/services/PDT-Vallex4.5/PDT-Vallex4.5.html?verb=připadat#v41iuyF", "v41iuyF")</f>
        <v>v41iuyF</v>
      </c>
      <c r="B203" s="1" t="s">
        <v>444</v>
      </c>
      <c r="C203" s="1" t="str">
        <f aca="false">HYPERLINK("https://lindat.mff.cuni.cz/services/PDT-Vallex4.5/PDT-Vallex4.5.html?verb=připadat", "připadat")</f>
        <v>připadat</v>
      </c>
      <c r="D203" s="1" t="n">
        <v>7</v>
      </c>
      <c r="E203" s="1" t="n">
        <v>3</v>
      </c>
      <c r="F203" s="2" t="s">
        <v>445</v>
      </c>
      <c r="H203" s="2" t="s">
        <v>196</v>
      </c>
      <c r="L203" s="1" t="s">
        <v>446</v>
      </c>
    </row>
    <row r="204" customFormat="false" ht="12.75" hidden="false" customHeight="false" outlineLevel="0" collapsed="false">
      <c r="A204" s="1" t="str">
        <f aca="false">HYPERLINK("https://lindat.mff.cuni.cz/services/PDT-Vallex4.5/PDT-Vallex4.5.html?verb=zkusit#v41rhoG", "v41rhoG")</f>
        <v>v41rhoG</v>
      </c>
      <c r="B204" s="1" t="s">
        <v>447</v>
      </c>
      <c r="C204" s="1" t="str">
        <f aca="false">HYPERLINK("https://lindat.mff.cuni.cz/services/PDT-Vallex4.5/PDT-Vallex4.5.html?verb=zkusit", "zkusit")</f>
        <v>zkusit</v>
      </c>
      <c r="D204" s="1" t="n">
        <v>7</v>
      </c>
      <c r="E204" s="1" t="n">
        <v>4</v>
      </c>
      <c r="F204" s="2" t="s">
        <v>448</v>
      </c>
      <c r="L204" s="1" t="s">
        <v>449</v>
      </c>
    </row>
    <row r="205" customFormat="false" ht="12.75" hidden="false" customHeight="false" outlineLevel="0" collapsed="false">
      <c r="A205" s="1" t="str">
        <f aca="false">HYPERLINK("https://lindat.mff.cuni.cz/services/PDT-Vallex4.5/PDT-Vallex4.5.html?verb=vylézt#v41oieC", "v41oieC")</f>
        <v>v41oieC</v>
      </c>
      <c r="B205" s="1" t="s">
        <v>450</v>
      </c>
      <c r="C205" s="1" t="str">
        <f aca="false">HYPERLINK("https://lindat.mff.cuni.cz/services/PDT-Vallex4.5/PDT-Vallex4.5.html?verb=vylézt", "vylézt")</f>
        <v>vylézt</v>
      </c>
      <c r="D205" s="1" t="n">
        <v>7</v>
      </c>
      <c r="E205" s="1" t="n">
        <v>6</v>
      </c>
      <c r="F205" s="2" t="s">
        <v>322</v>
      </c>
      <c r="H205" s="2" t="s">
        <v>451</v>
      </c>
      <c r="L205" s="1" t="s">
        <v>452</v>
      </c>
    </row>
    <row r="206" customFormat="false" ht="12.75" hidden="false" customHeight="false" outlineLevel="0" collapsed="false">
      <c r="A206" s="1" t="str">
        <f aca="false">HYPERLINK("https://lindat.mff.cuni.cz/services/PDT-Vallex4.5/PDT-Vallex4.5.html?verb=vyrovnat#v41otzC", "v41otzC")</f>
        <v>v41otzC</v>
      </c>
      <c r="B206" s="1" t="s">
        <v>453</v>
      </c>
      <c r="C206" s="1" t="str">
        <f aca="false">HYPERLINK("https://lindat.mff.cuni.cz/services/PDT-Vallex4.5/PDT-Vallex4.5.html?verb=vyrovnat", "vyrovnat")</f>
        <v>vyrovnat</v>
      </c>
      <c r="D206" s="1" t="n">
        <v>7</v>
      </c>
      <c r="E206" s="1" t="n">
        <v>3</v>
      </c>
      <c r="F206" s="2" t="s">
        <v>454</v>
      </c>
      <c r="L206" s="1" t="s">
        <v>441</v>
      </c>
    </row>
    <row r="207" customFormat="false" ht="12.75" hidden="false" customHeight="false" outlineLevel="0" collapsed="false">
      <c r="A207" s="1" t="str">
        <f aca="false">HYPERLINK("https://lindat.mff.cuni.cz/services/PDT-Vallex4.5/PDT-Vallex4.5.html?verb=žít#v41sekA", "v41sekA")</f>
        <v>v41sekA</v>
      </c>
      <c r="B207" s="1" t="s">
        <v>455</v>
      </c>
      <c r="C207" s="1" t="str">
        <f aca="false">HYPERLINK("https://lindat.mff.cuni.cz/services/PDT-Vallex4.5/PDT-Vallex4.5.html?verb=žít", "žít")</f>
        <v>žít</v>
      </c>
      <c r="D207" s="1" t="n">
        <v>7</v>
      </c>
      <c r="E207" s="1" t="n">
        <v>4</v>
      </c>
      <c r="F207" s="2" t="s">
        <v>16</v>
      </c>
      <c r="L207" s="1" t="s">
        <v>456</v>
      </c>
      <c r="M207" s="1" t="s">
        <v>330</v>
      </c>
    </row>
    <row r="208" customFormat="false" ht="12.75" hidden="false" customHeight="false" outlineLevel="0" collapsed="false">
      <c r="A208" s="1" t="str">
        <f aca="false">HYPERLINK("https://lindat.mff.cuni.cz/services/PDT-Vallex4.5/PDT-Vallex4.5.html?verb=jezdit#v41bhxB", "v41bhxB")</f>
        <v>v41bhxB</v>
      </c>
      <c r="B208" s="1" t="s">
        <v>457</v>
      </c>
      <c r="C208" s="1" t="str">
        <f aca="false">HYPERLINK("https://lindat.mff.cuni.cz/services/PDT-Vallex4.5/PDT-Vallex4.5.html?verb=jezdit", "jezdit")</f>
        <v>jezdit</v>
      </c>
      <c r="D208" s="1" t="n">
        <v>7</v>
      </c>
      <c r="E208" s="1" t="n">
        <v>5</v>
      </c>
      <c r="F208" s="2" t="s">
        <v>458</v>
      </c>
      <c r="L208" s="1" t="s">
        <v>459</v>
      </c>
    </row>
    <row r="209" customFormat="false" ht="12.75" hidden="false" customHeight="false" outlineLevel="0" collapsed="false">
      <c r="A209" s="1" t="str">
        <f aca="false">HYPERLINK("https://lindat.mff.cuni.cz/services/PDT-Vallex4.5/PDT-Vallex4.5.html?verb=jezdit#v41bhxD", "v41bhxD")</f>
        <v>v41bhxD</v>
      </c>
      <c r="B209" s="1" t="s">
        <v>457</v>
      </c>
      <c r="C209" s="1" t="str">
        <f aca="false">HYPERLINK("https://lindat.mff.cuni.cz/services/PDT-Vallex4.5/PDT-Vallex4.5.html?verb=jezdit", "jezdit")</f>
        <v>jezdit</v>
      </c>
      <c r="D209" s="1" t="n">
        <v>7</v>
      </c>
      <c r="E209" s="1" t="n">
        <v>5</v>
      </c>
      <c r="F209" s="2" t="s">
        <v>460</v>
      </c>
      <c r="L209" s="1" t="s">
        <v>461</v>
      </c>
    </row>
    <row r="210" customFormat="false" ht="12.75" hidden="false" customHeight="false" outlineLevel="0" collapsed="false">
      <c r="A210" s="1" t="str">
        <f aca="false">HYPERLINK("https://lindat.mff.cuni.cz/services/PDT-Vallex4.5/PDT-Vallex4.5.html?verb=zachovat#v41pukA", "v41pukA")</f>
        <v>v41pukA</v>
      </c>
      <c r="B210" s="1" t="s">
        <v>462</v>
      </c>
      <c r="C210" s="1" t="str">
        <f aca="false">HYPERLINK("https://lindat.mff.cuni.cz/services/PDT-Vallex4.5/PDT-Vallex4.5.html?verb=zachovat", "zachovat")</f>
        <v>zachovat</v>
      </c>
      <c r="D210" s="1" t="n">
        <v>6</v>
      </c>
      <c r="E210" s="1" t="n">
        <v>4</v>
      </c>
      <c r="F210" s="2" t="s">
        <v>16</v>
      </c>
      <c r="L210" s="1" t="s">
        <v>463</v>
      </c>
      <c r="M210" s="3" t="s">
        <v>464</v>
      </c>
    </row>
    <row r="211" customFormat="false" ht="12.75" hidden="false" customHeight="false" outlineLevel="0" collapsed="false">
      <c r="A211" s="1" t="str">
        <f aca="false">HYPERLINK("https://lindat.mff.cuni.cz/services/PDT-Vallex4.5/PDT-Vallex4.5.html?verb=zachovat#v41pukB", "v41pukB")</f>
        <v>v41pukB</v>
      </c>
      <c r="B211" s="1" t="s">
        <v>462</v>
      </c>
      <c r="C211" s="1" t="str">
        <f aca="false">HYPERLINK("https://lindat.mff.cuni.cz/services/PDT-Vallex4.5/PDT-Vallex4.5.html?verb=zachovat", "zachovat")</f>
        <v>zachovat</v>
      </c>
      <c r="D211" s="1" t="n">
        <v>6</v>
      </c>
      <c r="E211" s="1" t="n">
        <v>4</v>
      </c>
      <c r="F211" s="2" t="s">
        <v>465</v>
      </c>
      <c r="L211" s="1" t="s">
        <v>466</v>
      </c>
    </row>
    <row r="212" customFormat="false" ht="12.75" hidden="false" customHeight="false" outlineLevel="0" collapsed="false">
      <c r="A212" s="1" t="str">
        <f aca="false">HYPERLINK("https://lindat.mff.cuni.cz/services/PDT-Vallex4.5/PDT-Vallex4.5.html?verb=zachovat#v41pukE", "v41pukE")</f>
        <v>v41pukE</v>
      </c>
      <c r="B212" s="1" t="s">
        <v>462</v>
      </c>
      <c r="C212" s="1" t="str">
        <f aca="false">HYPERLINK("https://lindat.mff.cuni.cz/services/PDT-Vallex4.5/PDT-Vallex4.5.html?verb=zachovat", "zachovat")</f>
        <v>zachovat</v>
      </c>
      <c r="D212" s="1" t="n">
        <v>6</v>
      </c>
      <c r="E212" s="1" t="n">
        <v>4</v>
      </c>
      <c r="F212" s="2" t="s">
        <v>16</v>
      </c>
      <c r="L212" s="1" t="s">
        <v>467</v>
      </c>
      <c r="M212" s="1" t="s">
        <v>468</v>
      </c>
    </row>
    <row r="213" customFormat="false" ht="12.75" hidden="false" customHeight="false" outlineLevel="0" collapsed="false">
      <c r="A213" s="1" t="str">
        <f aca="false">HYPERLINK("https://lindat.mff.cuni.cz/services/PDT-Vallex4.5/PDT-Vallex4.5.html?verb=zachovat#v41pukF", "v41pukF")</f>
        <v>v41pukF</v>
      </c>
      <c r="B213" s="1" t="s">
        <v>462</v>
      </c>
      <c r="C213" s="1" t="str">
        <f aca="false">HYPERLINK("https://lindat.mff.cuni.cz/services/PDT-Vallex4.5/PDT-Vallex4.5.html?verb=zachovat", "zachovat")</f>
        <v>zachovat</v>
      </c>
      <c r="D213" s="1" t="n">
        <v>6</v>
      </c>
      <c r="E213" s="1" t="n">
        <v>4</v>
      </c>
      <c r="F213" s="2" t="s">
        <v>19</v>
      </c>
      <c r="L213" s="1" t="s">
        <v>469</v>
      </c>
      <c r="N213" s="1" t="s">
        <v>470</v>
      </c>
    </row>
    <row r="214" customFormat="false" ht="12.75" hidden="false" customHeight="false" outlineLevel="0" collapsed="false">
      <c r="A214" s="1" t="str">
        <f aca="false">HYPERLINK("https://lindat.mff.cuni.cz/services/PDT-Vallex4.5/PDT-Vallex4.5.html?verb=vrátit#v41npzC", "v41npzC")</f>
        <v>v41npzC</v>
      </c>
      <c r="B214" s="1" t="s">
        <v>471</v>
      </c>
      <c r="C214" s="1" t="str">
        <f aca="false">HYPERLINK("https://lindat.mff.cuni.cz/services/PDT-Vallex4.5/PDT-Vallex4.5.html?verb=vrátit", "vrátit")</f>
        <v>vrátit</v>
      </c>
      <c r="D214" s="1" t="n">
        <v>6</v>
      </c>
      <c r="E214" s="1" t="n">
        <v>2</v>
      </c>
      <c r="F214" s="2" t="s">
        <v>472</v>
      </c>
      <c r="L214" s="1" t="s">
        <v>473</v>
      </c>
    </row>
    <row r="215" customFormat="false" ht="12.75" hidden="false" customHeight="false" outlineLevel="0" collapsed="false">
      <c r="A215" s="1" t="str">
        <f aca="false">HYPERLINK("https://lindat.mff.cuni.cz/services/PDT-Vallex4.5/PDT-Vallex4.5.html?verb=čekat#v41mtA", "v41mtA")</f>
        <v>v41mtA</v>
      </c>
      <c r="B215" s="1" t="s">
        <v>474</v>
      </c>
      <c r="C215" s="1" t="str">
        <f aca="false">HYPERLINK("https://lindat.mff.cuni.cz/services/PDT-Vallex4.5/PDT-Vallex4.5.html?verb=čekat", "čekat")</f>
        <v>čekat</v>
      </c>
      <c r="D215" s="1" t="n">
        <v>6</v>
      </c>
      <c r="E215" s="1" t="n">
        <v>3</v>
      </c>
      <c r="F215" s="2" t="s">
        <v>16</v>
      </c>
      <c r="L215" s="1" t="s">
        <v>475</v>
      </c>
      <c r="M215" s="1" t="s">
        <v>298</v>
      </c>
    </row>
    <row r="216" customFormat="false" ht="12.75" hidden="false" customHeight="false" outlineLevel="0" collapsed="false">
      <c r="A216" s="1" t="str">
        <f aca="false">HYPERLINK("https://lindat.mff.cuni.cz/services/PDT-Vallex4.5/PDT-Vallex4.5.html?verb=trefit#v41mboA", "v41mboA")</f>
        <v>v41mboA</v>
      </c>
      <c r="B216" s="1" t="s">
        <v>476</v>
      </c>
      <c r="C216" s="1" t="str">
        <f aca="false">HYPERLINK("https://lindat.mff.cuni.cz/services/PDT-Vallex4.5/PDT-Vallex4.5.html?verb=trefit", "trefit")</f>
        <v>trefit</v>
      </c>
      <c r="D216" s="1" t="n">
        <v>6</v>
      </c>
      <c r="E216" s="1" t="n">
        <v>5</v>
      </c>
      <c r="F216" s="2" t="s">
        <v>477</v>
      </c>
      <c r="L216" s="1" t="s">
        <v>478</v>
      </c>
    </row>
    <row r="217" customFormat="false" ht="12.75" hidden="false" customHeight="false" outlineLevel="0" collapsed="false">
      <c r="A217" s="1" t="str">
        <f aca="false">HYPERLINK("https://lindat.mff.cuni.cz/services/PDT-Vallex4.5/PDT-Vallex4.5.html?verb=trefit#v41mboC", "v41mboC")</f>
        <v>v41mboC</v>
      </c>
      <c r="B217" s="1" t="s">
        <v>476</v>
      </c>
      <c r="C217" s="1" t="str">
        <f aca="false">HYPERLINK("https://lindat.mff.cuni.cz/services/PDT-Vallex4.5/PDT-Vallex4.5.html?verb=trefit", "trefit")</f>
        <v>trefit</v>
      </c>
      <c r="D217" s="1" t="n">
        <v>6</v>
      </c>
      <c r="E217" s="1" t="n">
        <v>5</v>
      </c>
      <c r="F217" s="2" t="s">
        <v>194</v>
      </c>
      <c r="L217" s="1" t="s">
        <v>479</v>
      </c>
    </row>
    <row r="218" customFormat="false" ht="12.75" hidden="false" customHeight="false" outlineLevel="0" collapsed="false">
      <c r="A218" s="1" t="str">
        <f aca="false">HYPERLINK("https://lindat.mff.cuni.cz/services/PDT-Vallex4.5/PDT-Vallex4.5.html?verb=sypat#v41lrzA", "v41lrzA")</f>
        <v>v41lrzA</v>
      </c>
      <c r="B218" s="1" t="s">
        <v>480</v>
      </c>
      <c r="C218" s="1" t="str">
        <f aca="false">HYPERLINK("https://lindat.mff.cuni.cz/services/PDT-Vallex4.5/PDT-Vallex4.5.html?verb=sypat", "sypat")</f>
        <v>sypat</v>
      </c>
      <c r="D218" s="1" t="n">
        <v>6</v>
      </c>
      <c r="E218" s="1" t="n">
        <v>4</v>
      </c>
      <c r="F218" s="2" t="s">
        <v>481</v>
      </c>
      <c r="L218" s="1" t="s">
        <v>482</v>
      </c>
      <c r="N218" s="1" t="s">
        <v>483</v>
      </c>
    </row>
    <row r="219" customFormat="false" ht="12.75" hidden="false" customHeight="false" outlineLevel="0" collapsed="false">
      <c r="A219" s="1" t="str">
        <f aca="false">HYPERLINK("https://lindat.mff.cuni.cz/services/PDT-Vallex4.5/PDT-Vallex4.5.html?verb=narazit#v41cyxC", "v41cyxC")</f>
        <v>v41cyxC</v>
      </c>
      <c r="B219" s="1" t="s">
        <v>484</v>
      </c>
      <c r="C219" s="1" t="str">
        <f aca="false">HYPERLINK("https://lindat.mff.cuni.cz/services/PDT-Vallex4.5/PDT-Vallex4.5.html?verb=narazit", "narazit")</f>
        <v>narazit</v>
      </c>
      <c r="D219" s="1" t="n">
        <v>6</v>
      </c>
      <c r="E219" s="1" t="n">
        <v>3</v>
      </c>
      <c r="F219" s="2" t="s">
        <v>485</v>
      </c>
      <c r="L219" s="1" t="s">
        <v>486</v>
      </c>
      <c r="N219" s="1" t="s">
        <v>487</v>
      </c>
    </row>
    <row r="220" customFormat="false" ht="12.75" hidden="false" customHeight="false" outlineLevel="0" collapsed="false">
      <c r="A220" s="1" t="str">
        <f aca="false">HYPERLINK("https://lindat.mff.cuni.cz/services/PDT-Vallex4.5/PDT-Vallex4.5.html?verb=dorazit#v41aehB", "v41aehB")</f>
        <v>v41aehB</v>
      </c>
      <c r="B220" s="1" t="s">
        <v>488</v>
      </c>
      <c r="C220" s="1" t="str">
        <f aca="false">HYPERLINK("https://lindat.mff.cuni.cz/services/PDT-Vallex4.5/PDT-Vallex4.5.html?verb=dorazit", "dorazit")</f>
        <v>dorazit</v>
      </c>
      <c r="D220" s="1" t="n">
        <v>6</v>
      </c>
      <c r="E220" s="1" t="n">
        <v>5</v>
      </c>
      <c r="F220" s="2" t="s">
        <v>16</v>
      </c>
      <c r="L220" s="1" t="s">
        <v>489</v>
      </c>
      <c r="M220" s="1" t="s">
        <v>490</v>
      </c>
    </row>
    <row r="221" customFormat="false" ht="12.75" hidden="false" customHeight="false" outlineLevel="0" collapsed="false">
      <c r="A221" s="1" t="str">
        <f aca="false">HYPERLINK("https://lindat.mff.cuni.cz/services/PDT-Vallex4.5/PDT-Vallex4.5.html?verb=dorazit#v41aehC", "v41aehC")</f>
        <v>v41aehC</v>
      </c>
      <c r="B221" s="1" t="s">
        <v>488</v>
      </c>
      <c r="C221" s="1" t="str">
        <f aca="false">HYPERLINK("https://lindat.mff.cuni.cz/services/PDT-Vallex4.5/PDT-Vallex4.5.html?verb=dorazit", "dorazit")</f>
        <v>dorazit</v>
      </c>
      <c r="D221" s="1" t="n">
        <v>6</v>
      </c>
      <c r="E221" s="1" t="n">
        <v>5</v>
      </c>
      <c r="F221" s="2" t="s">
        <v>491</v>
      </c>
      <c r="L221" s="1" t="s">
        <v>492</v>
      </c>
    </row>
    <row r="222" customFormat="false" ht="12.75" hidden="false" customHeight="false" outlineLevel="0" collapsed="false">
      <c r="A222" s="1" t="str">
        <f aca="false">HYPERLINK("https://lindat.mff.cuni.cz/services/PDT-Vallex4.5/PDT-Vallex4.5.html?verb=dorazit#v41aehD", "v41aehD")</f>
        <v>v41aehD</v>
      </c>
      <c r="B222" s="1" t="s">
        <v>488</v>
      </c>
      <c r="C222" s="1" t="str">
        <f aca="false">HYPERLINK("https://lindat.mff.cuni.cz/services/PDT-Vallex4.5/PDT-Vallex4.5.html?verb=dorazit", "dorazit")</f>
        <v>dorazit</v>
      </c>
      <c r="D222" s="1" t="n">
        <v>6</v>
      </c>
      <c r="E222" s="1" t="n">
        <v>5</v>
      </c>
      <c r="F222" s="2" t="s">
        <v>276</v>
      </c>
      <c r="L222" s="1" t="s">
        <v>493</v>
      </c>
    </row>
    <row r="223" customFormat="false" ht="12.75" hidden="false" customHeight="false" outlineLevel="0" collapsed="false">
      <c r="A223" s="1" t="str">
        <f aca="false">HYPERLINK("https://lindat.mff.cuni.cz/services/PDT-Vallex4.5/PDT-Vallex4.5.html?verb=otvírat#v41femD", "v41femD")</f>
        <v>v41femD</v>
      </c>
      <c r="B223" s="1" t="s">
        <v>494</v>
      </c>
      <c r="C223" s="1" t="str">
        <f aca="false">HYPERLINK("https://lindat.mff.cuni.cz/services/PDT-Vallex4.5/PDT-Vallex4.5.html?verb=otvírat", "otvírat")</f>
        <v>otvírat</v>
      </c>
      <c r="D223" s="1" t="n">
        <v>6</v>
      </c>
      <c r="E223" s="1" t="n">
        <v>4</v>
      </c>
      <c r="F223" s="2" t="s">
        <v>495</v>
      </c>
      <c r="L223" s="1" t="s">
        <v>496</v>
      </c>
    </row>
    <row r="224" customFormat="false" ht="12.75" hidden="false" customHeight="false" outlineLevel="0" collapsed="false">
      <c r="A224" s="1" t="str">
        <f aca="false">HYPERLINK("https://lindat.mff.cuni.cz/services/PDT-Vallex4.5/PDT-Vallex4.5.html?verb=vytvořit#v41peoF", "v41peoF")</f>
        <v>v41peoF</v>
      </c>
      <c r="B224" s="1" t="s">
        <v>497</v>
      </c>
      <c r="C224" s="1" t="str">
        <f aca="false">HYPERLINK("https://lindat.mff.cuni.cz/services/PDT-Vallex4.5/PDT-Vallex4.5.html?verb=vytvořit", "vytvořit")</f>
        <v>vytvořit</v>
      </c>
      <c r="D224" s="1" t="n">
        <v>6</v>
      </c>
      <c r="E224" s="1" t="n">
        <v>3</v>
      </c>
      <c r="F224" s="2" t="s">
        <v>498</v>
      </c>
      <c r="L224" s="1" t="s">
        <v>499</v>
      </c>
    </row>
    <row r="225" customFormat="false" ht="12.75" hidden="false" customHeight="false" outlineLevel="0" collapsed="false">
      <c r="A225" s="1" t="str">
        <f aca="false">HYPERLINK("https://lindat.mff.cuni.cz/services/PDT-Vallex4.5/PDT-Vallex4.5.html?verb=pokládat#v41garF", "v41garF")</f>
        <v>v41garF</v>
      </c>
      <c r="B225" s="1" t="s">
        <v>500</v>
      </c>
      <c r="C225" s="1" t="str">
        <f aca="false">HYPERLINK("https://lindat.mff.cuni.cz/services/PDT-Vallex4.5/PDT-Vallex4.5.html?verb=pokládat", "pokládat")</f>
        <v>pokládat</v>
      </c>
      <c r="D225" s="1" t="n">
        <v>6</v>
      </c>
      <c r="E225" s="1" t="n">
        <v>2</v>
      </c>
      <c r="F225" s="2" t="s">
        <v>83</v>
      </c>
      <c r="L225" s="1" t="s">
        <v>84</v>
      </c>
    </row>
    <row r="226" customFormat="false" ht="12.75" hidden="false" customHeight="false" outlineLevel="0" collapsed="false">
      <c r="A226" s="1" t="str">
        <f aca="false">HYPERLINK("https://lindat.mff.cuni.cz/services/PDT-Vallex4.5/PDT-Vallex4.5.html?verb=přeskočit#v41iiqF", "v41iiqF")</f>
        <v>v41iiqF</v>
      </c>
      <c r="B226" s="1" t="s">
        <v>501</v>
      </c>
      <c r="C226" s="1" t="str">
        <f aca="false">HYPERLINK("https://lindat.mff.cuni.cz/services/PDT-Vallex4.5/PDT-Vallex4.5.html?verb=přeskočit", "přeskočit")</f>
        <v>přeskočit</v>
      </c>
      <c r="D226" s="1" t="n">
        <v>6</v>
      </c>
      <c r="E226" s="1" t="n">
        <v>3</v>
      </c>
      <c r="F226" s="2" t="s">
        <v>379</v>
      </c>
      <c r="L226" s="1" t="s">
        <v>380</v>
      </c>
    </row>
    <row r="227" customFormat="false" ht="12.75" hidden="false" customHeight="false" outlineLevel="0" collapsed="false">
      <c r="A227" s="1" t="str">
        <f aca="false">HYPERLINK("https://lindat.mff.cuni.cz/services/PDT-Vallex4.5/PDT-Vallex4.5.html?verb=otočit#v41fdoB", "v41fdoB")</f>
        <v>v41fdoB</v>
      </c>
      <c r="B227" s="1" t="s">
        <v>502</v>
      </c>
      <c r="C227" s="1" t="str">
        <f aca="false">HYPERLINK("https://lindat.mff.cuni.cz/services/PDT-Vallex4.5/PDT-Vallex4.5.html?verb=otočit", "otočit")</f>
        <v>otočit</v>
      </c>
      <c r="D227" s="1" t="n">
        <v>6</v>
      </c>
      <c r="E227" s="1" t="n">
        <v>3</v>
      </c>
      <c r="F227" s="2" t="s">
        <v>503</v>
      </c>
      <c r="L227" s="1" t="s">
        <v>504</v>
      </c>
    </row>
    <row r="228" customFormat="false" ht="12.75" hidden="false" customHeight="false" outlineLevel="0" collapsed="false">
      <c r="A228" s="1" t="str">
        <f aca="false">HYPERLINK("https://lindat.mff.cuni.cz/services/PDT-Vallex4.5/PDT-Vallex4.5.html?verb=otočit#v41fdoC", "v41fdoC")</f>
        <v>v41fdoC</v>
      </c>
      <c r="B228" s="1" t="s">
        <v>502</v>
      </c>
      <c r="C228" s="1" t="str">
        <f aca="false">HYPERLINK("https://lindat.mff.cuni.cz/services/PDT-Vallex4.5/PDT-Vallex4.5.html?verb=otočit", "otočit")</f>
        <v>otočit</v>
      </c>
      <c r="D228" s="1" t="n">
        <v>6</v>
      </c>
      <c r="E228" s="1" t="n">
        <v>3</v>
      </c>
      <c r="F228" s="2" t="s">
        <v>505</v>
      </c>
      <c r="H228" s="2" t="s">
        <v>506</v>
      </c>
      <c r="L228" s="1" t="s">
        <v>507</v>
      </c>
    </row>
    <row r="229" customFormat="false" ht="12.75" hidden="false" customHeight="false" outlineLevel="0" collapsed="false">
      <c r="A229" s="1" t="str">
        <f aca="false">HYPERLINK("https://lindat.mff.cuni.cz/services/PDT-Vallex4.5/PDT-Vallex4.5.html?verb=létat#v41bzwC", "v41bzwC")</f>
        <v>v41bzwC</v>
      </c>
      <c r="B229" s="1" t="s">
        <v>508</v>
      </c>
      <c r="C229" s="1" t="str">
        <f aca="false">HYPERLINK("https://lindat.mff.cuni.cz/services/PDT-Vallex4.5/PDT-Vallex4.5.html?verb=létat", "létat")</f>
        <v>létat</v>
      </c>
      <c r="D229" s="1" t="n">
        <v>6</v>
      </c>
      <c r="E229" s="1" t="n">
        <v>5</v>
      </c>
      <c r="F229" s="2" t="s">
        <v>509</v>
      </c>
      <c r="L229" s="1" t="s">
        <v>510</v>
      </c>
    </row>
    <row r="230" customFormat="false" ht="12.75" hidden="false" customHeight="false" outlineLevel="0" collapsed="false">
      <c r="A230" s="1" t="str">
        <f aca="false">HYPERLINK("https://lindat.mff.cuni.cz/services/PDT-Vallex4.5/PDT-Vallex4.5.html?verb=udávat#v41mhpD", "v41mhpD")</f>
        <v>v41mhpD</v>
      </c>
      <c r="B230" s="1" t="s">
        <v>511</v>
      </c>
      <c r="C230" s="1" t="str">
        <f aca="false">HYPERLINK("https://lindat.mff.cuni.cz/services/PDT-Vallex4.5/PDT-Vallex4.5.html?verb=udávat", "udávat")</f>
        <v>udávat</v>
      </c>
      <c r="D230" s="1" t="n">
        <v>6</v>
      </c>
      <c r="E230" s="1" t="n">
        <v>5</v>
      </c>
      <c r="F230" s="2" t="s">
        <v>16</v>
      </c>
      <c r="L230" s="1" t="s">
        <v>512</v>
      </c>
      <c r="M230" s="3" t="s">
        <v>513</v>
      </c>
    </row>
    <row r="231" customFormat="false" ht="12.75" hidden="false" customHeight="false" outlineLevel="0" collapsed="false">
      <c r="A231" s="1" t="str">
        <f aca="false">HYPERLINK("https://lindat.mff.cuni.cz/services/PDT-Vallex4.5/PDT-Vallex4.5.html?verb=udávat#v41mhpE", "v41mhpE")</f>
        <v>v41mhpE</v>
      </c>
      <c r="B231" s="1" t="s">
        <v>511</v>
      </c>
      <c r="C231" s="1" t="str">
        <f aca="false">HYPERLINK("https://lindat.mff.cuni.cz/services/PDT-Vallex4.5/PDT-Vallex4.5.html?verb=udávat", "udávat")</f>
        <v>udávat</v>
      </c>
      <c r="D231" s="1" t="n">
        <v>6</v>
      </c>
      <c r="E231" s="1" t="n">
        <v>5</v>
      </c>
      <c r="F231" s="2" t="s">
        <v>16</v>
      </c>
      <c r="L231" s="1" t="s">
        <v>512</v>
      </c>
      <c r="M231" s="3" t="s">
        <v>513</v>
      </c>
    </row>
    <row r="232" customFormat="false" ht="12.75" hidden="false" customHeight="false" outlineLevel="0" collapsed="false">
      <c r="A232" s="1" t="str">
        <f aca="false">HYPERLINK("https://lindat.mff.cuni.cz/services/PDT-Vallex4.5/PDT-Vallex4.5.html?verb=vynést#v41ompD", "v41ompD")</f>
        <v>v41ompD</v>
      </c>
      <c r="B232" s="1" t="s">
        <v>514</v>
      </c>
      <c r="C232" s="1" t="str">
        <f aca="false">HYPERLINK("https://lindat.mff.cuni.cz/services/PDT-Vallex4.5/PDT-Vallex4.5.html?verb=vynést", "vynést")</f>
        <v>vynést</v>
      </c>
      <c r="D232" s="1" t="n">
        <v>6</v>
      </c>
      <c r="E232" s="1" t="n">
        <v>2</v>
      </c>
      <c r="F232" s="2" t="s">
        <v>88</v>
      </c>
      <c r="L232" s="1" t="s">
        <v>255</v>
      </c>
      <c r="N232" s="1" t="s">
        <v>515</v>
      </c>
    </row>
    <row r="233" customFormat="false" ht="12.75" hidden="false" customHeight="false" outlineLevel="0" collapsed="false">
      <c r="A233" s="1" t="str">
        <f aca="false">HYPERLINK("https://lindat.mff.cuni.cz/services/PDT-Vallex4.5/PDT-Vallex4.5.html?verb=zachytit#v41pveF", "v41pveF")</f>
        <v>v41pveF</v>
      </c>
      <c r="B233" s="1" t="s">
        <v>516</v>
      </c>
      <c r="C233" s="1" t="str">
        <f aca="false">HYPERLINK("https://lindat.mff.cuni.cz/services/PDT-Vallex4.5/PDT-Vallex4.5.html?verb=zachytit", "zachytit")</f>
        <v>zachytit</v>
      </c>
      <c r="D233" s="1" t="n">
        <v>6</v>
      </c>
      <c r="E233" s="1" t="n">
        <v>2</v>
      </c>
      <c r="F233" s="2" t="s">
        <v>517</v>
      </c>
      <c r="L233" s="1" t="s">
        <v>518</v>
      </c>
    </row>
    <row r="234" customFormat="false" ht="12.75" hidden="false" customHeight="false" outlineLevel="0" collapsed="false">
      <c r="A234" s="1" t="str">
        <f aca="false">HYPERLINK("https://lindat.mff.cuni.cz/services/PDT-Vallex4.5/PDT-Vallex4.5.html?verb=dávat se#v41ptB", "v41ptB")</f>
        <v>v41ptB</v>
      </c>
      <c r="B234" s="1" t="s">
        <v>519</v>
      </c>
      <c r="C234" s="1" t="str">
        <f aca="false">HYPERLINK("https://lindat.mff.cuni.cz/services/PDT-Vallex4.5/PDT-Vallex4.5.html?verb=dávat se", "dávat se")</f>
        <v>dávat se</v>
      </c>
      <c r="D234" s="1" t="n">
        <v>6</v>
      </c>
      <c r="E234" s="1" t="n">
        <v>4</v>
      </c>
      <c r="F234" s="2" t="s">
        <v>225</v>
      </c>
      <c r="L234" s="1" t="s">
        <v>520</v>
      </c>
    </row>
    <row r="235" customFormat="false" ht="12.75" hidden="false" customHeight="false" outlineLevel="0" collapsed="false">
      <c r="A235" s="1" t="str">
        <f aca="false">HYPERLINK("https://lindat.mff.cuni.cz/services/PDT-Vallex4.5/PDT-Vallex4.5.html?verb=dávat se#v41ptD", "v41ptD")</f>
        <v>v41ptD</v>
      </c>
      <c r="B235" s="1" t="s">
        <v>519</v>
      </c>
      <c r="C235" s="1" t="str">
        <f aca="false">HYPERLINK("https://lindat.mff.cuni.cz/services/PDT-Vallex4.5/PDT-Vallex4.5.html?verb=dávat se", "dávat se")</f>
        <v>dávat se</v>
      </c>
      <c r="D235" s="1" t="n">
        <v>6</v>
      </c>
      <c r="E235" s="1" t="n">
        <v>4</v>
      </c>
      <c r="F235" s="2" t="s">
        <v>521</v>
      </c>
      <c r="L235" s="1" t="s">
        <v>522</v>
      </c>
    </row>
    <row r="236" customFormat="false" ht="12.75" hidden="false" customHeight="false" outlineLevel="0" collapsed="false">
      <c r="A236" s="1" t="str">
        <f aca="false">HYPERLINK("https://lindat.mff.cuni.cz/services/PDT-Vallex4.5/PDT-Vallex4.5.html?verb=zkoušet#v41rgtA", "v41rgtA")</f>
        <v>v41rgtA</v>
      </c>
      <c r="B236" s="1" t="s">
        <v>523</v>
      </c>
      <c r="C236" s="1" t="str">
        <f aca="false">HYPERLINK("https://lindat.mff.cuni.cz/services/PDT-Vallex4.5/PDT-Vallex4.5.html?verb=zkoušet", "zkoušet")</f>
        <v>zkoušet</v>
      </c>
      <c r="D236" s="1" t="n">
        <v>6</v>
      </c>
      <c r="E236" s="1" t="n">
        <v>5</v>
      </c>
      <c r="F236" s="2" t="s">
        <v>16</v>
      </c>
      <c r="L236" s="1" t="s">
        <v>524</v>
      </c>
      <c r="M236" s="1" t="s">
        <v>525</v>
      </c>
    </row>
    <row r="237" customFormat="false" ht="12.75" hidden="false" customHeight="false" outlineLevel="0" collapsed="false">
      <c r="A237" s="1" t="str">
        <f aca="false">HYPERLINK("https://lindat.mff.cuni.cz/services/PDT-Vallex4.5/PDT-Vallex4.5.html?verb=shazovat#v41kmeE", "v41kmeE")</f>
        <v>v41kmeE</v>
      </c>
      <c r="B237" s="1" t="s">
        <v>526</v>
      </c>
      <c r="C237" s="1" t="str">
        <f aca="false">HYPERLINK("https://lindat.mff.cuni.cz/services/PDT-Vallex4.5/PDT-Vallex4.5.html?verb=shazovat", "shazovat")</f>
        <v>shazovat</v>
      </c>
      <c r="D237" s="1" t="n">
        <v>5</v>
      </c>
      <c r="E237" s="1" t="n">
        <v>1</v>
      </c>
      <c r="F237" s="2" t="s">
        <v>527</v>
      </c>
      <c r="L237" s="1" t="s">
        <v>528</v>
      </c>
      <c r="N237" s="1" t="s">
        <v>470</v>
      </c>
    </row>
    <row r="238" customFormat="false" ht="12.75" hidden="false" customHeight="false" outlineLevel="0" collapsed="false">
      <c r="A238" s="1" t="str">
        <f aca="false">HYPERLINK("https://lindat.mff.cuni.cz/services/PDT-Vallex4.5/PDT-Vallex4.5.html?verb=odbýt#v41dwjB", "v41dwjB")</f>
        <v>v41dwjB</v>
      </c>
      <c r="B238" s="1" t="s">
        <v>529</v>
      </c>
      <c r="C238" s="1" t="str">
        <f aca="false">HYPERLINK("https://lindat.mff.cuni.cz/services/PDT-Vallex4.5/PDT-Vallex4.5.html?verb=odbýt", "odbýt")</f>
        <v>odbýt</v>
      </c>
      <c r="D238" s="1" t="n">
        <v>5</v>
      </c>
      <c r="E238" s="1" t="n">
        <v>4</v>
      </c>
      <c r="F238" s="2" t="s">
        <v>530</v>
      </c>
      <c r="L238" s="1" t="s">
        <v>531</v>
      </c>
      <c r="N238" s="1" t="s">
        <v>470</v>
      </c>
    </row>
    <row r="239" customFormat="false" ht="12.75" hidden="false" customHeight="false" outlineLevel="0" collapsed="false">
      <c r="A239" s="1" t="str">
        <f aca="false">HYPERLINK("https://lindat.mff.cuni.cz/services/PDT-Vallex4.5/PDT-Vallex4.5.html?verb=nést se#v41dkmA", "v41dkmA")</f>
        <v>v41dkmA</v>
      </c>
      <c r="B239" s="1" t="s">
        <v>532</v>
      </c>
      <c r="C239" s="1" t="str">
        <f aca="false">HYPERLINK("https://lindat.mff.cuni.cz/services/PDT-Vallex4.5/PDT-Vallex4.5.html?verb=nést se", "nést se")</f>
        <v>nést se</v>
      </c>
      <c r="D239" s="1" t="n">
        <v>5</v>
      </c>
      <c r="E239" s="1" t="n">
        <v>5</v>
      </c>
      <c r="F239" s="2" t="s">
        <v>16</v>
      </c>
      <c r="L239" s="1" t="s">
        <v>533</v>
      </c>
      <c r="M239" s="1" t="s">
        <v>534</v>
      </c>
    </row>
    <row r="240" customFormat="false" ht="12.75" hidden="false" customHeight="false" outlineLevel="0" collapsed="false">
      <c r="A240" s="1" t="str">
        <f aca="false">HYPERLINK("https://lindat.mff.cuni.cz/services/PDT-Vallex4.5/PDT-Vallex4.5.html?verb=vynášet#v41omiA", "v41omiA")</f>
        <v>v41omiA</v>
      </c>
      <c r="B240" s="1" t="s">
        <v>535</v>
      </c>
      <c r="C240" s="1" t="str">
        <f aca="false">HYPERLINK("https://lindat.mff.cuni.cz/services/PDT-Vallex4.5/PDT-Vallex4.5.html?verb=vynášet", "vynášet")</f>
        <v>vynášet</v>
      </c>
      <c r="D240" s="1" t="n">
        <v>5</v>
      </c>
      <c r="E240" s="1" t="n">
        <v>3</v>
      </c>
      <c r="F240" s="2" t="s">
        <v>16</v>
      </c>
      <c r="L240" s="1" t="s">
        <v>536</v>
      </c>
      <c r="M240" s="3" t="s">
        <v>513</v>
      </c>
    </row>
    <row r="241" customFormat="false" ht="12.75" hidden="false" customHeight="false" outlineLevel="0" collapsed="false">
      <c r="A241" s="1" t="str">
        <f aca="false">HYPERLINK("https://lindat.mff.cuni.cz/services/PDT-Vallex4.5/PDT-Vallex4.5.html?verb=vynášet#v41omiD", "v41omiD")</f>
        <v>v41omiD</v>
      </c>
      <c r="B241" s="1" t="s">
        <v>535</v>
      </c>
      <c r="C241" s="1" t="str">
        <f aca="false">HYPERLINK("https://lindat.mff.cuni.cz/services/PDT-Vallex4.5/PDT-Vallex4.5.html?verb=vynášet", "vynášet")</f>
        <v>vynášet</v>
      </c>
      <c r="D241" s="1" t="n">
        <v>5</v>
      </c>
      <c r="E241" s="1" t="n">
        <v>3</v>
      </c>
      <c r="F241" s="2" t="s">
        <v>83</v>
      </c>
      <c r="L241" s="1" t="s">
        <v>84</v>
      </c>
    </row>
    <row r="242" customFormat="false" ht="12.75" hidden="false" customHeight="false" outlineLevel="0" collapsed="false">
      <c r="A242" s="1" t="str">
        <f aca="false">HYPERLINK("https://lindat.mff.cuni.cz/services/PDT-Vallex4.5/PDT-Vallex4.5.html?verb=určovat#v41mttA", "v41mttA")</f>
        <v>v41mttA</v>
      </c>
      <c r="B242" s="1" t="s">
        <v>537</v>
      </c>
      <c r="C242" s="1" t="str">
        <f aca="false">HYPERLINK("https://lindat.mff.cuni.cz/services/PDT-Vallex4.5/PDT-Vallex4.5.html?verb=určovat", "určovat")</f>
        <v>určovat</v>
      </c>
      <c r="D242" s="1" t="n">
        <v>5</v>
      </c>
      <c r="E242" s="1" t="n">
        <v>2</v>
      </c>
      <c r="F242" s="2" t="s">
        <v>538</v>
      </c>
      <c r="L242" s="1" t="s">
        <v>539</v>
      </c>
    </row>
    <row r="243" customFormat="false" ht="12.75" hidden="false" customHeight="false" outlineLevel="0" collapsed="false">
      <c r="A243" s="1" t="str">
        <f aca="false">HYPERLINK("https://lindat.mff.cuni.cz/services/PDT-Vallex4.5/PDT-Vallex4.5.html?verb=určovat#v41mttC", "v41mttC")</f>
        <v>v41mttC</v>
      </c>
      <c r="B243" s="1" t="s">
        <v>537</v>
      </c>
      <c r="C243" s="1" t="str">
        <f aca="false">HYPERLINK("https://lindat.mff.cuni.cz/services/PDT-Vallex4.5/PDT-Vallex4.5.html?verb=určovat", "určovat")</f>
        <v>určovat</v>
      </c>
      <c r="D243" s="1" t="n">
        <v>5</v>
      </c>
      <c r="E243" s="1" t="n">
        <v>2</v>
      </c>
      <c r="F243" s="2" t="s">
        <v>540</v>
      </c>
      <c r="L243" s="1" t="s">
        <v>541</v>
      </c>
    </row>
    <row r="244" customFormat="false" ht="12.75" hidden="false" customHeight="false" outlineLevel="0" collapsed="false">
      <c r="A244" s="1" t="str">
        <f aca="false">HYPERLINK("https://lindat.mff.cuni.cz/services/PDT-Vallex4.5/PDT-Vallex4.5.html?verb=bušit#v41jmB", "v41jmB")</f>
        <v>v41jmB</v>
      </c>
      <c r="B244" s="1" t="s">
        <v>542</v>
      </c>
      <c r="C244" s="1" t="str">
        <f aca="false">HYPERLINK("https://lindat.mff.cuni.cz/services/PDT-Vallex4.5/PDT-Vallex4.5.html?verb=bušit", "bušit")</f>
        <v>bušit</v>
      </c>
      <c r="D244" s="1" t="n">
        <v>5</v>
      </c>
      <c r="E244" s="1" t="n">
        <v>4</v>
      </c>
      <c r="F244" s="2" t="s">
        <v>16</v>
      </c>
      <c r="L244" s="1" t="s">
        <v>543</v>
      </c>
      <c r="M244" s="1" t="s">
        <v>147</v>
      </c>
    </row>
    <row r="245" customFormat="false" ht="12.75" hidden="false" customHeight="false" outlineLevel="0" collapsed="false">
      <c r="A245" s="1" t="str">
        <f aca="false">HYPERLINK("https://lindat.mff.cuni.cz/services/PDT-Vallex4.5/PDT-Vallex4.5.html?verb=bušit#v41jmC", "v41jmC")</f>
        <v>v41jmC</v>
      </c>
      <c r="B245" s="1" t="s">
        <v>542</v>
      </c>
      <c r="C245" s="1" t="str">
        <f aca="false">HYPERLINK("https://lindat.mff.cuni.cz/services/PDT-Vallex4.5/PDT-Vallex4.5.html?verb=bušit", "bušit")</f>
        <v>bušit</v>
      </c>
      <c r="D245" s="1" t="n">
        <v>5</v>
      </c>
      <c r="E245" s="1" t="n">
        <v>4</v>
      </c>
      <c r="F245" s="2" t="s">
        <v>16</v>
      </c>
      <c r="L245" s="1" t="s">
        <v>544</v>
      </c>
      <c r="M245" s="1" t="s">
        <v>147</v>
      </c>
    </row>
    <row r="246" customFormat="false" ht="12.75" hidden="false" customHeight="false" outlineLevel="0" collapsed="false">
      <c r="A246" s="1" t="str">
        <f aca="false">HYPERLINK("https://lindat.mff.cuni.cz/services/PDT-Vallex4.5/PDT-Vallex4.5.html?verb=narážet#v41cyzA", "v41cyzA")</f>
        <v>v41cyzA</v>
      </c>
      <c r="B246" s="1" t="s">
        <v>545</v>
      </c>
      <c r="C246" s="1" t="str">
        <f aca="false">HYPERLINK("https://lindat.mff.cuni.cz/services/PDT-Vallex4.5/PDT-Vallex4.5.html?verb=narážet", "narážet")</f>
        <v>narážet</v>
      </c>
      <c r="D246" s="1" t="n">
        <v>5</v>
      </c>
      <c r="E246" s="1" t="n">
        <v>4</v>
      </c>
      <c r="F246" s="2" t="s">
        <v>546</v>
      </c>
      <c r="L246" s="1" t="s">
        <v>547</v>
      </c>
    </row>
    <row r="247" customFormat="false" ht="12.75" hidden="false" customHeight="false" outlineLevel="0" collapsed="false">
      <c r="A247" s="1" t="str">
        <f aca="false">HYPERLINK("https://lindat.mff.cuni.cz/services/PDT-Vallex4.5/PDT-Vallex4.5.html?verb=udat#v41mhmE", "v41mhmE")</f>
        <v>v41mhmE</v>
      </c>
      <c r="B247" s="1" t="s">
        <v>548</v>
      </c>
      <c r="C247" s="1" t="str">
        <f aca="false">HYPERLINK("https://lindat.mff.cuni.cz/services/PDT-Vallex4.5/PDT-Vallex4.5.html?verb=udat", "udat")</f>
        <v>udat</v>
      </c>
      <c r="D247" s="1" t="n">
        <v>5</v>
      </c>
      <c r="E247" s="1" t="n">
        <v>4</v>
      </c>
      <c r="F247" s="2" t="s">
        <v>16</v>
      </c>
      <c r="L247" s="1" t="s">
        <v>549</v>
      </c>
      <c r="M247" s="1" t="s">
        <v>23</v>
      </c>
    </row>
    <row r="248" customFormat="false" ht="12.75" hidden="false" customHeight="false" outlineLevel="0" collapsed="false">
      <c r="A248" s="1" t="str">
        <f aca="false">HYPERLINK("https://lindat.mff.cuni.cz/services/PDT-Vallex4.5/PDT-Vallex4.5.html?verb=svést#v41lqkB", "v41lqkB")</f>
        <v>v41lqkB</v>
      </c>
      <c r="B248" s="1" t="s">
        <v>550</v>
      </c>
      <c r="C248" s="1" t="str">
        <f aca="false">HYPERLINK("https://lindat.mff.cuni.cz/services/PDT-Vallex4.5/PDT-Vallex4.5.html?verb=svést", "svést")</f>
        <v>svést</v>
      </c>
      <c r="D248" s="1" t="n">
        <v>5</v>
      </c>
      <c r="E248" s="1" t="n">
        <v>4</v>
      </c>
      <c r="F248" s="2" t="s">
        <v>551</v>
      </c>
      <c r="L248" s="1" t="s">
        <v>552</v>
      </c>
    </row>
    <row r="249" customFormat="false" ht="12.75" hidden="false" customHeight="false" outlineLevel="0" collapsed="false">
      <c r="A249" s="1" t="str">
        <f aca="false">HYPERLINK("https://lindat.mff.cuni.cz/services/PDT-Vallex4.5/PDT-Vallex4.5.html?verb=spojovat#v41ldaE", "v41ldaE")</f>
        <v>v41ldaE</v>
      </c>
      <c r="B249" s="1" t="s">
        <v>553</v>
      </c>
      <c r="C249" s="1" t="str">
        <f aca="false">HYPERLINK("https://lindat.mff.cuni.cz/services/PDT-Vallex4.5/PDT-Vallex4.5.html?verb=spojovat", "spojovat")</f>
        <v>spojovat</v>
      </c>
      <c r="D249" s="1" t="n">
        <v>5</v>
      </c>
      <c r="E249" s="1" t="n">
        <v>1</v>
      </c>
      <c r="F249" s="2" t="s">
        <v>16</v>
      </c>
      <c r="L249" s="1" t="s">
        <v>554</v>
      </c>
      <c r="M249" s="1" t="s">
        <v>513</v>
      </c>
    </row>
    <row r="250" customFormat="false" ht="12.75" hidden="false" customHeight="false" outlineLevel="0" collapsed="false">
      <c r="A250" s="1" t="str">
        <f aca="false">HYPERLINK("https://lindat.mff.cuni.cz/services/PDT-Vallex4.5/PDT-Vallex4.5.html?verb=získávat#v41relD", "v41relD")</f>
        <v>v41relD</v>
      </c>
      <c r="B250" s="1" t="s">
        <v>555</v>
      </c>
      <c r="C250" s="1" t="str">
        <f aca="false">HYPERLINK("https://lindat.mff.cuni.cz/services/PDT-Vallex4.5/PDT-Vallex4.5.html?verb=získávat", "získávat")</f>
        <v>získávat</v>
      </c>
      <c r="D250" s="1" t="n">
        <v>5</v>
      </c>
      <c r="E250" s="1" t="n">
        <v>2</v>
      </c>
      <c r="F250" s="2" t="s">
        <v>556</v>
      </c>
      <c r="L250" s="1" t="s">
        <v>557</v>
      </c>
    </row>
    <row r="251" customFormat="false" ht="12.75" hidden="false" customHeight="false" outlineLevel="0" collapsed="false">
      <c r="A251" s="1" t="str">
        <f aca="false">HYPERLINK("https://lindat.mff.cuni.cz/services/PDT-Vallex4.5/PDT-Vallex4.5.html?verb=usadit se#v41mupC", "v41mupC")</f>
        <v>v41mupC</v>
      </c>
      <c r="B251" s="1" t="s">
        <v>558</v>
      </c>
      <c r="C251" s="1" t="str">
        <f aca="false">HYPERLINK("https://lindat.mff.cuni.cz/services/PDT-Vallex4.5/PDT-Vallex4.5.html?verb=usadit se", "usadit se")</f>
        <v>usadit se</v>
      </c>
      <c r="D251" s="1" t="n">
        <v>5</v>
      </c>
      <c r="E251" s="1" t="n">
        <v>2</v>
      </c>
      <c r="F251" s="2" t="s">
        <v>559</v>
      </c>
      <c r="L251" s="1" t="s">
        <v>560</v>
      </c>
    </row>
    <row r="252" customFormat="false" ht="12.75" hidden="false" customHeight="false" outlineLevel="0" collapsed="false">
      <c r="A252" s="1" t="str">
        <f aca="false">HYPERLINK("https://lindat.mff.cuni.cz/services/PDT-Vallex4.5/PDT-Vallex4.5.html?verb=vyhnat#v41nzvE", "v41nzvE")</f>
        <v>v41nzvE</v>
      </c>
      <c r="B252" s="1" t="s">
        <v>561</v>
      </c>
      <c r="C252" s="1" t="str">
        <f aca="false">HYPERLINK("https://lindat.mff.cuni.cz/services/PDT-Vallex4.5/PDT-Vallex4.5.html?verb=vyhnat", "vyhnat")</f>
        <v>vyhnat</v>
      </c>
      <c r="D252" s="1" t="n">
        <v>5</v>
      </c>
      <c r="E252" s="1" t="n">
        <v>3</v>
      </c>
      <c r="F252" s="2" t="s">
        <v>562</v>
      </c>
      <c r="L252" s="1" t="s">
        <v>563</v>
      </c>
    </row>
    <row r="253" customFormat="false" ht="12.75" hidden="false" customHeight="false" outlineLevel="0" collapsed="false">
      <c r="A253" s="1" t="str">
        <f aca="false">HYPERLINK("https://lindat.mff.cuni.cz/services/PDT-Vallex4.5/PDT-Vallex4.5.html?verb=ubrat#v41mfsE", "v41mfsE")</f>
        <v>v41mfsE</v>
      </c>
      <c r="B253" s="1" t="s">
        <v>564</v>
      </c>
      <c r="C253" s="1" t="str">
        <f aca="false">HYPERLINK("https://lindat.mff.cuni.cz/services/PDT-Vallex4.5/PDT-Vallex4.5.html?verb=ubrat", "ubrat")</f>
        <v>ubrat</v>
      </c>
      <c r="D253" s="1" t="n">
        <v>5</v>
      </c>
      <c r="E253" s="1" t="n">
        <v>3</v>
      </c>
      <c r="F253" s="2" t="s">
        <v>16</v>
      </c>
      <c r="L253" s="1" t="s">
        <v>329</v>
      </c>
      <c r="M253" s="1" t="s">
        <v>330</v>
      </c>
    </row>
    <row r="254" customFormat="false" ht="12.75" hidden="false" customHeight="false" outlineLevel="0" collapsed="false">
      <c r="A254" s="1" t="str">
        <f aca="false">HYPERLINK("https://lindat.mff.cuni.cz/services/PDT-Vallex4.5/PDT-Vallex4.5.html?verb=přenést#v41ifiE", "v41ifiE")</f>
        <v>v41ifiE</v>
      </c>
      <c r="B254" s="1" t="s">
        <v>565</v>
      </c>
      <c r="C254" s="1" t="str">
        <f aca="false">HYPERLINK("https://lindat.mff.cuni.cz/services/PDT-Vallex4.5/PDT-Vallex4.5.html?verb=přenést", "přenést")</f>
        <v>přenést</v>
      </c>
      <c r="D254" s="1" t="n">
        <v>5</v>
      </c>
      <c r="E254" s="1" t="n">
        <v>2</v>
      </c>
      <c r="F254" s="2" t="s">
        <v>566</v>
      </c>
      <c r="L254" s="1" t="s">
        <v>567</v>
      </c>
    </row>
    <row r="255" customFormat="false" ht="12.75" hidden="false" customHeight="false" outlineLevel="0" collapsed="false">
      <c r="A255" s="1" t="str">
        <f aca="false">HYPERLINK("https://lindat.mff.cuni.cz/services/PDT-Vallex4.5/PDT-Vallex4.5.html?verb=zasadit#v41qjvE", "v41qjvE")</f>
        <v>v41qjvE</v>
      </c>
      <c r="B255" s="1" t="s">
        <v>568</v>
      </c>
      <c r="C255" s="1" t="str">
        <f aca="false">HYPERLINK("https://lindat.mff.cuni.cz/services/PDT-Vallex4.5/PDT-Vallex4.5.html?verb=zasadit", "zasadit")</f>
        <v>zasadit</v>
      </c>
      <c r="D255" s="1" t="n">
        <v>5</v>
      </c>
      <c r="E255" s="1" t="n">
        <v>2</v>
      </c>
      <c r="F255" s="2" t="s">
        <v>569</v>
      </c>
      <c r="L255" s="1" t="s">
        <v>570</v>
      </c>
    </row>
    <row r="256" customFormat="false" ht="12.75" hidden="false" customHeight="false" outlineLevel="0" collapsed="false">
      <c r="A256" s="1" t="str">
        <f aca="false">HYPERLINK("https://lindat.mff.cuni.cz/services/PDT-Vallex4.5/PDT-Vallex4.5.html?verb=pálit#v41fhzC", "v41fhzC")</f>
        <v>v41fhzC</v>
      </c>
      <c r="B256" s="1" t="s">
        <v>571</v>
      </c>
      <c r="C256" s="1" t="str">
        <f aca="false">HYPERLINK("https://lindat.mff.cuni.cz/services/PDT-Vallex4.5/PDT-Vallex4.5.html?verb=pálit", "pálit")</f>
        <v>pálit</v>
      </c>
      <c r="D256" s="1" t="n">
        <v>5</v>
      </c>
      <c r="E256" s="1" t="n">
        <v>4</v>
      </c>
      <c r="F256" s="2" t="s">
        <v>572</v>
      </c>
      <c r="H256" s="2" t="s">
        <v>573</v>
      </c>
      <c r="L256" s="1" t="s">
        <v>574</v>
      </c>
    </row>
    <row r="257" customFormat="false" ht="12.75" hidden="false" customHeight="false" outlineLevel="0" collapsed="false">
      <c r="A257" s="1" t="str">
        <f aca="false">HYPERLINK("https://lindat.mff.cuni.cz/services/PDT-Vallex4.5/PDT-Vallex4.5.html?verb=odnést#v41eeqE", "v41eeqE")</f>
        <v>v41eeqE</v>
      </c>
      <c r="B257" s="1" t="s">
        <v>575</v>
      </c>
      <c r="C257" s="1" t="str">
        <f aca="false">HYPERLINK("https://lindat.mff.cuni.cz/services/PDT-Vallex4.5/PDT-Vallex4.5.html?verb=odnést", "odnést")</f>
        <v>odnést</v>
      </c>
      <c r="D257" s="1" t="n">
        <v>5</v>
      </c>
      <c r="E257" s="1" t="n">
        <v>1</v>
      </c>
      <c r="F257" s="2" t="s">
        <v>576</v>
      </c>
      <c r="L257" s="1" t="s">
        <v>577</v>
      </c>
    </row>
    <row r="258" customFormat="false" ht="12.75" hidden="false" customHeight="false" outlineLevel="0" collapsed="false">
      <c r="A258" s="1" t="str">
        <f aca="false">HYPERLINK("https://lindat.mff.cuni.cz/services/PDT-Vallex4.5/PDT-Vallex4.5.html?verb=růst#v41kcmA", "v41kcmA")</f>
        <v>v41kcmA</v>
      </c>
      <c r="B258" s="1" t="s">
        <v>578</v>
      </c>
      <c r="C258" s="1" t="str">
        <f aca="false">HYPERLINK("https://lindat.mff.cuni.cz/services/PDT-Vallex4.5/PDT-Vallex4.5.html?verb=růst", "růst")</f>
        <v>růst</v>
      </c>
      <c r="D258" s="1" t="n">
        <v>5</v>
      </c>
      <c r="E258" s="1" t="n">
        <v>3</v>
      </c>
      <c r="F258" s="2" t="s">
        <v>16</v>
      </c>
      <c r="L258" s="1" t="s">
        <v>579</v>
      </c>
      <c r="M258" s="1" t="s">
        <v>580</v>
      </c>
    </row>
    <row r="259" customFormat="false" ht="12.75" hidden="false" customHeight="false" outlineLevel="0" collapsed="false">
      <c r="A259" s="1" t="str">
        <f aca="false">HYPERLINK("https://lindat.mff.cuni.cz/services/PDT-Vallex4.5/PDT-Vallex4.5.html?verb=růst#v41kcmC", "v41kcmC")</f>
        <v>v41kcmC</v>
      </c>
      <c r="B259" s="1" t="s">
        <v>578</v>
      </c>
      <c r="C259" s="1" t="str">
        <f aca="false">HYPERLINK("https://lindat.mff.cuni.cz/services/PDT-Vallex4.5/PDT-Vallex4.5.html?verb=růst", "růst")</f>
        <v>růst</v>
      </c>
      <c r="D259" s="1" t="n">
        <v>5</v>
      </c>
      <c r="E259" s="1" t="n">
        <v>3</v>
      </c>
      <c r="F259" s="2" t="s">
        <v>16</v>
      </c>
      <c r="L259" s="1" t="s">
        <v>579</v>
      </c>
      <c r="M259" s="1" t="s">
        <v>580</v>
      </c>
    </row>
    <row r="260" customFormat="false" ht="12.75" hidden="false" customHeight="false" outlineLevel="0" collapsed="false">
      <c r="A260" s="1" t="str">
        <f aca="false">HYPERLINK("https://lindat.mff.cuni.cz/services/PDT-Vallex4.5/PDT-Vallex4.5.html?verb=pět#v41fkzA", "v41fkzA")</f>
        <v>v41fkzA</v>
      </c>
      <c r="B260" s="1" t="s">
        <v>581</v>
      </c>
      <c r="C260" s="1" t="str">
        <f aca="false">HYPERLINK("https://lindat.mff.cuni.cz/services/PDT-Vallex4.5/PDT-Vallex4.5.html?verb=pět", "pět")</f>
        <v>pět</v>
      </c>
      <c r="D260" s="1" t="n">
        <v>5</v>
      </c>
      <c r="E260" s="1" t="n">
        <v>3</v>
      </c>
      <c r="F260" s="2" t="s">
        <v>582</v>
      </c>
      <c r="L260" s="1" t="s">
        <v>583</v>
      </c>
    </row>
    <row r="261" customFormat="false" ht="12.75" hidden="false" customHeight="false" outlineLevel="0" collapsed="false">
      <c r="A261" s="1" t="str">
        <f aca="false">HYPERLINK("https://lindat.mff.cuni.cz/services/PDT-Vallex4.5/PDT-Vallex4.5.html?verb=pět#v41fkzE", "v41fkzE")</f>
        <v>v41fkzE</v>
      </c>
      <c r="B261" s="1" t="s">
        <v>581</v>
      </c>
      <c r="C261" s="1" t="str">
        <f aca="false">HYPERLINK("https://lindat.mff.cuni.cz/services/PDT-Vallex4.5/PDT-Vallex4.5.html?verb=pět", "pět")</f>
        <v>pět</v>
      </c>
      <c r="D261" s="1" t="n">
        <v>5</v>
      </c>
      <c r="E261" s="1" t="n">
        <v>3</v>
      </c>
      <c r="F261" s="2" t="s">
        <v>16</v>
      </c>
      <c r="L261" s="1" t="s">
        <v>583</v>
      </c>
      <c r="M261" s="1" t="s">
        <v>584</v>
      </c>
    </row>
    <row r="262" customFormat="false" ht="12.75" hidden="false" customHeight="false" outlineLevel="0" collapsed="false">
      <c r="A262" s="1" t="str">
        <f aca="false">HYPERLINK("https://lindat.mff.cuni.cz/services/PDT-Vallex4.5/PDT-Vallex4.5.html?verb=ukázat se#v41mlmB", "v41mlmB")</f>
        <v>v41mlmB</v>
      </c>
      <c r="B262" s="1" t="s">
        <v>585</v>
      </c>
      <c r="C262" s="1" t="str">
        <f aca="false">HYPERLINK("https://lindat.mff.cuni.cz/services/PDT-Vallex4.5/PDT-Vallex4.5.html?verb=ukázat se", "ukázat se")</f>
        <v>ukázat se</v>
      </c>
      <c r="D262" s="1" t="n">
        <v>5</v>
      </c>
      <c r="E262" s="1" t="n">
        <v>2</v>
      </c>
      <c r="F262" s="2" t="s">
        <v>16</v>
      </c>
      <c r="L262" s="1" t="s">
        <v>586</v>
      </c>
      <c r="M262" s="1" t="s">
        <v>587</v>
      </c>
    </row>
    <row r="263" customFormat="false" ht="12.75" hidden="false" customHeight="false" outlineLevel="0" collapsed="false">
      <c r="A263" s="1" t="str">
        <f aca="false">HYPERLINK("https://lindat.mff.cuni.cz/services/PDT-Vallex4.5/PDT-Vallex4.5.html?verb=zavádět#v41qrmE", "v41qrmE")</f>
        <v>v41qrmE</v>
      </c>
      <c r="B263" s="1" t="s">
        <v>588</v>
      </c>
      <c r="C263" s="1" t="str">
        <f aca="false">HYPERLINK("https://lindat.mff.cuni.cz/services/PDT-Vallex4.5/PDT-Vallex4.5.html?verb=zavádět", "zavádět")</f>
        <v>zavádět</v>
      </c>
      <c r="D263" s="1" t="n">
        <v>5</v>
      </c>
      <c r="E263" s="1" t="n">
        <v>2</v>
      </c>
      <c r="F263" s="2" t="s">
        <v>175</v>
      </c>
      <c r="L263" s="1" t="s">
        <v>589</v>
      </c>
    </row>
    <row r="264" customFormat="false" ht="12.75" hidden="false" customHeight="false" outlineLevel="0" collapsed="false">
      <c r="A264" s="1" t="str">
        <f aca="false">HYPERLINK("https://lindat.mff.cuni.cz/services/PDT-Vallex4.5/PDT-Vallex4.5.html?verb=chytat#v41bcxD", "v41bcxD")</f>
        <v>v41bcxD</v>
      </c>
      <c r="B264" s="1" t="s">
        <v>590</v>
      </c>
      <c r="C264" s="1" t="str">
        <f aca="false">HYPERLINK("https://lindat.mff.cuni.cz/services/PDT-Vallex4.5/PDT-Vallex4.5.html?verb=chytat", "chytat")</f>
        <v>chytat</v>
      </c>
      <c r="D264" s="1" t="n">
        <v>5</v>
      </c>
      <c r="E264" s="1" t="n">
        <v>3</v>
      </c>
      <c r="F264" s="2" t="s">
        <v>244</v>
      </c>
      <c r="L264" s="1" t="s">
        <v>591</v>
      </c>
    </row>
    <row r="265" customFormat="false" ht="12.75" hidden="false" customHeight="false" outlineLevel="0" collapsed="false">
      <c r="A265" s="1" t="str">
        <f aca="false">HYPERLINK("https://lindat.mff.cuni.cz/services/PDT-Vallex4.5/PDT-Vallex4.5.html?verb=znít#v41rppB", "v41rppB")</f>
        <v>v41rppB</v>
      </c>
      <c r="B265" s="1" t="s">
        <v>592</v>
      </c>
      <c r="C265" s="1" t="str">
        <f aca="false">HYPERLINK("https://lindat.mff.cuni.cz/services/PDT-Vallex4.5/PDT-Vallex4.5.html?verb=znít", "znít")</f>
        <v>znít</v>
      </c>
      <c r="D265" s="1" t="n">
        <v>5</v>
      </c>
      <c r="E265" s="1" t="n">
        <v>3</v>
      </c>
      <c r="F265" s="2" t="s">
        <v>16</v>
      </c>
      <c r="L265" s="1" t="s">
        <v>593</v>
      </c>
      <c r="M265" s="1" t="s">
        <v>594</v>
      </c>
    </row>
    <row r="266" customFormat="false" ht="12.75" hidden="false" customHeight="false" outlineLevel="0" collapsed="false">
      <c r="A266" s="1" t="str">
        <f aca="false">HYPERLINK("https://lindat.mff.cuni.cz/services/PDT-Vallex4.5/PDT-Vallex4.5.html?verb=ukazovat se#v41mlrB", "v41mlrB")</f>
        <v>v41mlrB</v>
      </c>
      <c r="B266" s="1" t="s">
        <v>595</v>
      </c>
      <c r="C266" s="1" t="str">
        <f aca="false">HYPERLINK("https://lindat.mff.cuni.cz/services/PDT-Vallex4.5/PDT-Vallex4.5.html?verb=ukazovat se", "ukazovat se")</f>
        <v>ukazovat se</v>
      </c>
      <c r="D266" s="1" t="n">
        <v>5</v>
      </c>
      <c r="E266" s="1" t="n">
        <v>2</v>
      </c>
      <c r="F266" s="2" t="s">
        <v>16</v>
      </c>
      <c r="L266" s="1" t="s">
        <v>586</v>
      </c>
      <c r="M266" s="1" t="s">
        <v>587</v>
      </c>
    </row>
    <row r="267" customFormat="false" ht="12.75" hidden="false" customHeight="false" outlineLevel="0" collapsed="false">
      <c r="A267" s="1" t="str">
        <f aca="false">HYPERLINK("https://lindat.mff.cuni.cz/services/PDT-Vallex4.5/PDT-Vallex4.5.html?verb=spojit#v41lcuE", "v41lcuE")</f>
        <v>v41lcuE</v>
      </c>
      <c r="B267" s="1" t="s">
        <v>596</v>
      </c>
      <c r="C267" s="1" t="str">
        <f aca="false">HYPERLINK("https://lindat.mff.cuni.cz/services/PDT-Vallex4.5/PDT-Vallex4.5.html?verb=spojit", "spojit")</f>
        <v>spojit</v>
      </c>
      <c r="D267" s="1" t="n">
        <v>5</v>
      </c>
      <c r="E267" s="1" t="n">
        <v>1</v>
      </c>
      <c r="F267" s="2" t="s">
        <v>16</v>
      </c>
      <c r="L267" s="1" t="s">
        <v>554</v>
      </c>
      <c r="M267" s="1" t="s">
        <v>513</v>
      </c>
    </row>
    <row r="268" customFormat="false" ht="12.75" hidden="false" customHeight="false" outlineLevel="0" collapsed="false">
      <c r="A268" s="1" t="str">
        <f aca="false">HYPERLINK("https://lindat.mff.cuni.cz/services/PDT-Vallex4.5/PDT-Vallex4.5.html?verb=dohnat#v41yaC", "v41yaC")</f>
        <v>v41yaC</v>
      </c>
      <c r="B268" s="1" t="s">
        <v>597</v>
      </c>
      <c r="C268" s="1" t="str">
        <f aca="false">HYPERLINK("https://lindat.mff.cuni.cz/services/PDT-Vallex4.5/PDT-Vallex4.5.html?verb=dohnat", "dohnat")</f>
        <v>dohnat</v>
      </c>
      <c r="D268" s="1" t="n">
        <v>5</v>
      </c>
      <c r="E268" s="1" t="n">
        <v>3</v>
      </c>
      <c r="F268" s="2" t="s">
        <v>244</v>
      </c>
      <c r="L268" s="1" t="s">
        <v>598</v>
      </c>
    </row>
    <row r="269" customFormat="false" ht="12.75" hidden="false" customHeight="false" outlineLevel="0" collapsed="false">
      <c r="A269" s="1" t="str">
        <f aca="false">HYPERLINK("https://lindat.mff.cuni.cz/services/PDT-Vallex4.5/PDT-Vallex4.5.html?verb=pustit se#v41jeeD", "v41jeeD")</f>
        <v>v41jeeD</v>
      </c>
      <c r="B269" s="1" t="s">
        <v>599</v>
      </c>
      <c r="C269" s="1" t="str">
        <f aca="false">HYPERLINK("https://lindat.mff.cuni.cz/services/PDT-Vallex4.5/PDT-Vallex4.5.html?verb=pustit se", "pustit se")</f>
        <v>pustit se</v>
      </c>
      <c r="D269" s="1" t="n">
        <v>5</v>
      </c>
      <c r="E269" s="1" t="n">
        <v>3</v>
      </c>
      <c r="F269" s="2" t="s">
        <v>600</v>
      </c>
      <c r="H269" s="2" t="s">
        <v>460</v>
      </c>
      <c r="L269" s="1" t="s">
        <v>601</v>
      </c>
    </row>
    <row r="270" customFormat="false" ht="12.75" hidden="false" customHeight="false" outlineLevel="0" collapsed="false">
      <c r="A270" s="1" t="str">
        <f aca="false">HYPERLINK("https://lindat.mff.cuni.cz/services/PDT-Vallex4.5/PDT-Vallex4.5.html?verb=pasovat#v41fjiC", "v41fjiC")</f>
        <v>v41fjiC</v>
      </c>
      <c r="B270" s="1" t="s">
        <v>602</v>
      </c>
      <c r="C270" s="1" t="str">
        <f aca="false">HYPERLINK("https://lindat.mff.cuni.cz/services/PDT-Vallex4.5/PDT-Vallex4.5.html?verb=pasovat", "pasovat")</f>
        <v>pasovat</v>
      </c>
      <c r="D270" s="1" t="n">
        <v>5</v>
      </c>
      <c r="E270" s="1" t="n">
        <v>4</v>
      </c>
      <c r="F270" s="2" t="s">
        <v>142</v>
      </c>
      <c r="L270" s="1" t="s">
        <v>603</v>
      </c>
    </row>
    <row r="271" customFormat="false" ht="12.75" hidden="false" customHeight="false" outlineLevel="0" collapsed="false">
      <c r="A271" s="1" t="str">
        <f aca="false">HYPERLINK("https://lindat.mff.cuni.cz/services/PDT-Vallex4.5/PDT-Vallex4.5.html?verb=chovat#v41bbqC", "v41bbqC")</f>
        <v>v41bbqC</v>
      </c>
      <c r="B271" s="1" t="s">
        <v>604</v>
      </c>
      <c r="C271" s="1" t="str">
        <f aca="false">HYPERLINK("https://lindat.mff.cuni.cz/services/PDT-Vallex4.5/PDT-Vallex4.5.html?verb=chovat", "chovat")</f>
        <v>chovat</v>
      </c>
      <c r="D271" s="1" t="n">
        <v>5</v>
      </c>
      <c r="E271" s="1" t="n">
        <v>4</v>
      </c>
      <c r="F271" s="2" t="s">
        <v>16</v>
      </c>
      <c r="N271" s="1" t="s">
        <v>605</v>
      </c>
    </row>
    <row r="272" customFormat="false" ht="12.75" hidden="false" customHeight="false" outlineLevel="0" collapsed="false">
      <c r="A272" s="1" t="str">
        <f aca="false">HYPERLINK("https://lindat.mff.cuni.cz/services/PDT-Vallex4.5/PDT-Vallex4.5.html?verb=založit#v41qaiD", "v41qaiD")</f>
        <v>v41qaiD</v>
      </c>
      <c r="B272" s="1" t="s">
        <v>606</v>
      </c>
      <c r="C272" s="1" t="str">
        <f aca="false">HYPERLINK("https://lindat.mff.cuni.cz/services/PDT-Vallex4.5/PDT-Vallex4.5.html?verb=založit", "založit")</f>
        <v>založit</v>
      </c>
      <c r="D272" s="1" t="n">
        <v>5</v>
      </c>
      <c r="E272" s="1" t="n">
        <v>4</v>
      </c>
      <c r="F272" s="2" t="s">
        <v>16</v>
      </c>
      <c r="L272" s="1" t="s">
        <v>607</v>
      </c>
      <c r="M272" s="1" t="s">
        <v>330</v>
      </c>
    </row>
    <row r="273" customFormat="false" ht="12.75" hidden="false" customHeight="false" outlineLevel="0" collapsed="false">
      <c r="A273" s="1" t="str">
        <f aca="false">HYPERLINK("https://lindat.mff.cuni.cz/services/PDT-Vallex4.5/PDT-Vallex4.5.html?verb=založit#v41qaiE", "v41qaiE")</f>
        <v>v41qaiE</v>
      </c>
      <c r="B273" s="1" t="s">
        <v>606</v>
      </c>
      <c r="C273" s="1" t="str">
        <f aca="false">HYPERLINK("https://lindat.mff.cuni.cz/services/PDT-Vallex4.5/PDT-Vallex4.5.html?verb=založit", "založit")</f>
        <v>založit</v>
      </c>
      <c r="D273" s="1" t="n">
        <v>5</v>
      </c>
      <c r="E273" s="1" t="n">
        <v>4</v>
      </c>
      <c r="F273" s="2" t="s">
        <v>16</v>
      </c>
      <c r="L273" s="1" t="s">
        <v>608</v>
      </c>
      <c r="M273" s="1" t="s">
        <v>609</v>
      </c>
    </row>
    <row r="274" customFormat="false" ht="12.75" hidden="false" customHeight="false" outlineLevel="0" collapsed="false">
      <c r="A274" s="1" t="str">
        <f aca="false">HYPERLINK("https://lindat.mff.cuni.cz/services/PDT-Vallex4.5/PDT-Vallex4.5.html?verb=protáhnout se#v41hpcE", "v41hpcE")</f>
        <v>v41hpcE</v>
      </c>
      <c r="B274" s="1" t="s">
        <v>610</v>
      </c>
      <c r="C274" s="1" t="str">
        <f aca="false">HYPERLINK("https://lindat.mff.cuni.cz/services/PDT-Vallex4.5/PDT-Vallex4.5.html?verb=protáhnout se", "protáhnout se")</f>
        <v>protáhnout se</v>
      </c>
      <c r="D274" s="1" t="n">
        <v>5</v>
      </c>
      <c r="E274" s="1" t="n">
        <v>4</v>
      </c>
      <c r="F274" s="2" t="s">
        <v>16</v>
      </c>
      <c r="L274" s="1" t="s">
        <v>611</v>
      </c>
      <c r="M274" s="1" t="s">
        <v>612</v>
      </c>
    </row>
    <row r="275" customFormat="false" ht="12.75" hidden="false" customHeight="false" outlineLevel="0" collapsed="false">
      <c r="A275" s="1" t="str">
        <f aca="false">HYPERLINK("https://lindat.mff.cuni.cz/services/PDT-Vallex4.5/PDT-Vallex4.5.html?verb=vrazit#v41nqcD", "v41nqcD")</f>
        <v>v41nqcD</v>
      </c>
      <c r="B275" s="1" t="s">
        <v>613</v>
      </c>
      <c r="C275" s="1" t="str">
        <f aca="false">HYPERLINK("https://lindat.mff.cuni.cz/services/PDT-Vallex4.5/PDT-Vallex4.5.html?verb=vrazit", "vrazit")</f>
        <v>vrazit</v>
      </c>
      <c r="D275" s="1" t="n">
        <v>5</v>
      </c>
      <c r="E275" s="1" t="n">
        <v>5</v>
      </c>
      <c r="F275" s="2" t="s">
        <v>228</v>
      </c>
      <c r="L275" s="1" t="s">
        <v>614</v>
      </c>
    </row>
    <row r="276" customFormat="false" ht="12.75" hidden="false" customHeight="false" outlineLevel="0" collapsed="false">
      <c r="A276" s="1" t="str">
        <f aca="false">HYPERLINK("https://lindat.mff.cuni.cz/services/PDT-Vallex4.5/PDT-Vallex4.5.html?verb=zakládat#v41pwsC", "v41pwsC")</f>
        <v>v41pwsC</v>
      </c>
      <c r="B276" s="1" t="s">
        <v>615</v>
      </c>
      <c r="C276" s="1" t="str">
        <f aca="false">HYPERLINK("https://lindat.mff.cuni.cz/services/PDT-Vallex4.5/PDT-Vallex4.5.html?verb=zakládat", "zakládat")</f>
        <v>zakládat</v>
      </c>
      <c r="D276" s="1" t="n">
        <v>5</v>
      </c>
      <c r="E276" s="1" t="n">
        <v>4</v>
      </c>
      <c r="F276" s="2" t="s">
        <v>16</v>
      </c>
      <c r="L276" s="1" t="s">
        <v>608</v>
      </c>
      <c r="M276" s="1" t="s">
        <v>609</v>
      </c>
    </row>
    <row r="277" customFormat="false" ht="12.75" hidden="false" customHeight="false" outlineLevel="0" collapsed="false">
      <c r="A277" s="1" t="str">
        <f aca="false">HYPERLINK("https://lindat.mff.cuni.cz/services/PDT-Vallex4.5/PDT-Vallex4.5.html?verb=zakládat#v41pwsD", "v41pwsD")</f>
        <v>v41pwsD</v>
      </c>
      <c r="B277" s="1" t="s">
        <v>615</v>
      </c>
      <c r="C277" s="1" t="str">
        <f aca="false">HYPERLINK("https://lindat.mff.cuni.cz/services/PDT-Vallex4.5/PDT-Vallex4.5.html?verb=zakládat", "zakládat")</f>
        <v>zakládat</v>
      </c>
      <c r="D277" s="1" t="n">
        <v>5</v>
      </c>
      <c r="E277" s="1" t="n">
        <v>4</v>
      </c>
      <c r="F277" s="2" t="s">
        <v>16</v>
      </c>
      <c r="L277" s="1" t="s">
        <v>607</v>
      </c>
      <c r="M277" s="1" t="s">
        <v>330</v>
      </c>
    </row>
    <row r="278" customFormat="false" ht="12.75" hidden="false" customHeight="false" outlineLevel="0" collapsed="false">
      <c r="A278" s="1" t="str">
        <f aca="false">HYPERLINK("https://lindat.mff.cuni.cz/services/PDT-Vallex4.5/PDT-Vallex4.5.html?verb=patřit#v41fjzC", "v41fjzC")</f>
        <v>v41fjzC</v>
      </c>
      <c r="B278" s="1" t="s">
        <v>616</v>
      </c>
      <c r="C278" s="1" t="str">
        <f aca="false">HYPERLINK("https://lindat.mff.cuni.cz/services/PDT-Vallex4.5/PDT-Vallex4.5.html?verb=patřit", "patřit")</f>
        <v>patřit</v>
      </c>
      <c r="D278" s="1" t="n">
        <v>5</v>
      </c>
      <c r="E278" s="1" t="n">
        <v>3</v>
      </c>
      <c r="F278" s="2" t="s">
        <v>12</v>
      </c>
      <c r="L278" s="1" t="s">
        <v>617</v>
      </c>
    </row>
    <row r="279" customFormat="false" ht="12.75" hidden="false" customHeight="false" outlineLevel="0" collapsed="false">
      <c r="A279" s="1" t="str">
        <f aca="false">HYPERLINK("https://lindat.mff.cuni.cz/services/PDT-Vallex4.5/PDT-Vallex4.5.html?verb=dokázat#v41zhE", "v41zhE")</f>
        <v>v41zhE</v>
      </c>
      <c r="B279" s="1" t="s">
        <v>618</v>
      </c>
      <c r="C279" s="1" t="str">
        <f aca="false">HYPERLINK("https://lindat.mff.cuni.cz/services/PDT-Vallex4.5/PDT-Vallex4.5.html?verb=dokázat", "dokázat")</f>
        <v>dokázat</v>
      </c>
      <c r="D279" s="1" t="n">
        <v>5</v>
      </c>
      <c r="E279" s="1" t="n">
        <v>3</v>
      </c>
      <c r="F279" s="2" t="s">
        <v>16</v>
      </c>
      <c r="L279" s="1" t="s">
        <v>619</v>
      </c>
      <c r="M279" s="1" t="s">
        <v>80</v>
      </c>
    </row>
    <row r="280" customFormat="false" ht="12.75" hidden="false" customHeight="false" outlineLevel="0" collapsed="false">
      <c r="A280" s="1" t="str">
        <f aca="false">HYPERLINK("https://lindat.mff.cuni.cz/services/PDT-Vallex4.5/PDT-Vallex4.5.html?verb=vysypat#v41pacD", "v41pacD")</f>
        <v>v41pacD</v>
      </c>
      <c r="B280" s="1" t="s">
        <v>620</v>
      </c>
      <c r="C280" s="1" t="str">
        <f aca="false">HYPERLINK("https://lindat.mff.cuni.cz/services/PDT-Vallex4.5/PDT-Vallex4.5.html?verb=vysypat", "vysypat")</f>
        <v>vysypat</v>
      </c>
      <c r="D280" s="1" t="n">
        <v>5</v>
      </c>
      <c r="E280" s="1" t="n">
        <v>3</v>
      </c>
      <c r="F280" s="2" t="s">
        <v>621</v>
      </c>
      <c r="L280" s="1" t="s">
        <v>622</v>
      </c>
      <c r="N280" s="1" t="s">
        <v>483</v>
      </c>
    </row>
    <row r="281" customFormat="false" ht="12.75" hidden="false" customHeight="false" outlineLevel="0" collapsed="false">
      <c r="A281" s="1" t="str">
        <f aca="false">HYPERLINK("https://lindat.mff.cuni.cz/services/PDT-Vallex4.5/PDT-Vallex4.5.html?verb=operovat#v41evgA", "v41evgA")</f>
        <v>v41evgA</v>
      </c>
      <c r="B281" s="1" t="s">
        <v>623</v>
      </c>
      <c r="C281" s="1" t="str">
        <f aca="false">HYPERLINK("https://lindat.mff.cuni.cz/services/PDT-Vallex4.5/PDT-Vallex4.5.html?verb=operovat", "operovat")</f>
        <v>operovat</v>
      </c>
      <c r="D281" s="1" t="n">
        <v>5</v>
      </c>
      <c r="E281" s="1" t="n">
        <v>2</v>
      </c>
      <c r="F281" s="2" t="s">
        <v>624</v>
      </c>
      <c r="L281" s="1" t="s">
        <v>625</v>
      </c>
      <c r="N281" s="1" t="s">
        <v>626</v>
      </c>
    </row>
    <row r="282" customFormat="false" ht="12.75" hidden="false" customHeight="false" outlineLevel="0" collapsed="false">
      <c r="A282" s="1" t="str">
        <f aca="false">HYPERLINK("https://lindat.mff.cuni.cz/services/PDT-Vallex4.5/PDT-Vallex4.5.html?verb=sázet#v41kfhC", "v41kfhC")</f>
        <v>v41kfhC</v>
      </c>
      <c r="B282" s="1" t="s">
        <v>627</v>
      </c>
      <c r="C282" s="1" t="str">
        <f aca="false">HYPERLINK("https://lindat.mff.cuni.cz/services/PDT-Vallex4.5/PDT-Vallex4.5.html?verb=sázet", "sázet")</f>
        <v>sázet</v>
      </c>
      <c r="D282" s="1" t="n">
        <v>5</v>
      </c>
      <c r="E282" s="1" t="n">
        <v>3</v>
      </c>
      <c r="F282" s="2" t="s">
        <v>569</v>
      </c>
      <c r="L282" s="1" t="s">
        <v>628</v>
      </c>
    </row>
    <row r="283" customFormat="false" ht="12.75" hidden="false" customHeight="false" outlineLevel="0" collapsed="false">
      <c r="A283" s="1" t="str">
        <f aca="false">HYPERLINK("https://lindat.mff.cuni.cz/services/PDT-Vallex4.5/PDT-Vallex4.5.html?verb=honit se#v41axcA", "v41axcA")</f>
        <v>v41axcA</v>
      </c>
      <c r="B283" s="1" t="s">
        <v>629</v>
      </c>
      <c r="C283" s="1" t="str">
        <f aca="false">HYPERLINK("https://lindat.mff.cuni.cz/services/PDT-Vallex4.5/PDT-Vallex4.5.html?verb=honit se", "honit se")</f>
        <v>honit se</v>
      </c>
      <c r="D283" s="1" t="n">
        <v>4</v>
      </c>
      <c r="E283" s="1" t="n">
        <v>3</v>
      </c>
      <c r="F283" s="2" t="s">
        <v>630</v>
      </c>
      <c r="L283" s="1" t="s">
        <v>631</v>
      </c>
    </row>
    <row r="284" customFormat="false" ht="12.75" hidden="false" customHeight="false" outlineLevel="0" collapsed="false">
      <c r="A284" s="1" t="str">
        <f aca="false">HYPERLINK("https://lindat.mff.cuni.cz/services/PDT-Vallex4.5/PDT-Vallex4.5.html?verb=představit#v41hyfC", "v41hyfC")</f>
        <v>v41hyfC</v>
      </c>
      <c r="B284" s="1" t="s">
        <v>632</v>
      </c>
      <c r="C284" s="1" t="str">
        <f aca="false">HYPERLINK("https://lindat.mff.cuni.cz/services/PDT-Vallex4.5/PDT-Vallex4.5.html?verb=představit", "představit")</f>
        <v>představit</v>
      </c>
      <c r="D284" s="1" t="n">
        <v>4</v>
      </c>
      <c r="E284" s="1" t="n">
        <v>2</v>
      </c>
      <c r="F284" s="2" t="s">
        <v>151</v>
      </c>
      <c r="L284" s="1" t="s">
        <v>633</v>
      </c>
    </row>
    <row r="285" customFormat="false" ht="12.75" hidden="false" customHeight="false" outlineLevel="0" collapsed="false">
      <c r="A285" s="1" t="str">
        <f aca="false">HYPERLINK("https://lindat.mff.cuni.cz/services/PDT-Vallex4.5/PDT-Vallex4.5.html?verb=představit#v41hyfD", "v41hyfD")</f>
        <v>v41hyfD</v>
      </c>
      <c r="B285" s="1" t="s">
        <v>632</v>
      </c>
      <c r="C285" s="1" t="str">
        <f aca="false">HYPERLINK("https://lindat.mff.cuni.cz/services/PDT-Vallex4.5/PDT-Vallex4.5.html?verb=představit", "představit")</f>
        <v>představit</v>
      </c>
      <c r="D285" s="1" t="n">
        <v>4</v>
      </c>
      <c r="E285" s="1" t="n">
        <v>2</v>
      </c>
      <c r="F285" s="2" t="s">
        <v>634</v>
      </c>
      <c r="L285" s="1" t="s">
        <v>635</v>
      </c>
    </row>
    <row r="286" customFormat="false" ht="12.75" hidden="false" customHeight="false" outlineLevel="0" collapsed="false">
      <c r="A286" s="1" t="str">
        <f aca="false">HYPERLINK("https://lindat.mff.cuni.cz/services/PDT-Vallex4.5/PDT-Vallex4.5.html?verb=probíhat#v41haaB", "v41haaB")</f>
        <v>v41haaB</v>
      </c>
      <c r="B286" s="1" t="s">
        <v>636</v>
      </c>
      <c r="C286" s="1" t="str">
        <f aca="false">HYPERLINK("https://lindat.mff.cuni.cz/services/PDT-Vallex4.5/PDT-Vallex4.5.html?verb=probíhat", "probíhat")</f>
        <v>probíhat</v>
      </c>
      <c r="D286" s="1" t="n">
        <v>4</v>
      </c>
      <c r="E286" s="1" t="n">
        <v>3</v>
      </c>
      <c r="F286" s="2" t="s">
        <v>16</v>
      </c>
      <c r="L286" s="1" t="s">
        <v>348</v>
      </c>
      <c r="M286" s="1" t="s">
        <v>349</v>
      </c>
    </row>
    <row r="287" customFormat="false" ht="12.75" hidden="false" customHeight="false" outlineLevel="0" collapsed="false">
      <c r="A287" s="1" t="str">
        <f aca="false">HYPERLINK("https://lindat.mff.cuni.cz/services/PDT-Vallex4.5/PDT-Vallex4.5.html?verb=srovnávat#v41lguA", "v41lguA")</f>
        <v>v41lguA</v>
      </c>
      <c r="B287" s="1" t="s">
        <v>637</v>
      </c>
      <c r="C287" s="1" t="str">
        <f aca="false">HYPERLINK("https://lindat.mff.cuni.cz/services/PDT-Vallex4.5/PDT-Vallex4.5.html?verb=srovnávat", "srovnávat")</f>
        <v>srovnávat</v>
      </c>
      <c r="D287" s="1" t="n">
        <v>4</v>
      </c>
      <c r="E287" s="1" t="n">
        <v>2</v>
      </c>
      <c r="F287" s="2" t="s">
        <v>16</v>
      </c>
      <c r="L287" s="1" t="s">
        <v>638</v>
      </c>
      <c r="M287" s="1" t="s">
        <v>639</v>
      </c>
    </row>
    <row r="288" customFormat="false" ht="12.75" hidden="false" customHeight="false" outlineLevel="0" collapsed="false">
      <c r="A288" s="1" t="str">
        <f aca="false">HYPERLINK("https://lindat.mff.cuni.cz/services/PDT-Vallex4.5/PDT-Vallex4.5.html?verb=srovnávat#v41lguC", "v41lguC")</f>
        <v>v41lguC</v>
      </c>
      <c r="B288" s="1" t="s">
        <v>637</v>
      </c>
      <c r="C288" s="1" t="str">
        <f aca="false">HYPERLINK("https://lindat.mff.cuni.cz/services/PDT-Vallex4.5/PDT-Vallex4.5.html?verb=srovnávat", "srovnávat")</f>
        <v>srovnávat</v>
      </c>
      <c r="D288" s="1" t="n">
        <v>4</v>
      </c>
      <c r="E288" s="1" t="n">
        <v>2</v>
      </c>
      <c r="F288" s="2" t="s">
        <v>398</v>
      </c>
      <c r="L288" s="1" t="s">
        <v>640</v>
      </c>
    </row>
    <row r="289" customFormat="false" ht="12.75" hidden="false" customHeight="false" outlineLevel="0" collapsed="false">
      <c r="A289" s="1" t="str">
        <f aca="false">HYPERLINK("https://lindat.mff.cuni.cz/services/PDT-Vallex4.5/PDT-Vallex4.5.html?verb=připouštět#v41iwnA", "v41iwnA")</f>
        <v>v41iwnA</v>
      </c>
      <c r="B289" s="1" t="s">
        <v>641</v>
      </c>
      <c r="C289" s="1" t="str">
        <f aca="false">HYPERLINK("https://lindat.mff.cuni.cz/services/PDT-Vallex4.5/PDT-Vallex4.5.html?verb=připouštět", "připouštět")</f>
        <v>připouštět</v>
      </c>
      <c r="D289" s="1" t="n">
        <v>4</v>
      </c>
      <c r="E289" s="1" t="n">
        <v>2</v>
      </c>
      <c r="F289" s="2" t="s">
        <v>642</v>
      </c>
      <c r="L289" s="1" t="s">
        <v>643</v>
      </c>
    </row>
    <row r="290" customFormat="false" ht="12.75" hidden="false" customHeight="false" outlineLevel="0" collapsed="false">
      <c r="A290" s="1" t="str">
        <f aca="false">HYPERLINK("https://lindat.mff.cuni.cz/services/PDT-Vallex4.5/PDT-Vallex4.5.html?verb=připouštět#v41iwnB", "v41iwnB")</f>
        <v>v41iwnB</v>
      </c>
      <c r="B290" s="1" t="s">
        <v>641</v>
      </c>
      <c r="C290" s="1" t="str">
        <f aca="false">HYPERLINK("https://lindat.mff.cuni.cz/services/PDT-Vallex4.5/PDT-Vallex4.5.html?verb=připouštět", "připouštět")</f>
        <v>připouštět</v>
      </c>
      <c r="D290" s="1" t="n">
        <v>4</v>
      </c>
      <c r="E290" s="1" t="n">
        <v>2</v>
      </c>
      <c r="F290" s="2" t="s">
        <v>16</v>
      </c>
      <c r="L290" s="1" t="s">
        <v>644</v>
      </c>
      <c r="M290" s="1" t="s">
        <v>645</v>
      </c>
    </row>
    <row r="291" customFormat="false" ht="12.75" hidden="false" customHeight="false" outlineLevel="0" collapsed="false">
      <c r="A291" s="1" t="str">
        <f aca="false">HYPERLINK("https://lindat.mff.cuni.cz/services/PDT-Vallex4.5/PDT-Vallex4.5.html?verb=dusit#v41alyB", "v41alyB")</f>
        <v>v41alyB</v>
      </c>
      <c r="B291" s="1" t="s">
        <v>646</v>
      </c>
      <c r="C291" s="1" t="str">
        <f aca="false">HYPERLINK("https://lindat.mff.cuni.cz/services/PDT-Vallex4.5/PDT-Vallex4.5.html?verb=dusit", "dusit")</f>
        <v>dusit</v>
      </c>
      <c r="D291" s="1" t="n">
        <v>4</v>
      </c>
      <c r="E291" s="1" t="n">
        <v>2</v>
      </c>
      <c r="F291" s="2" t="s">
        <v>573</v>
      </c>
      <c r="L291" s="1" t="s">
        <v>647</v>
      </c>
    </row>
    <row r="292" customFormat="false" ht="12.75" hidden="false" customHeight="false" outlineLevel="0" collapsed="false">
      <c r="A292" s="1" t="str">
        <f aca="false">HYPERLINK("https://lindat.mff.cuni.cz/services/PDT-Vallex4.5/PDT-Vallex4.5.html?verb=odcházet#v41ealB", "v41ealB")</f>
        <v>v41ealB</v>
      </c>
      <c r="B292" s="1" t="s">
        <v>648</v>
      </c>
      <c r="C292" s="1" t="str">
        <f aca="false">HYPERLINK("https://lindat.mff.cuni.cz/services/PDT-Vallex4.5/PDT-Vallex4.5.html?verb=odcházet", "odcházet")</f>
        <v>odcházet</v>
      </c>
      <c r="D292" s="1" t="n">
        <v>4</v>
      </c>
      <c r="E292" s="1" t="n">
        <v>3</v>
      </c>
      <c r="F292" s="2" t="s">
        <v>16</v>
      </c>
      <c r="L292" s="1" t="s">
        <v>649</v>
      </c>
      <c r="M292" s="1" t="s">
        <v>650</v>
      </c>
    </row>
    <row r="293" customFormat="false" ht="12.75" hidden="false" customHeight="false" outlineLevel="0" collapsed="false">
      <c r="A293" s="1" t="str">
        <f aca="false">HYPERLINK("https://lindat.mff.cuni.cz/services/PDT-Vallex4.5/PDT-Vallex4.5.html?verb=téci#v41lxeD", "v41lxeD")</f>
        <v>v41lxeD</v>
      </c>
      <c r="B293" s="1" t="s">
        <v>651</v>
      </c>
      <c r="C293" s="1" t="str">
        <f aca="false">HYPERLINK("https://lindat.mff.cuni.cz/services/PDT-Vallex4.5/PDT-Vallex4.5.html?verb=téci", "téci")</f>
        <v>téci</v>
      </c>
      <c r="D293" s="1" t="n">
        <v>4</v>
      </c>
      <c r="E293" s="1" t="n">
        <v>3</v>
      </c>
      <c r="F293" s="2" t="s">
        <v>16</v>
      </c>
      <c r="L293" s="1" t="s">
        <v>652</v>
      </c>
      <c r="M293" s="1" t="s">
        <v>653</v>
      </c>
    </row>
    <row r="294" customFormat="false" ht="12.75" hidden="false" customHeight="false" outlineLevel="0" collapsed="false">
      <c r="A294" s="1" t="str">
        <f aca="false">HYPERLINK("https://lindat.mff.cuni.cz/services/PDT-Vallex4.5/PDT-Vallex4.5.html?verb=vyvádět#v41pfoA", "v41pfoA")</f>
        <v>v41pfoA</v>
      </c>
      <c r="B294" s="1" t="s">
        <v>654</v>
      </c>
      <c r="C294" s="1" t="str">
        <f aca="false">HYPERLINK("https://lindat.mff.cuni.cz/services/PDT-Vallex4.5/PDT-Vallex4.5.html?verb=vyvádět", "vyvádět")</f>
        <v>vyvádět</v>
      </c>
      <c r="D294" s="1" t="n">
        <v>4</v>
      </c>
      <c r="E294" s="1" t="n">
        <v>3</v>
      </c>
      <c r="F294" s="2" t="s">
        <v>655</v>
      </c>
      <c r="L294" s="1" t="s">
        <v>656</v>
      </c>
    </row>
    <row r="295" customFormat="false" ht="12.75" hidden="false" customHeight="false" outlineLevel="0" collapsed="false">
      <c r="A295" s="1" t="str">
        <f aca="false">HYPERLINK("https://lindat.mff.cuni.cz/services/PDT-Vallex4.5/PDT-Vallex4.5.html?verb=hořet#v41axjC", "v41axjC")</f>
        <v>v41axjC</v>
      </c>
      <c r="B295" s="1" t="s">
        <v>657</v>
      </c>
      <c r="C295" s="1" t="str">
        <f aca="false">HYPERLINK("https://lindat.mff.cuni.cz/services/PDT-Vallex4.5/PDT-Vallex4.5.html?verb=hořet", "hořet")</f>
        <v>hořet</v>
      </c>
      <c r="D295" s="1" t="n">
        <v>4</v>
      </c>
      <c r="E295" s="1" t="n">
        <v>3</v>
      </c>
      <c r="F295" s="2" t="s">
        <v>16</v>
      </c>
      <c r="L295" s="1" t="s">
        <v>658</v>
      </c>
      <c r="M295" s="1" t="s">
        <v>659</v>
      </c>
    </row>
    <row r="296" customFormat="false" ht="12.75" hidden="false" customHeight="false" outlineLevel="0" collapsed="false">
      <c r="A296" s="1" t="str">
        <f aca="false">HYPERLINK("https://lindat.mff.cuni.cz/services/PDT-Vallex4.5/PDT-Vallex4.5.html?verb=rozhodovat#v41jqlA", "v41jqlA")</f>
        <v>v41jqlA</v>
      </c>
      <c r="B296" s="1" t="s">
        <v>660</v>
      </c>
      <c r="C296" s="1" t="str">
        <f aca="false">HYPERLINK("https://lindat.mff.cuni.cz/services/PDT-Vallex4.5/PDT-Vallex4.5.html?verb=rozhodovat", "rozhodovat")</f>
        <v>rozhodovat</v>
      </c>
      <c r="D296" s="1" t="n">
        <v>4</v>
      </c>
      <c r="E296" s="1" t="n">
        <v>1</v>
      </c>
      <c r="F296" s="2" t="s">
        <v>661</v>
      </c>
      <c r="L296" s="1" t="s">
        <v>662</v>
      </c>
    </row>
    <row r="297" customFormat="false" ht="12.75" hidden="false" customHeight="false" outlineLevel="0" collapsed="false">
      <c r="A297" s="1" t="str">
        <f aca="false">HYPERLINK("https://lindat.mff.cuni.cz/services/PDT-Vallex4.5/PDT-Vallex4.5.html?verb=dělat se#v41rfD", "v41rfD")</f>
        <v>v41rfD</v>
      </c>
      <c r="B297" s="1" t="s">
        <v>663</v>
      </c>
      <c r="C297" s="1" t="str">
        <f aca="false">HYPERLINK("https://lindat.mff.cuni.cz/services/PDT-Vallex4.5/PDT-Vallex4.5.html?verb=dělat se", "dělat se")</f>
        <v>dělat se</v>
      </c>
      <c r="D297" s="1" t="n">
        <v>4</v>
      </c>
      <c r="E297" s="1" t="n">
        <v>3</v>
      </c>
      <c r="F297" s="2" t="s">
        <v>16</v>
      </c>
      <c r="L297" s="1" t="s">
        <v>664</v>
      </c>
      <c r="M297" s="1" t="s">
        <v>665</v>
      </c>
    </row>
    <row r="298" customFormat="false" ht="12.75" hidden="false" customHeight="false" outlineLevel="0" collapsed="false">
      <c r="A298" s="1" t="str">
        <f aca="false">HYPERLINK("https://lindat.mff.cuni.cz/services/PDT-Vallex4.5/PDT-Vallex4.5.html?verb=klepat#v41blgA", "v41blgA")</f>
        <v>v41blgA</v>
      </c>
      <c r="B298" s="1" t="s">
        <v>666</v>
      </c>
      <c r="C298" s="1" t="str">
        <f aca="false">HYPERLINK("https://lindat.mff.cuni.cz/services/PDT-Vallex4.5/PDT-Vallex4.5.html?verb=klepat", "klepat")</f>
        <v>klepat</v>
      </c>
      <c r="D298" s="1" t="n">
        <v>4</v>
      </c>
      <c r="E298" s="1" t="n">
        <v>3</v>
      </c>
      <c r="F298" s="2" t="s">
        <v>667</v>
      </c>
      <c r="L298" s="1" t="s">
        <v>668</v>
      </c>
    </row>
    <row r="299" customFormat="false" ht="12.75" hidden="false" customHeight="false" outlineLevel="0" collapsed="false">
      <c r="A299" s="1" t="str">
        <f aca="false">HYPERLINK("https://lindat.mff.cuni.cz/services/PDT-Vallex4.5/PDT-Vallex4.5.html?verb=vyházet#v41nyuA", "v41nyuA")</f>
        <v>v41nyuA</v>
      </c>
      <c r="B299" s="1" t="s">
        <v>669</v>
      </c>
      <c r="C299" s="1" t="str">
        <f aca="false">HYPERLINK("https://lindat.mff.cuni.cz/services/PDT-Vallex4.5/PDT-Vallex4.5.html?verb=vyházet", "vyházet")</f>
        <v>vyházet</v>
      </c>
      <c r="D299" s="1" t="n">
        <v>4</v>
      </c>
      <c r="E299" s="1" t="n">
        <v>4</v>
      </c>
      <c r="F299" s="2" t="s">
        <v>440</v>
      </c>
      <c r="L299" s="1" t="s">
        <v>441</v>
      </c>
      <c r="M299" s="2"/>
      <c r="N299" s="2"/>
      <c r="O299" s="2"/>
      <c r="P299" s="2"/>
    </row>
    <row r="300" customFormat="false" ht="12.75" hidden="false" customHeight="false" outlineLevel="0" collapsed="false">
      <c r="A300" s="1" t="str">
        <f aca="false">HYPERLINK("https://lindat.mff.cuni.cz/services/PDT-Vallex4.5/PDT-Vallex4.5.html?verb=vyházet#v41nyuC", "v41nyuC")</f>
        <v>v41nyuC</v>
      </c>
      <c r="B300" s="1" t="s">
        <v>669</v>
      </c>
      <c r="C300" s="1" t="str">
        <f aca="false">HYPERLINK("https://lindat.mff.cuni.cz/services/PDT-Vallex4.5/PDT-Vallex4.5.html?verb=vyházet", "vyházet")</f>
        <v>vyházet</v>
      </c>
      <c r="D300" s="1" t="n">
        <v>4</v>
      </c>
      <c r="E300" s="1" t="n">
        <v>4</v>
      </c>
      <c r="F300" s="2" t="s">
        <v>16</v>
      </c>
      <c r="L300" s="1" t="s">
        <v>670</v>
      </c>
      <c r="M300" s="1" t="s">
        <v>671</v>
      </c>
    </row>
    <row r="301" customFormat="false" ht="12.75" hidden="false" customHeight="false" outlineLevel="0" collapsed="false">
      <c r="A301" s="1" t="str">
        <f aca="false">HYPERLINK("https://lindat.mff.cuni.cz/services/PDT-Vallex4.5/PDT-Vallex4.5.html?verb=bouchnout#v41heA", "v41heA")</f>
        <v>v41heA</v>
      </c>
      <c r="B301" s="1" t="s">
        <v>672</v>
      </c>
      <c r="C301" s="1" t="str">
        <f aca="false">HYPERLINK("https://lindat.mff.cuni.cz/services/PDT-Vallex4.5/PDT-Vallex4.5.html?verb=bouchnout", "bouchnout")</f>
        <v>bouchnout</v>
      </c>
      <c r="D301" s="1" t="n">
        <v>4</v>
      </c>
      <c r="E301" s="1" t="n">
        <v>3</v>
      </c>
      <c r="F301" s="2" t="s">
        <v>673</v>
      </c>
      <c r="L301" s="1" t="s">
        <v>674</v>
      </c>
    </row>
    <row r="302" customFormat="false" ht="12.75" hidden="false" customHeight="false" outlineLevel="0" collapsed="false">
      <c r="A302" s="1" t="str">
        <f aca="false">HYPERLINK("https://lindat.mff.cuni.cz/services/PDT-Vallex4.5/PDT-Vallex4.5.html?verb=vítat#v41nltA", "v41nltA")</f>
        <v>v41nltA</v>
      </c>
      <c r="B302" s="1" t="s">
        <v>675</v>
      </c>
      <c r="C302" s="1" t="str">
        <f aca="false">HYPERLINK("https://lindat.mff.cuni.cz/services/PDT-Vallex4.5/PDT-Vallex4.5.html?verb=vítat", "vítat")</f>
        <v>vítat</v>
      </c>
      <c r="D302" s="1" t="n">
        <v>4</v>
      </c>
      <c r="E302" s="1" t="n">
        <v>2</v>
      </c>
      <c r="F302" s="2" t="s">
        <v>676</v>
      </c>
      <c r="L302" s="1" t="s">
        <v>677</v>
      </c>
    </row>
    <row r="303" customFormat="false" ht="12.75" hidden="false" customHeight="false" outlineLevel="0" collapsed="false">
      <c r="A303" s="1" t="str">
        <f aca="false">HYPERLINK("https://lindat.mff.cuni.cz/services/PDT-Vallex4.5/PDT-Vallex4.5.html?verb=prožít#v41hspD", "v41hspD")</f>
        <v>v41hspD</v>
      </c>
      <c r="B303" s="1" t="s">
        <v>678</v>
      </c>
      <c r="C303" s="1" t="str">
        <f aca="false">HYPERLINK("https://lindat.mff.cuni.cz/services/PDT-Vallex4.5/PDT-Vallex4.5.html?verb=prožít", "prožít")</f>
        <v>prožít</v>
      </c>
      <c r="D303" s="1" t="n">
        <v>4</v>
      </c>
      <c r="E303" s="1" t="n">
        <v>3</v>
      </c>
      <c r="F303" s="2" t="s">
        <v>35</v>
      </c>
      <c r="L303" s="1" t="s">
        <v>679</v>
      </c>
    </row>
    <row r="304" customFormat="false" ht="12.75" hidden="false" customHeight="false" outlineLevel="0" collapsed="false">
      <c r="A304" s="1" t="str">
        <f aca="false">HYPERLINK("https://lindat.mff.cuni.cz/services/PDT-Vallex4.5/PDT-Vallex4.5.html?verb=vážit#v41nhhA", "v41nhhA")</f>
        <v>v41nhhA</v>
      </c>
      <c r="B304" s="1" t="s">
        <v>680</v>
      </c>
      <c r="C304" s="1" t="str">
        <f aca="false">HYPERLINK("https://lindat.mff.cuni.cz/services/PDT-Vallex4.5/PDT-Vallex4.5.html?verb=vážit", "vážit")</f>
        <v>vážit</v>
      </c>
      <c r="D304" s="1" t="n">
        <v>4</v>
      </c>
      <c r="E304" s="1" t="n">
        <v>1</v>
      </c>
      <c r="F304" s="2" t="s">
        <v>681</v>
      </c>
      <c r="L304" s="1" t="s">
        <v>682</v>
      </c>
    </row>
    <row r="305" customFormat="false" ht="12.75" hidden="false" customHeight="false" outlineLevel="0" collapsed="false">
      <c r="A305" s="1" t="str">
        <f aca="false">HYPERLINK("https://lindat.mff.cuni.cz/services/PDT-Vallex4.5/PDT-Vallex4.5.html?verb=vytvářet#v41pejD", "v41pejD")</f>
        <v>v41pejD</v>
      </c>
      <c r="B305" s="1" t="s">
        <v>683</v>
      </c>
      <c r="C305" s="1" t="str">
        <f aca="false">HYPERLINK("https://lindat.mff.cuni.cz/services/PDT-Vallex4.5/PDT-Vallex4.5.html?verb=vytvářet", "vytvářet")</f>
        <v>vytvářet</v>
      </c>
      <c r="D305" s="1" t="n">
        <v>4</v>
      </c>
      <c r="E305" s="1" t="n">
        <v>2</v>
      </c>
      <c r="F305" s="2" t="s">
        <v>684</v>
      </c>
      <c r="L305" s="1" t="s">
        <v>685</v>
      </c>
    </row>
    <row r="306" customFormat="false" ht="12.75" hidden="false" customHeight="false" outlineLevel="0" collapsed="false">
      <c r="A306" s="1" t="str">
        <f aca="false">HYPERLINK("https://lindat.mff.cuni.cz/services/PDT-Vallex4.5/PDT-Vallex4.5.html?verb=vyřizovat#v41oveA", "v41oveA")</f>
        <v>v41oveA</v>
      </c>
      <c r="B306" s="1" t="s">
        <v>686</v>
      </c>
      <c r="C306" s="1" t="str">
        <f aca="false">HYPERLINK("https://lindat.mff.cuni.cz/services/PDT-Vallex4.5/PDT-Vallex4.5.html?verb=vyřizovat", "vyřizovat")</f>
        <v>vyřizovat</v>
      </c>
      <c r="D306" s="1" t="n">
        <v>4</v>
      </c>
      <c r="E306" s="1" t="n">
        <v>2</v>
      </c>
      <c r="F306" s="2" t="s">
        <v>687</v>
      </c>
      <c r="L306" s="1" t="s">
        <v>688</v>
      </c>
    </row>
    <row r="307" customFormat="false" ht="12.75" hidden="false" customHeight="false" outlineLevel="0" collapsed="false">
      <c r="A307" s="1" t="str">
        <f aca="false">HYPERLINK("https://lindat.mff.cuni.cz/services/PDT-Vallex4.5/PDT-Vallex4.5.html?verb=stoupnout#v41lljB", "v41lljB")</f>
        <v>v41lljB</v>
      </c>
      <c r="B307" s="1" t="s">
        <v>689</v>
      </c>
      <c r="C307" s="1" t="str">
        <f aca="false">HYPERLINK("https://lindat.mff.cuni.cz/services/PDT-Vallex4.5/PDT-Vallex4.5.html?verb=stoupnout", "stoupnout")</f>
        <v>stoupnout</v>
      </c>
      <c r="D307" s="1" t="n">
        <v>4</v>
      </c>
      <c r="E307" s="1" t="n">
        <v>3</v>
      </c>
      <c r="F307" s="2" t="s">
        <v>16</v>
      </c>
      <c r="L307" s="1" t="s">
        <v>690</v>
      </c>
      <c r="M307" s="1" t="s">
        <v>691</v>
      </c>
    </row>
    <row r="308" customFormat="false" ht="12.75" hidden="false" customHeight="false" outlineLevel="0" collapsed="false">
      <c r="A308" s="1" t="str">
        <f aca="false">HYPERLINK("https://lindat.mff.cuni.cz/services/PDT-Vallex4.5/PDT-Vallex4.5.html?verb=malovat#v41cdpB", "v41cdpB")</f>
        <v>v41cdpB</v>
      </c>
      <c r="B308" s="1" t="s">
        <v>692</v>
      </c>
      <c r="C308" s="1" t="str">
        <f aca="false">HYPERLINK("https://lindat.mff.cuni.cz/services/PDT-Vallex4.5/PDT-Vallex4.5.html?verb=malovat", "malovat")</f>
        <v>malovat</v>
      </c>
      <c r="D308" s="1" t="n">
        <v>4</v>
      </c>
      <c r="E308" s="1" t="n">
        <v>2</v>
      </c>
      <c r="F308" s="2" t="s">
        <v>693</v>
      </c>
      <c r="L308" s="1" t="s">
        <v>694</v>
      </c>
    </row>
    <row r="309" customFormat="false" ht="12.75" hidden="false" customHeight="false" outlineLevel="0" collapsed="false">
      <c r="A309" s="1" t="str">
        <f aca="false">HYPERLINK("https://lindat.mff.cuni.cz/services/PDT-Vallex4.5/PDT-Vallex4.5.html?verb=ujet#v41mktD", "v41mktD")</f>
        <v>v41mktD</v>
      </c>
      <c r="B309" s="1" t="s">
        <v>695</v>
      </c>
      <c r="C309" s="1" t="str">
        <f aca="false">HYPERLINK("https://lindat.mff.cuni.cz/services/PDT-Vallex4.5/PDT-Vallex4.5.html?verb=ujet", "ujet")</f>
        <v>ujet</v>
      </c>
      <c r="D309" s="1" t="n">
        <v>4</v>
      </c>
      <c r="E309" s="1" t="n">
        <v>4</v>
      </c>
      <c r="F309" s="2" t="s">
        <v>696</v>
      </c>
      <c r="L309" s="1" t="s">
        <v>697</v>
      </c>
    </row>
    <row r="310" customFormat="false" ht="12.75" hidden="false" customHeight="false" outlineLevel="0" collapsed="false">
      <c r="A310" s="1" t="str">
        <f aca="false">HYPERLINK("https://lindat.mff.cuni.cz/services/PDT-Vallex4.5/PDT-Vallex4.5.html?verb=povstat#v41gusB", "v41gusB")</f>
        <v>v41gusB</v>
      </c>
      <c r="B310" s="1" t="s">
        <v>698</v>
      </c>
      <c r="C310" s="1" t="str">
        <f aca="false">HYPERLINK("https://lindat.mff.cuni.cz/services/PDT-Vallex4.5/PDT-Vallex4.5.html?verb=povstat", "povstat")</f>
        <v>povstat</v>
      </c>
      <c r="D310" s="1" t="n">
        <v>4</v>
      </c>
      <c r="E310" s="1" t="n">
        <v>4</v>
      </c>
      <c r="F310" s="2" t="s">
        <v>699</v>
      </c>
      <c r="L310" s="1" t="s">
        <v>700</v>
      </c>
    </row>
    <row r="311" customFormat="false" ht="12.75" hidden="false" customHeight="false" outlineLevel="0" collapsed="false">
      <c r="A311" s="1" t="str">
        <f aca="false">HYPERLINK("https://lindat.mff.cuni.cz/services/PDT-Vallex4.5/PDT-Vallex4.5.html?verb=povstat#v41gusC", "v41gusC")</f>
        <v>v41gusC</v>
      </c>
      <c r="B311" s="1" t="s">
        <v>698</v>
      </c>
      <c r="C311" s="1" t="str">
        <f aca="false">HYPERLINK("https://lindat.mff.cuni.cz/services/PDT-Vallex4.5/PDT-Vallex4.5.html?verb=povstat", "povstat")</f>
        <v>povstat</v>
      </c>
      <c r="D311" s="1" t="n">
        <v>4</v>
      </c>
      <c r="E311" s="1" t="n">
        <v>4</v>
      </c>
      <c r="F311" s="2" t="s">
        <v>701</v>
      </c>
      <c r="L311" s="1" t="s">
        <v>702</v>
      </c>
    </row>
    <row r="312" customFormat="false" ht="12.75" hidden="false" customHeight="false" outlineLevel="0" collapsed="false">
      <c r="A312" s="1" t="str">
        <f aca="false">HYPERLINK("https://lindat.mff.cuni.cz/services/PDT-Vallex4.5/PDT-Vallex4.5.html?verb=prohodit#v41heaB", "v41heaB")</f>
        <v>v41heaB</v>
      </c>
      <c r="B312" s="1" t="s">
        <v>703</v>
      </c>
      <c r="C312" s="1" t="str">
        <f aca="false">HYPERLINK("https://lindat.mff.cuni.cz/services/PDT-Vallex4.5/PDT-Vallex4.5.html?verb=prohodit", "prohodit")</f>
        <v>prohodit</v>
      </c>
      <c r="D312" s="1" t="n">
        <v>4</v>
      </c>
      <c r="E312" s="1" t="n">
        <v>2</v>
      </c>
      <c r="F312" s="2" t="s">
        <v>704</v>
      </c>
      <c r="L312" s="1" t="s">
        <v>705</v>
      </c>
    </row>
    <row r="313" customFormat="false" ht="12.75" hidden="false" customHeight="false" outlineLevel="0" collapsed="false">
      <c r="A313" s="1" t="str">
        <f aca="false">HYPERLINK("https://lindat.mff.cuni.cz/services/PDT-Vallex4.5/PDT-Vallex4.5.html?verb=nabírat#v41clpC", "v41clpC")</f>
        <v>v41clpC</v>
      </c>
      <c r="B313" s="1" t="s">
        <v>706</v>
      </c>
      <c r="C313" s="1" t="str">
        <f aca="false">HYPERLINK("https://lindat.mff.cuni.cz/services/PDT-Vallex4.5/PDT-Vallex4.5.html?verb=nabírat", "nabírat")</f>
        <v>nabírat</v>
      </c>
      <c r="D313" s="1" t="n">
        <v>4</v>
      </c>
      <c r="E313" s="1" t="n">
        <v>4</v>
      </c>
      <c r="F313" s="2" t="s">
        <v>16</v>
      </c>
      <c r="L313" s="1" t="s">
        <v>707</v>
      </c>
      <c r="M313" s="1" t="s">
        <v>330</v>
      </c>
    </row>
    <row r="314" customFormat="false" ht="12.75" hidden="false" customHeight="false" outlineLevel="0" collapsed="false">
      <c r="A314" s="1" t="str">
        <f aca="false">HYPERLINK("https://lindat.mff.cuni.cz/services/PDT-Vallex4.5/PDT-Vallex4.5.html?verb=ocitnout se#v41duxD", "v41duxD")</f>
        <v>v41duxD</v>
      </c>
      <c r="B314" s="1" t="s">
        <v>708</v>
      </c>
      <c r="C314" s="1" t="str">
        <f aca="false">HYPERLINK("https://lindat.mff.cuni.cz/services/PDT-Vallex4.5/PDT-Vallex4.5.html?verb=ocitnout se", "ocitnout se")</f>
        <v>ocitnout se</v>
      </c>
      <c r="D314" s="1" t="n">
        <v>4</v>
      </c>
      <c r="E314" s="1" t="n">
        <v>2</v>
      </c>
      <c r="F314" s="2" t="s">
        <v>709</v>
      </c>
      <c r="L314" s="1" t="s">
        <v>710</v>
      </c>
    </row>
    <row r="315" customFormat="false" ht="12.75" hidden="false" customHeight="false" outlineLevel="0" collapsed="false">
      <c r="A315" s="1" t="str">
        <f aca="false">HYPERLINK("https://lindat.mff.cuni.cz/services/PDT-Vallex4.5/PDT-Vallex4.5.html?verb=přečíst#v41huvC", "v41huvC")</f>
        <v>v41huvC</v>
      </c>
      <c r="B315" s="1" t="s">
        <v>711</v>
      </c>
      <c r="C315" s="1" t="str">
        <f aca="false">HYPERLINK("https://lindat.mff.cuni.cz/services/PDT-Vallex4.5/PDT-Vallex4.5.html?verb=přečíst", "přečíst")</f>
        <v>přečíst</v>
      </c>
      <c r="D315" s="1" t="n">
        <v>4</v>
      </c>
      <c r="E315" s="1" t="n">
        <v>2</v>
      </c>
      <c r="F315" s="2" t="s">
        <v>712</v>
      </c>
      <c r="L315" s="1" t="s">
        <v>713</v>
      </c>
    </row>
    <row r="316" customFormat="false" ht="12.75" hidden="false" customHeight="false" outlineLevel="0" collapsed="false">
      <c r="A316" s="1" t="str">
        <f aca="false">HYPERLINK("https://lindat.mff.cuni.cz/services/PDT-Vallex4.5/PDT-Vallex4.5.html?verb=píchat#v41flfD", "v41flfD")</f>
        <v>v41flfD</v>
      </c>
      <c r="B316" s="1" t="s">
        <v>714</v>
      </c>
      <c r="C316" s="1" t="str">
        <f aca="false">HYPERLINK("https://lindat.mff.cuni.cz/services/PDT-Vallex4.5/PDT-Vallex4.5.html?verb=píchat", "píchat")</f>
        <v>píchat</v>
      </c>
      <c r="D316" s="1" t="n">
        <v>4</v>
      </c>
      <c r="E316" s="1" t="n">
        <v>3</v>
      </c>
      <c r="F316" s="2" t="s">
        <v>16</v>
      </c>
      <c r="L316" s="1" t="s">
        <v>715</v>
      </c>
      <c r="M316" s="1" t="s">
        <v>147</v>
      </c>
    </row>
    <row r="317" customFormat="false" ht="12.75" hidden="false" customHeight="false" outlineLevel="0" collapsed="false">
      <c r="A317" s="1" t="str">
        <f aca="false">HYPERLINK("https://lindat.mff.cuni.cz/services/PDT-Vallex4.5/PDT-Vallex4.5.html?verb=cítit se#v41lcB", "v41lcB")</f>
        <v>v41lcB</v>
      </c>
      <c r="B317" s="1" t="s">
        <v>716</v>
      </c>
      <c r="C317" s="1" t="str">
        <f aca="false">HYPERLINK("https://lindat.mff.cuni.cz/services/PDT-Vallex4.5/PDT-Vallex4.5.html?verb=cítit se", "cítit se")</f>
        <v>cítit se</v>
      </c>
      <c r="D317" s="1" t="n">
        <v>4</v>
      </c>
      <c r="E317" s="1" t="n">
        <v>2</v>
      </c>
      <c r="F317" s="2" t="s">
        <v>717</v>
      </c>
      <c r="L317" s="1" t="s">
        <v>718</v>
      </c>
    </row>
    <row r="318" customFormat="false" ht="12.75" hidden="false" customHeight="false" outlineLevel="0" collapsed="false">
      <c r="A318" s="1" t="str">
        <f aca="false">HYPERLINK("https://lindat.mff.cuni.cz/services/PDT-Vallex4.5/PDT-Vallex4.5.html?verb=zaskočit#v41qksD", "v41qksD")</f>
        <v>v41qksD</v>
      </c>
      <c r="B318" s="1" t="s">
        <v>719</v>
      </c>
      <c r="C318" s="1" t="str">
        <f aca="false">HYPERLINK("https://lindat.mff.cuni.cz/services/PDT-Vallex4.5/PDT-Vallex4.5.html?verb=zaskočit", "zaskočit")</f>
        <v>zaskočit</v>
      </c>
      <c r="D318" s="1" t="n">
        <v>4</v>
      </c>
      <c r="E318" s="1" t="n">
        <v>2</v>
      </c>
      <c r="F318" s="2" t="s">
        <v>720</v>
      </c>
      <c r="L318" s="1" t="s">
        <v>721</v>
      </c>
    </row>
    <row r="319" customFormat="false" ht="12.75" hidden="false" customHeight="false" outlineLevel="0" collapsed="false">
      <c r="A319" s="1" t="str">
        <f aca="false">HYPERLINK("https://lindat.mff.cuni.cz/services/PDT-Vallex4.5/PDT-Vallex4.5.html?verb=rozkládat se#v41jrvA", "v41jrvA")</f>
        <v>v41jrvA</v>
      </c>
      <c r="B319" s="1" t="s">
        <v>722</v>
      </c>
      <c r="C319" s="1" t="str">
        <f aca="false">HYPERLINK("https://lindat.mff.cuni.cz/services/PDT-Vallex4.5/PDT-Vallex4.5.html?verb=rozkládat se", "rozkládat se")</f>
        <v>rozkládat se</v>
      </c>
      <c r="D319" s="1" t="n">
        <v>4</v>
      </c>
      <c r="E319" s="1" t="n">
        <v>2</v>
      </c>
      <c r="F319" s="2" t="s">
        <v>723</v>
      </c>
      <c r="L319" s="1" t="s">
        <v>724</v>
      </c>
    </row>
    <row r="320" customFormat="false" ht="12.75" hidden="false" customHeight="false" outlineLevel="0" collapsed="false">
      <c r="A320" s="1" t="str">
        <f aca="false">HYPERLINK("https://lindat.mff.cuni.cz/services/PDT-Vallex4.5/PDT-Vallex4.5.html?verb=zaznamenávat#v41qutA", "v41qutA")</f>
        <v>v41qutA</v>
      </c>
      <c r="B320" s="1" t="s">
        <v>725</v>
      </c>
      <c r="C320" s="1" t="str">
        <f aca="false">HYPERLINK("https://lindat.mff.cuni.cz/services/PDT-Vallex4.5/PDT-Vallex4.5.html?verb=zaznamenávat", "zaznamenávat")</f>
        <v>zaznamenávat</v>
      </c>
      <c r="D320" s="1" t="n">
        <v>4</v>
      </c>
      <c r="E320" s="1" t="n">
        <v>1</v>
      </c>
      <c r="F320" s="2" t="s">
        <v>374</v>
      </c>
      <c r="L320" s="1" t="s">
        <v>726</v>
      </c>
      <c r="N320" s="1" t="s">
        <v>727</v>
      </c>
    </row>
    <row r="321" customFormat="false" ht="12.75" hidden="false" customHeight="false" outlineLevel="0" collapsed="false">
      <c r="A321" s="1" t="str">
        <f aca="false">HYPERLINK("https://lindat.mff.cuni.cz/services/PDT-Vallex4.5/PDT-Vallex4.5.html?verb=zakopat#v41pxrB", "v41pxrB")</f>
        <v>v41pxrB</v>
      </c>
      <c r="B321" s="1" t="s">
        <v>728</v>
      </c>
      <c r="C321" s="1" t="str">
        <f aca="false">HYPERLINK("https://lindat.mff.cuni.cz/services/PDT-Vallex4.5/PDT-Vallex4.5.html?verb=zakopat", "zakopat")</f>
        <v>zakopat</v>
      </c>
      <c r="D321" s="1" t="n">
        <v>4</v>
      </c>
      <c r="E321" s="1" t="n">
        <v>3</v>
      </c>
      <c r="F321" s="2" t="s">
        <v>16</v>
      </c>
      <c r="L321" s="1" t="s">
        <v>729</v>
      </c>
      <c r="M321" s="1" t="s">
        <v>730</v>
      </c>
    </row>
    <row r="322" customFormat="false" ht="12.75" hidden="false" customHeight="false" outlineLevel="0" collapsed="false">
      <c r="A322" s="1" t="str">
        <f aca="false">HYPERLINK("https://lindat.mff.cuni.cz/services/PDT-Vallex4.5/PDT-Vallex4.5.html?verb=zarazit#v41qidA", "v41qidA")</f>
        <v>v41qidA</v>
      </c>
      <c r="B322" s="1" t="s">
        <v>731</v>
      </c>
      <c r="C322" s="1" t="str">
        <f aca="false">HYPERLINK("https://lindat.mff.cuni.cz/services/PDT-Vallex4.5/PDT-Vallex4.5.html?verb=zarazit", "zarazit")</f>
        <v>zarazit</v>
      </c>
      <c r="D322" s="1" t="n">
        <v>4</v>
      </c>
      <c r="E322" s="1" t="n">
        <v>2</v>
      </c>
      <c r="F322" s="2" t="s">
        <v>16</v>
      </c>
      <c r="L322" s="1" t="s">
        <v>732</v>
      </c>
      <c r="M322" s="1" t="s">
        <v>733</v>
      </c>
    </row>
    <row r="323" customFormat="false" ht="12.75" hidden="false" customHeight="false" outlineLevel="0" collapsed="false">
      <c r="A323" s="1" t="str">
        <f aca="false">HYPERLINK("https://lindat.mff.cuni.cz/services/PDT-Vallex4.5/PDT-Vallex4.5.html?verb=předat#v41hveD", "v41hveD")</f>
        <v>v41hveD</v>
      </c>
      <c r="B323" s="1" t="s">
        <v>734</v>
      </c>
      <c r="C323" s="1" t="str">
        <f aca="false">HYPERLINK("https://lindat.mff.cuni.cz/services/PDT-Vallex4.5/PDT-Vallex4.5.html?verb=předat", "předat")</f>
        <v>předat</v>
      </c>
      <c r="D323" s="1" t="n">
        <v>4</v>
      </c>
      <c r="E323" s="1" t="n">
        <v>1</v>
      </c>
      <c r="F323" s="2" t="s">
        <v>374</v>
      </c>
      <c r="L323" s="1" t="s">
        <v>735</v>
      </c>
    </row>
    <row r="324" customFormat="false" ht="12.75" hidden="false" customHeight="false" outlineLevel="0" collapsed="false">
      <c r="A324" s="1" t="str">
        <f aca="false">HYPERLINK("https://lindat.mff.cuni.cz/services/PDT-Vallex4.5/PDT-Vallex4.5.html?verb=zaseknout#v41qkkC", "v41qkkC")</f>
        <v>v41qkkC</v>
      </c>
      <c r="B324" s="1" t="s">
        <v>736</v>
      </c>
      <c r="C324" s="1" t="str">
        <f aca="false">HYPERLINK("https://lindat.mff.cuni.cz/services/PDT-Vallex4.5/PDT-Vallex4.5.html?verb=zaseknout", "zaseknout")</f>
        <v>zaseknout</v>
      </c>
      <c r="D324" s="1" t="n">
        <v>4</v>
      </c>
      <c r="E324" s="1" t="n">
        <v>4</v>
      </c>
      <c r="F324" s="2" t="s">
        <v>16</v>
      </c>
      <c r="L324" s="1" t="s">
        <v>737</v>
      </c>
      <c r="M324" s="1" t="s">
        <v>738</v>
      </c>
    </row>
    <row r="325" customFormat="false" ht="12.75" hidden="false" customHeight="false" outlineLevel="0" collapsed="false">
      <c r="A325" s="1" t="str">
        <f aca="false">HYPERLINK("https://lindat.mff.cuni.cz/services/PDT-Vallex4.5/PDT-Vallex4.5.html?verb=vzplanout#v41pnaA", "v41pnaA")</f>
        <v>v41pnaA</v>
      </c>
      <c r="B325" s="1" t="s">
        <v>739</v>
      </c>
      <c r="C325" s="1" t="str">
        <f aca="false">HYPERLINK("https://lindat.mff.cuni.cz/services/PDT-Vallex4.5/PDT-Vallex4.5.html?verb=vzplanout", "vzplanout")</f>
        <v>vzplanout</v>
      </c>
      <c r="D325" s="1" t="n">
        <v>4</v>
      </c>
      <c r="E325" s="1" t="n">
        <v>3</v>
      </c>
      <c r="F325" s="2" t="s">
        <v>225</v>
      </c>
      <c r="L325" s="1" t="s">
        <v>740</v>
      </c>
    </row>
    <row r="326" customFormat="false" ht="12.75" hidden="false" customHeight="false" outlineLevel="0" collapsed="false">
      <c r="A326" s="1" t="str">
        <f aca="false">HYPERLINK("https://lindat.mff.cuni.cz/services/PDT-Vallex4.5/PDT-Vallex4.5.html?verb=vzplanout#v41pnaD", "v41pnaD")</f>
        <v>v41pnaD</v>
      </c>
      <c r="B326" s="1" t="s">
        <v>739</v>
      </c>
      <c r="C326" s="1" t="str">
        <f aca="false">HYPERLINK("https://lindat.mff.cuni.cz/services/PDT-Vallex4.5/PDT-Vallex4.5.html?verb=vzplanout", "vzplanout")</f>
        <v>vzplanout</v>
      </c>
      <c r="D326" s="1" t="n">
        <v>4</v>
      </c>
      <c r="E326" s="1" t="n">
        <v>3</v>
      </c>
      <c r="F326" s="2" t="s">
        <v>741</v>
      </c>
      <c r="L326" s="1" t="s">
        <v>742</v>
      </c>
    </row>
    <row r="327" customFormat="false" ht="12.75" hidden="false" customHeight="false" outlineLevel="0" collapsed="false">
      <c r="A327" s="1" t="str">
        <f aca="false">HYPERLINK("https://lindat.mff.cuni.cz/services/PDT-Vallex4.5/PDT-Vallex4.5.html?verb=stoupat#v41llgB", "v41llgB")</f>
        <v>v41llgB</v>
      </c>
      <c r="B327" s="1" t="s">
        <v>743</v>
      </c>
      <c r="C327" s="1" t="str">
        <f aca="false">HYPERLINK("https://lindat.mff.cuni.cz/services/PDT-Vallex4.5/PDT-Vallex4.5.html?verb=stoupat", "stoupat")</f>
        <v>stoupat</v>
      </c>
      <c r="D327" s="1" t="n">
        <v>4</v>
      </c>
      <c r="E327" s="1" t="n">
        <v>3</v>
      </c>
      <c r="F327" s="2" t="s">
        <v>16</v>
      </c>
      <c r="L327" s="1" t="s">
        <v>744</v>
      </c>
      <c r="M327" s="1" t="s">
        <v>745</v>
      </c>
    </row>
    <row r="328" customFormat="false" ht="12.75" hidden="false" customHeight="false" outlineLevel="0" collapsed="false">
      <c r="A328" s="1" t="str">
        <f aca="false">HYPERLINK("https://lindat.mff.cuni.cz/services/PDT-Vallex4.5/PDT-Vallex4.5.html?verb=chápat#v41bamB", "v41bamB")</f>
        <v>v41bamB</v>
      </c>
      <c r="B328" s="1" t="s">
        <v>746</v>
      </c>
      <c r="C328" s="1" t="str">
        <f aca="false">HYPERLINK("https://lindat.mff.cuni.cz/services/PDT-Vallex4.5/PDT-Vallex4.5.html?verb=chápat", "chápat")</f>
        <v>chápat</v>
      </c>
      <c r="D328" s="1" t="n">
        <v>4</v>
      </c>
      <c r="E328" s="1" t="n">
        <v>2</v>
      </c>
      <c r="F328" s="2" t="s">
        <v>16</v>
      </c>
      <c r="L328" s="1" t="s">
        <v>747</v>
      </c>
      <c r="M328" s="1" t="s">
        <v>748</v>
      </c>
    </row>
    <row r="329" customFormat="false" ht="12.75" hidden="false" customHeight="false" outlineLevel="0" collapsed="false">
      <c r="A329" s="1" t="str">
        <f aca="false">HYPERLINK("https://lindat.mff.cuni.cz/services/PDT-Vallex4.5/PDT-Vallex4.5.html?verb=spolknout#v41ldqA", "v41ldqA")</f>
        <v>v41ldqA</v>
      </c>
      <c r="B329" s="1" t="s">
        <v>749</v>
      </c>
      <c r="C329" s="1" t="str">
        <f aca="false">HYPERLINK("https://lindat.mff.cuni.cz/services/PDT-Vallex4.5/PDT-Vallex4.5.html?verb=spolknout", "spolknout")</f>
        <v>spolknout</v>
      </c>
      <c r="D329" s="1" t="n">
        <v>4</v>
      </c>
      <c r="E329" s="1" t="n">
        <v>4</v>
      </c>
      <c r="F329" s="2" t="s">
        <v>16</v>
      </c>
      <c r="L329" s="1" t="s">
        <v>750</v>
      </c>
      <c r="M329" s="1" t="s">
        <v>584</v>
      </c>
    </row>
    <row r="330" customFormat="false" ht="12.75" hidden="false" customHeight="false" outlineLevel="0" collapsed="false">
      <c r="A330" s="1" t="str">
        <f aca="false">HYPERLINK("https://lindat.mff.cuni.cz/services/PDT-Vallex4.5/PDT-Vallex4.5.html?verb=vyčerpat#v41nvsA", "v41nvsA")</f>
        <v>v41nvsA</v>
      </c>
      <c r="B330" s="1" t="s">
        <v>751</v>
      </c>
      <c r="C330" s="1" t="str">
        <f aca="false">HYPERLINK("https://lindat.mff.cuni.cz/services/PDT-Vallex4.5/PDT-Vallex4.5.html?verb=vyčerpat", "vyčerpat")</f>
        <v>vyčerpat</v>
      </c>
      <c r="D330" s="1" t="n">
        <v>4</v>
      </c>
      <c r="E330" s="1" t="n">
        <v>2</v>
      </c>
      <c r="F330" s="2" t="s">
        <v>752</v>
      </c>
      <c r="L330" s="1" t="s">
        <v>753</v>
      </c>
    </row>
    <row r="331" customFormat="false" ht="12.75" hidden="false" customHeight="false" outlineLevel="0" collapsed="false">
      <c r="A331" s="1" t="str">
        <f aca="false">HYPERLINK("https://lindat.mff.cuni.cz/services/PDT-Vallex4.5/PDT-Vallex4.5.html?verb=otřást#v41feaA", "v41feaA")</f>
        <v>v41feaA</v>
      </c>
      <c r="B331" s="1" t="s">
        <v>754</v>
      </c>
      <c r="C331" s="1" t="str">
        <f aca="false">HYPERLINK("https://lindat.mff.cuni.cz/services/PDT-Vallex4.5/PDT-Vallex4.5.html?verb=otřást", "otřást")</f>
        <v>otřást</v>
      </c>
      <c r="D331" s="1" t="n">
        <v>4</v>
      </c>
      <c r="E331" s="1" t="n">
        <v>2</v>
      </c>
      <c r="F331" s="2" t="s">
        <v>16</v>
      </c>
      <c r="L331" s="1" t="s">
        <v>755</v>
      </c>
      <c r="M331" s="1" t="s">
        <v>756</v>
      </c>
    </row>
    <row r="332" customFormat="false" ht="12.75" hidden="false" customHeight="false" outlineLevel="0" collapsed="false">
      <c r="A332" s="1" t="str">
        <f aca="false">HYPERLINK("https://lindat.mff.cuni.cz/services/PDT-Vallex4.5/PDT-Vallex4.5.html?verb=zlomit#v41rjcC", "v41rjcC")</f>
        <v>v41rjcC</v>
      </c>
      <c r="B332" s="1" t="s">
        <v>757</v>
      </c>
      <c r="C332" s="1" t="str">
        <f aca="false">HYPERLINK("https://lindat.mff.cuni.cz/services/PDT-Vallex4.5/PDT-Vallex4.5.html?verb=zlomit", "zlomit")</f>
        <v>zlomit</v>
      </c>
      <c r="D332" s="1" t="n">
        <v>4</v>
      </c>
      <c r="E332" s="1" t="n">
        <v>2</v>
      </c>
      <c r="F332" s="2" t="s">
        <v>400</v>
      </c>
      <c r="L332" s="1" t="s">
        <v>758</v>
      </c>
      <c r="M332" s="3" t="n">
        <v>37501</v>
      </c>
    </row>
    <row r="333" customFormat="false" ht="12.75" hidden="false" customHeight="false" outlineLevel="0" collapsed="false">
      <c r="A333" s="1" t="str">
        <f aca="false">HYPERLINK("https://lindat.mff.cuni.cz/services/PDT-Vallex4.5/PDT-Vallex4.5.html?verb=propadat#v41hjhC", "v41hjhC")</f>
        <v>v41hjhC</v>
      </c>
      <c r="B333" s="1" t="s">
        <v>759</v>
      </c>
      <c r="C333" s="1" t="str">
        <f aca="false">HYPERLINK("https://lindat.mff.cuni.cz/services/PDT-Vallex4.5/PDT-Vallex4.5.html?verb=propadat", "propadat")</f>
        <v>propadat</v>
      </c>
      <c r="D333" s="1" t="n">
        <v>4</v>
      </c>
      <c r="E333" s="1" t="n">
        <v>3</v>
      </c>
      <c r="F333" s="2" t="s">
        <v>760</v>
      </c>
      <c r="L333" s="1" t="s">
        <v>761</v>
      </c>
    </row>
    <row r="334" customFormat="false" ht="12.75" hidden="false" customHeight="false" outlineLevel="0" collapsed="false">
      <c r="A334" s="1" t="str">
        <f aca="false">HYPERLINK("https://lindat.mff.cuni.cz/services/PDT-Vallex4.5/PDT-Vallex4.5.html?verb=pociťovat#v41fphC", "v41fphC")</f>
        <v>v41fphC</v>
      </c>
      <c r="B334" s="1" t="s">
        <v>762</v>
      </c>
      <c r="C334" s="1" t="str">
        <f aca="false">HYPERLINK("https://lindat.mff.cuni.cz/services/PDT-Vallex4.5/PDT-Vallex4.5.html?verb=pociťovat", "pociťovat")</f>
        <v>pociťovat</v>
      </c>
      <c r="D334" s="1" t="n">
        <v>4</v>
      </c>
      <c r="E334" s="1" t="n">
        <v>2</v>
      </c>
      <c r="F334" s="2" t="s">
        <v>763</v>
      </c>
      <c r="L334" s="1" t="s">
        <v>764</v>
      </c>
    </row>
    <row r="335" customFormat="false" ht="12.75" hidden="false" customHeight="false" outlineLevel="0" collapsed="false">
      <c r="A335" s="1" t="str">
        <f aca="false">HYPERLINK("https://lindat.mff.cuni.cz/services/PDT-Vallex4.5/PDT-Vallex4.5.html?verb=přednášet#v41hxeA", "v41hxeA")</f>
        <v>v41hxeA</v>
      </c>
      <c r="B335" s="1" t="s">
        <v>765</v>
      </c>
      <c r="C335" s="1" t="str">
        <f aca="false">HYPERLINK("https://lindat.mff.cuni.cz/services/PDT-Vallex4.5/PDT-Vallex4.5.html?verb=přednášet", "přednášet")</f>
        <v>přednášet</v>
      </c>
      <c r="D335" s="1" t="n">
        <v>4</v>
      </c>
      <c r="E335" s="1" t="n">
        <v>2</v>
      </c>
      <c r="F335" s="2" t="s">
        <v>766</v>
      </c>
      <c r="H335" s="2" t="s">
        <v>767</v>
      </c>
      <c r="L335" s="1" t="s">
        <v>768</v>
      </c>
    </row>
    <row r="336" customFormat="false" ht="12.75" hidden="false" customHeight="false" outlineLevel="0" collapsed="false">
      <c r="A336" s="1" t="str">
        <f aca="false">HYPERLINK("https://lindat.mff.cuni.cz/services/PDT-Vallex4.5/PDT-Vallex4.5.html?verb=předávat#v41hvhD", "v41hvhD")</f>
        <v>v41hvhD</v>
      </c>
      <c r="B336" s="1" t="s">
        <v>769</v>
      </c>
      <c r="C336" s="1" t="str">
        <f aca="false">HYPERLINK("https://lindat.mff.cuni.cz/services/PDT-Vallex4.5/PDT-Vallex4.5.html?verb=předávat", "předávat")</f>
        <v>předávat</v>
      </c>
      <c r="D336" s="1" t="n">
        <v>4</v>
      </c>
      <c r="E336" s="1" t="n">
        <v>1</v>
      </c>
      <c r="F336" s="2" t="s">
        <v>374</v>
      </c>
      <c r="L336" s="1" t="s">
        <v>770</v>
      </c>
    </row>
    <row r="337" customFormat="false" ht="12.75" hidden="false" customHeight="false" outlineLevel="0" collapsed="false">
      <c r="A337" s="1" t="str">
        <f aca="false">HYPERLINK("https://lindat.mff.cuni.cz/services/PDT-Vallex4.5/PDT-Vallex4.5.html?verb=přehrát#v41ianC", "v41ianC")</f>
        <v>v41ianC</v>
      </c>
      <c r="B337" s="1" t="s">
        <v>771</v>
      </c>
      <c r="C337" s="1" t="str">
        <f aca="false">HYPERLINK("https://lindat.mff.cuni.cz/services/PDT-Vallex4.5/PDT-Vallex4.5.html?verb=přehrát", "přehrát")</f>
        <v>přehrát</v>
      </c>
      <c r="D337" s="1" t="n">
        <v>4</v>
      </c>
      <c r="E337" s="1" t="n">
        <v>2</v>
      </c>
      <c r="F337" s="2" t="s">
        <v>151</v>
      </c>
      <c r="L337" s="1" t="s">
        <v>772</v>
      </c>
      <c r="N337" s="1" t="s">
        <v>773</v>
      </c>
    </row>
    <row r="338" customFormat="false" ht="12.75" hidden="false" customHeight="false" outlineLevel="0" collapsed="false">
      <c r="A338" s="1" t="str">
        <f aca="false">HYPERLINK("https://lindat.mff.cuni.cz/services/PDT-Vallex4.5/PDT-Vallex4.5.html?verb=spočívat#v41lcqD", "v41lcqD")</f>
        <v>v41lcqD</v>
      </c>
      <c r="B338" s="1" t="s">
        <v>774</v>
      </c>
      <c r="C338" s="1" t="str">
        <f aca="false">HYPERLINK("https://lindat.mff.cuni.cz/services/PDT-Vallex4.5/PDT-Vallex4.5.html?verb=spočívat", "spočívat")</f>
        <v>spočívat</v>
      </c>
      <c r="D338" s="1" t="n">
        <v>4</v>
      </c>
      <c r="E338" s="1" t="n">
        <v>3</v>
      </c>
      <c r="F338" s="2" t="s">
        <v>158</v>
      </c>
      <c r="L338" s="1" t="s">
        <v>775</v>
      </c>
    </row>
    <row r="339" customFormat="false" ht="12.75" hidden="false" customHeight="false" outlineLevel="0" collapsed="false">
      <c r="A339" s="1" t="str">
        <f aca="false">HYPERLINK("https://lindat.mff.cuni.cz/services/PDT-Vallex4.5/PDT-Vallex4.5.html?verb=rozšířit#v41jyxB", "v41jyxB")</f>
        <v>v41jyxB</v>
      </c>
      <c r="B339" s="1" t="s">
        <v>776</v>
      </c>
      <c r="C339" s="1" t="str">
        <f aca="false">HYPERLINK("https://lindat.mff.cuni.cz/services/PDT-Vallex4.5/PDT-Vallex4.5.html?verb=rozšířit", "rozšířit")</f>
        <v>rozšířit</v>
      </c>
      <c r="D339" s="1" t="n">
        <v>4</v>
      </c>
      <c r="E339" s="1" t="n">
        <v>2</v>
      </c>
      <c r="F339" s="2" t="s">
        <v>16</v>
      </c>
      <c r="L339" s="1" t="s">
        <v>777</v>
      </c>
      <c r="M339" s="1" t="s">
        <v>778</v>
      </c>
    </row>
    <row r="340" customFormat="false" ht="12.75" hidden="false" customHeight="false" outlineLevel="0" collapsed="false">
      <c r="A340" s="1" t="str">
        <f aca="false">HYPERLINK("https://lindat.mff.cuni.cz/services/PDT-Vallex4.5/PDT-Vallex4.5.html?verb=navazovat#v41dfuB", "v41dfuB")</f>
        <v>v41dfuB</v>
      </c>
      <c r="B340" s="1" t="s">
        <v>779</v>
      </c>
      <c r="C340" s="1" t="str">
        <f aca="false">HYPERLINK("https://lindat.mff.cuni.cz/services/PDT-Vallex4.5/PDT-Vallex4.5.html?verb=navazovat", "navazovat")</f>
        <v>navazovat</v>
      </c>
      <c r="D340" s="1" t="n">
        <v>4</v>
      </c>
      <c r="E340" s="1" t="n">
        <v>4</v>
      </c>
      <c r="F340" s="2" t="s">
        <v>16</v>
      </c>
      <c r="L340" s="1" t="s">
        <v>780</v>
      </c>
      <c r="M340" s="1" t="s">
        <v>781</v>
      </c>
    </row>
    <row r="341" customFormat="false" ht="12.75" hidden="false" customHeight="false" outlineLevel="0" collapsed="false">
      <c r="A341" s="1" t="str">
        <f aca="false">HYPERLINK("https://lindat.mff.cuni.cz/services/PDT-Vallex4.5/PDT-Vallex4.5.html?verb=zapadat#v41qdyD", "v41qdyD")</f>
        <v>v41qdyD</v>
      </c>
      <c r="B341" s="1" t="s">
        <v>782</v>
      </c>
      <c r="C341" s="1" t="str">
        <f aca="false">HYPERLINK("https://lindat.mff.cuni.cz/services/PDT-Vallex4.5/PDT-Vallex4.5.html?verb=zapadat", "zapadat")</f>
        <v>zapadat</v>
      </c>
      <c r="D341" s="1" t="n">
        <v>4</v>
      </c>
      <c r="E341" s="1" t="n">
        <v>2</v>
      </c>
      <c r="F341" s="2" t="s">
        <v>326</v>
      </c>
      <c r="L341" s="1" t="s">
        <v>783</v>
      </c>
    </row>
    <row r="342" customFormat="false" ht="12.75" hidden="false" customHeight="false" outlineLevel="0" collapsed="false">
      <c r="A342" s="1" t="str">
        <f aca="false">HYPERLINK("https://lindat.mff.cuni.cz/services/PDT-Vallex4.5/PDT-Vallex4.5.html?verb=rozvázat#v41kaxC", "v41kaxC")</f>
        <v>v41kaxC</v>
      </c>
      <c r="B342" s="1" t="s">
        <v>784</v>
      </c>
      <c r="C342" s="1" t="str">
        <f aca="false">HYPERLINK("https://lindat.mff.cuni.cz/services/PDT-Vallex4.5/PDT-Vallex4.5.html?verb=rozvázat", "rozvázat")</f>
        <v>rozvázat</v>
      </c>
      <c r="D342" s="1" t="n">
        <v>4</v>
      </c>
      <c r="E342" s="1" t="n">
        <v>4</v>
      </c>
      <c r="F342" s="2" t="s">
        <v>16</v>
      </c>
      <c r="L342" s="1" t="s">
        <v>785</v>
      </c>
      <c r="M342" s="3" t="s">
        <v>513</v>
      </c>
    </row>
    <row r="343" customFormat="false" ht="12.75" hidden="false" customHeight="false" outlineLevel="0" collapsed="false">
      <c r="A343" s="1" t="str">
        <f aca="false">HYPERLINK("https://lindat.mff.cuni.cz/services/PDT-Vallex4.5/PDT-Vallex4.5.html?verb=upevnit#v41mquC", "v41mquC")</f>
        <v>v41mquC</v>
      </c>
      <c r="B343" s="1" t="s">
        <v>786</v>
      </c>
      <c r="C343" s="1" t="str">
        <f aca="false">HYPERLINK("https://lindat.mff.cuni.cz/services/PDT-Vallex4.5/PDT-Vallex4.5.html?verb=upevnit", "upevnit")</f>
        <v>upevnit</v>
      </c>
      <c r="D343" s="1" t="n">
        <v>4</v>
      </c>
      <c r="E343" s="1" t="n">
        <v>3</v>
      </c>
      <c r="F343" s="2" t="s">
        <v>787</v>
      </c>
      <c r="L343" s="1" t="s">
        <v>788</v>
      </c>
    </row>
    <row r="344" customFormat="false" ht="12.75" hidden="false" customHeight="false" outlineLevel="0" collapsed="false">
      <c r="A344" s="1" t="str">
        <f aca="false">HYPERLINK("https://lindat.mff.cuni.cz/services/PDT-Vallex4.5/PDT-Vallex4.5.html?verb=přibrzdit#v41ipfB", "v41ipfB")</f>
        <v>v41ipfB</v>
      </c>
      <c r="B344" s="1" t="s">
        <v>789</v>
      </c>
      <c r="C344" s="1" t="str">
        <f aca="false">HYPERLINK("https://lindat.mff.cuni.cz/services/PDT-Vallex4.5/PDT-Vallex4.5.html?verb=přibrzdit", "přibrzdit")</f>
        <v>přibrzdit</v>
      </c>
      <c r="D344" s="1" t="n">
        <v>4</v>
      </c>
      <c r="E344" s="1" t="n">
        <v>3</v>
      </c>
      <c r="F344" s="2" t="s">
        <v>16</v>
      </c>
      <c r="L344" s="1" t="s">
        <v>790</v>
      </c>
      <c r="M344" s="1" t="s">
        <v>791</v>
      </c>
    </row>
    <row r="345" customFormat="false" ht="12.75" hidden="false" customHeight="false" outlineLevel="0" collapsed="false">
      <c r="A345" s="1" t="str">
        <f aca="false">HYPERLINK("https://lindat.mff.cuni.cz/services/PDT-Vallex4.5/PDT-Vallex4.5.html?verb=zpracovávat#v41ruaD", "v41ruaD")</f>
        <v>v41ruaD</v>
      </c>
      <c r="B345" s="1" t="s">
        <v>792</v>
      </c>
      <c r="C345" s="1" t="str">
        <f aca="false">HYPERLINK("https://lindat.mff.cuni.cz/services/PDT-Vallex4.5/PDT-Vallex4.5.html?verb=zpracovávat", "zpracovávat")</f>
        <v>zpracovávat</v>
      </c>
      <c r="D345" s="1" t="n">
        <v>4</v>
      </c>
      <c r="E345" s="1" t="n">
        <v>3</v>
      </c>
      <c r="F345" s="2" t="s">
        <v>21</v>
      </c>
      <c r="L345" s="1" t="s">
        <v>793</v>
      </c>
    </row>
    <row r="346" customFormat="false" ht="12.75" hidden="false" customHeight="false" outlineLevel="0" collapsed="false">
      <c r="A346" s="1" t="str">
        <f aca="false">HYPERLINK("https://lindat.mff.cuni.cz/services/PDT-Vallex4.5/PDT-Vallex4.5.html?verb=sbírat#v41kfqB", "v41kfqB")</f>
        <v>v41kfqB</v>
      </c>
      <c r="B346" s="1" t="s">
        <v>794</v>
      </c>
      <c r="C346" s="1" t="str">
        <f aca="false">HYPERLINK("https://lindat.mff.cuni.cz/services/PDT-Vallex4.5/PDT-Vallex4.5.html?verb=sbírat", "sbírat")</f>
        <v>sbírat</v>
      </c>
      <c r="D346" s="1" t="n">
        <v>4</v>
      </c>
      <c r="E346" s="1" t="n">
        <v>3</v>
      </c>
      <c r="F346" s="2" t="s">
        <v>795</v>
      </c>
      <c r="L346" s="1" t="s">
        <v>796</v>
      </c>
    </row>
    <row r="347" customFormat="false" ht="12.75" hidden="false" customHeight="false" outlineLevel="0" collapsed="false">
      <c r="A347" s="1" t="str">
        <f aca="false">HYPERLINK("https://lindat.mff.cuni.cz/services/PDT-Vallex4.5/PDT-Vallex4.5.html?verb=jednat#v41bhrC", "v41bhrC")</f>
        <v>v41bhrC</v>
      </c>
      <c r="B347" s="1" t="s">
        <v>797</v>
      </c>
      <c r="C347" s="1" t="str">
        <f aca="false">HYPERLINK("https://lindat.mff.cuni.cz/services/PDT-Vallex4.5/PDT-Vallex4.5.html?verb=jednat", "jednat")</f>
        <v>jednat</v>
      </c>
      <c r="D347" s="1" t="n">
        <v>4</v>
      </c>
      <c r="E347" s="1" t="n">
        <v>2</v>
      </c>
      <c r="F347" s="2" t="s">
        <v>16</v>
      </c>
      <c r="L347" s="1" t="s">
        <v>798</v>
      </c>
      <c r="M347" s="1" t="s">
        <v>799</v>
      </c>
    </row>
    <row r="348" customFormat="false" ht="12.75" hidden="false" customHeight="false" outlineLevel="0" collapsed="false">
      <c r="A348" s="1" t="str">
        <f aca="false">HYPERLINK("https://lindat.mff.cuni.cz/services/PDT-Vallex4.5/PDT-Vallex4.5.html?verb=ježit se#v41biaC", "v41biaC")</f>
        <v>v41biaC</v>
      </c>
      <c r="B348" s="1" t="s">
        <v>800</v>
      </c>
      <c r="C348" s="1" t="str">
        <f aca="false">HYPERLINK("https://lindat.mff.cuni.cz/services/PDT-Vallex4.5/PDT-Vallex4.5.html?verb=ježit se", "ježit se")</f>
        <v>ježit se</v>
      </c>
      <c r="D348" s="1" t="n">
        <v>3</v>
      </c>
      <c r="E348" s="1" t="n">
        <v>3</v>
      </c>
      <c r="F348" s="2" t="s">
        <v>16</v>
      </c>
      <c r="L348" s="1" t="s">
        <v>801</v>
      </c>
      <c r="M348" s="1" t="s">
        <v>303</v>
      </c>
    </row>
    <row r="349" customFormat="false" ht="12.75" hidden="false" customHeight="false" outlineLevel="0" collapsed="false">
      <c r="A349" s="1" t="str">
        <f aca="false">HYPERLINK("https://lindat.mff.cuni.cz/services/PDT-Vallex4.5/PDT-Vallex4.5.html?verb=dotýkat se#v41ahvB", "v41ahvB")</f>
        <v>v41ahvB</v>
      </c>
      <c r="B349" s="1" t="s">
        <v>802</v>
      </c>
      <c r="C349" s="1" t="str">
        <f aca="false">HYPERLINK("https://lindat.mff.cuni.cz/services/PDT-Vallex4.5/PDT-Vallex4.5.html?verb=dotýkat se", "dotýkat se")</f>
        <v>dotýkat se</v>
      </c>
      <c r="D349" s="1" t="n">
        <v>3</v>
      </c>
      <c r="E349" s="1" t="n">
        <v>1</v>
      </c>
      <c r="F349" s="2" t="s">
        <v>803</v>
      </c>
      <c r="L349" s="1" t="s">
        <v>804</v>
      </c>
    </row>
    <row r="350" customFormat="false" ht="12.75" hidden="false" customHeight="false" outlineLevel="0" collapsed="false">
      <c r="A350" s="1" t="str">
        <f aca="false">HYPERLINK("https://lindat.mff.cuni.cz/services/PDT-Vallex4.5/PDT-Vallex4.5.html?verb=pojmenovávat#v41gafB", "v41gafB")</f>
        <v>v41gafB</v>
      </c>
      <c r="B350" s="1" t="s">
        <v>805</v>
      </c>
      <c r="C350" s="1" t="str">
        <f aca="false">HYPERLINK("https://lindat.mff.cuni.cz/services/PDT-Vallex4.5/PDT-Vallex4.5.html?verb=pojmenovávat", "pojmenovávat")</f>
        <v>pojmenovávat</v>
      </c>
      <c r="D350" s="1" t="n">
        <v>3</v>
      </c>
      <c r="E350" s="1" t="n">
        <v>2</v>
      </c>
      <c r="F350" s="2" t="s">
        <v>806</v>
      </c>
      <c r="L350" s="1" t="s">
        <v>807</v>
      </c>
    </row>
    <row r="351" customFormat="false" ht="12.75" hidden="false" customHeight="false" outlineLevel="0" collapsed="false">
      <c r="A351" s="1" t="str">
        <f aca="false">HYPERLINK("https://lindat.mff.cuni.cz/services/PDT-Vallex4.5/PDT-Vallex4.5.html?verb=ohlížet se#v41eoyB", "v41eoyB")</f>
        <v>v41eoyB</v>
      </c>
      <c r="B351" s="1" t="s">
        <v>808</v>
      </c>
      <c r="C351" s="1" t="str">
        <f aca="false">HYPERLINK("https://lindat.mff.cuni.cz/services/PDT-Vallex4.5/PDT-Vallex4.5.html?verb=ohlížet se", "ohlížet se")</f>
        <v>ohlížet se</v>
      </c>
      <c r="D351" s="1" t="n">
        <v>3</v>
      </c>
      <c r="E351" s="1" t="n">
        <v>3</v>
      </c>
      <c r="F351" s="2" t="s">
        <v>809</v>
      </c>
      <c r="L351" s="1" t="s">
        <v>810</v>
      </c>
    </row>
    <row r="352" customFormat="false" ht="12.75" hidden="false" customHeight="false" outlineLevel="0" collapsed="false">
      <c r="A352" s="1" t="str">
        <f aca="false">HYPERLINK("https://lindat.mff.cuni.cz/services/PDT-Vallex4.5/PDT-Vallex4.5.html?verb=zaniknout#v41qdnC", "v41qdnC")</f>
        <v>v41qdnC</v>
      </c>
      <c r="B352" s="1" t="s">
        <v>811</v>
      </c>
      <c r="C352" s="1" t="str">
        <f aca="false">HYPERLINK("https://lindat.mff.cuni.cz/services/PDT-Vallex4.5/PDT-Vallex4.5.html?verb=zaniknout", "zaniknout")</f>
        <v>zaniknout</v>
      </c>
      <c r="D352" s="1" t="n">
        <v>3</v>
      </c>
      <c r="E352" s="1" t="n">
        <v>2</v>
      </c>
      <c r="F352" s="2" t="s">
        <v>16</v>
      </c>
      <c r="L352" s="1" t="s">
        <v>812</v>
      </c>
      <c r="M352" s="1" t="s">
        <v>813</v>
      </c>
    </row>
    <row r="353" customFormat="false" ht="12.75" hidden="false" customHeight="false" outlineLevel="0" collapsed="false">
      <c r="A353" s="1" t="str">
        <f aca="false">HYPERLINK("https://lindat.mff.cuni.cz/services/PDT-Vallex4.5/PDT-Vallex4.5.html?verb=cílit#v41krB", "v41krB")</f>
        <v>v41krB</v>
      </c>
      <c r="B353" s="1" t="s">
        <v>814</v>
      </c>
      <c r="C353" s="1" t="str">
        <f aca="false">HYPERLINK("https://lindat.mff.cuni.cz/services/PDT-Vallex4.5/PDT-Vallex4.5.html?verb=cílit", "cílit")</f>
        <v>cílit</v>
      </c>
      <c r="D353" s="1" t="n">
        <v>3</v>
      </c>
      <c r="E353" s="1" t="n">
        <v>2</v>
      </c>
      <c r="F353" s="2" t="s">
        <v>16</v>
      </c>
      <c r="L353" s="1" t="s">
        <v>815</v>
      </c>
      <c r="M353" s="1" t="s">
        <v>799</v>
      </c>
    </row>
    <row r="354" customFormat="false" ht="12.75" hidden="false" customHeight="false" outlineLevel="0" collapsed="false">
      <c r="A354" s="1" t="str">
        <f aca="false">HYPERLINK("https://lindat.mff.cuni.cz/services/PDT-Vallex4.5/PDT-Vallex4.5.html?verb=přenést se#v41ifjC", "v41ifjC")</f>
        <v>v41ifjC</v>
      </c>
      <c r="B354" s="1" t="s">
        <v>816</v>
      </c>
      <c r="C354" s="1" t="str">
        <f aca="false">HYPERLINK("https://lindat.mff.cuni.cz/services/PDT-Vallex4.5/PDT-Vallex4.5.html?verb=přenést se", "přenést se")</f>
        <v>přenést se</v>
      </c>
      <c r="D354" s="1" t="n">
        <v>3</v>
      </c>
      <c r="E354" s="1" t="n">
        <v>2</v>
      </c>
      <c r="F354" s="2" t="s">
        <v>817</v>
      </c>
      <c r="L354" s="1" t="s">
        <v>818</v>
      </c>
    </row>
    <row r="355" customFormat="false" ht="12.75" hidden="false" customHeight="false" outlineLevel="0" collapsed="false">
      <c r="A355" s="1" t="str">
        <f aca="false">HYPERLINK("https://lindat.mff.cuni.cz/services/PDT-Vallex4.5/PDT-Vallex4.5.html?verb=plodit#v41fnvA", "v41fnvA")</f>
        <v>v41fnvA</v>
      </c>
      <c r="B355" s="1" t="s">
        <v>819</v>
      </c>
      <c r="C355" s="1" t="str">
        <f aca="false">HYPERLINK("https://lindat.mff.cuni.cz/services/PDT-Vallex4.5/PDT-Vallex4.5.html?verb=plodit", "plodit")</f>
        <v>plodit</v>
      </c>
      <c r="D355" s="1" t="n">
        <v>3</v>
      </c>
      <c r="E355" s="1" t="n">
        <v>2</v>
      </c>
      <c r="F355" s="2" t="s">
        <v>148</v>
      </c>
      <c r="L355" s="1" t="s">
        <v>820</v>
      </c>
    </row>
    <row r="356" customFormat="false" ht="12.75" hidden="false" customHeight="false" outlineLevel="0" collapsed="false">
      <c r="A356" s="1" t="str">
        <f aca="false">HYPERLINK("https://lindat.mff.cuni.cz/services/PDT-Vallex4.5/PDT-Vallex4.5.html?verb=plodit#v41fnvC", "v41fnvC")</f>
        <v>v41fnvC</v>
      </c>
      <c r="B356" s="1" t="s">
        <v>819</v>
      </c>
      <c r="C356" s="1" t="str">
        <f aca="false">HYPERLINK("https://lindat.mff.cuni.cz/services/PDT-Vallex4.5/PDT-Vallex4.5.html?verb=plodit", "plodit")</f>
        <v>plodit</v>
      </c>
      <c r="D356" s="1" t="n">
        <v>3</v>
      </c>
      <c r="E356" s="1" t="n">
        <v>2</v>
      </c>
      <c r="F356" s="2" t="s">
        <v>821</v>
      </c>
      <c r="L356" s="1" t="s">
        <v>822</v>
      </c>
    </row>
    <row r="357" customFormat="false" ht="12.75" hidden="false" customHeight="false" outlineLevel="0" collapsed="false">
      <c r="A357" s="1" t="str">
        <f aca="false">HYPERLINK("https://lindat.mff.cuni.cz/services/PDT-Vallex4.5/PDT-Vallex4.5.html?verb=stáhnout se#v41lhkC", "v41lhkC")</f>
        <v>v41lhkC</v>
      </c>
      <c r="B357" s="1" t="s">
        <v>823</v>
      </c>
      <c r="C357" s="1" t="str">
        <f aca="false">HYPERLINK("https://lindat.mff.cuni.cz/services/PDT-Vallex4.5/PDT-Vallex4.5.html?verb=stáhnout se", "stáhnout se")</f>
        <v>stáhnout se</v>
      </c>
      <c r="D357" s="1" t="n">
        <v>3</v>
      </c>
      <c r="E357" s="1" t="n">
        <v>2</v>
      </c>
      <c r="F357" s="2" t="s">
        <v>824</v>
      </c>
      <c r="L357" s="1" t="s">
        <v>825</v>
      </c>
    </row>
    <row r="358" customFormat="false" ht="12.75" hidden="false" customHeight="false" outlineLevel="0" collapsed="false">
      <c r="A358" s="1" t="str">
        <f aca="false">HYPERLINK("https://lindat.mff.cuni.cz/services/PDT-Vallex4.5/PDT-Vallex4.5.html?verb=vracet#v41npuB", "v41npuB")</f>
        <v>v41npuB</v>
      </c>
      <c r="B358" s="1" t="s">
        <v>826</v>
      </c>
      <c r="C358" s="1" t="str">
        <f aca="false">HYPERLINK("https://lindat.mff.cuni.cz/services/PDT-Vallex4.5/PDT-Vallex4.5.html?verb=vracet", "vracet")</f>
        <v>vracet</v>
      </c>
      <c r="D358" s="1" t="n">
        <v>3</v>
      </c>
      <c r="E358" s="1" t="n">
        <v>1</v>
      </c>
      <c r="F358" s="2" t="s">
        <v>16</v>
      </c>
      <c r="L358" s="1" t="s">
        <v>827</v>
      </c>
      <c r="M358" s="1" t="s">
        <v>781</v>
      </c>
      <c r="N358" s="1" t="s">
        <v>828</v>
      </c>
    </row>
    <row r="359" customFormat="false" ht="12.75" hidden="false" customHeight="false" outlineLevel="0" collapsed="false">
      <c r="A359" s="1" t="str">
        <f aca="false">HYPERLINK("https://lindat.mff.cuni.cz/services/PDT-Vallex4.5/PDT-Vallex4.5.html?verb=roznášet#v41jupA", "v41jupA")</f>
        <v>v41jupA</v>
      </c>
      <c r="B359" s="1" t="s">
        <v>829</v>
      </c>
      <c r="C359" s="1" t="str">
        <f aca="false">HYPERLINK("https://lindat.mff.cuni.cz/services/PDT-Vallex4.5/PDT-Vallex4.5.html?verb=roznášet", "roznášet")</f>
        <v>roznášet</v>
      </c>
      <c r="D359" s="1" t="n">
        <v>3</v>
      </c>
      <c r="E359" s="1" t="n">
        <v>2</v>
      </c>
      <c r="F359" s="2" t="s">
        <v>16</v>
      </c>
      <c r="L359" s="1" t="s">
        <v>777</v>
      </c>
      <c r="M359" s="1" t="s">
        <v>778</v>
      </c>
    </row>
    <row r="360" customFormat="false" ht="12.75" hidden="false" customHeight="false" outlineLevel="0" collapsed="false">
      <c r="A360" s="1" t="str">
        <f aca="false">HYPERLINK("https://lindat.mff.cuni.cz/services/PDT-Vallex4.5/PDT-Vallex4.5.html?verb=zaspat#v41qlrA", "v41qlrA")</f>
        <v>v41qlrA</v>
      </c>
      <c r="B360" s="1" t="s">
        <v>830</v>
      </c>
      <c r="C360" s="1" t="str">
        <f aca="false">HYPERLINK("https://lindat.mff.cuni.cz/services/PDT-Vallex4.5/PDT-Vallex4.5.html?verb=zaspat", "zaspat")</f>
        <v>zaspat</v>
      </c>
      <c r="D360" s="1" t="n">
        <v>3</v>
      </c>
      <c r="E360" s="1" t="n">
        <v>3</v>
      </c>
      <c r="F360" s="2" t="s">
        <v>299</v>
      </c>
      <c r="L360" s="1" t="s">
        <v>300</v>
      </c>
      <c r="N360" s="1" t="s">
        <v>831</v>
      </c>
    </row>
    <row r="361" customFormat="false" ht="12.75" hidden="false" customHeight="false" outlineLevel="0" collapsed="false">
      <c r="A361" s="1" t="str">
        <f aca="false">HYPERLINK("https://lindat.mff.cuni.cz/services/PDT-Vallex4.5/PDT-Vallex4.5.html?verb=zaspat#v41qlrB", "v41qlrB")</f>
        <v>v41qlrB</v>
      </c>
      <c r="B361" s="1" t="s">
        <v>830</v>
      </c>
      <c r="C361" s="1" t="str">
        <f aca="false">HYPERLINK("https://lindat.mff.cuni.cz/services/PDT-Vallex4.5/PDT-Vallex4.5.html?verb=zaspat", "zaspat")</f>
        <v>zaspat</v>
      </c>
      <c r="D361" s="1" t="n">
        <v>3</v>
      </c>
      <c r="E361" s="1" t="n">
        <v>3</v>
      </c>
      <c r="F361" s="2" t="s">
        <v>35</v>
      </c>
      <c r="L361" s="1" t="s">
        <v>679</v>
      </c>
      <c r="N361" s="1" t="s">
        <v>832</v>
      </c>
    </row>
    <row r="362" customFormat="false" ht="12.75" hidden="false" customHeight="false" outlineLevel="0" collapsed="false">
      <c r="A362" s="1" t="str">
        <f aca="false">HYPERLINK("https://lindat.mff.cuni.cz/services/PDT-Vallex4.5/PDT-Vallex4.5.html?verb=vydávat se#v41nxbA", "v41nxbA")</f>
        <v>v41nxbA</v>
      </c>
      <c r="B362" s="1" t="s">
        <v>833</v>
      </c>
      <c r="C362" s="1" t="str">
        <f aca="false">HYPERLINK("https://lindat.mff.cuni.cz/services/PDT-Vallex4.5/PDT-Vallex4.5.html?verb=vydávat se", "vydávat se")</f>
        <v>vydávat se</v>
      </c>
      <c r="D362" s="1" t="n">
        <v>3</v>
      </c>
      <c r="E362" s="1" t="n">
        <v>1</v>
      </c>
      <c r="F362" s="2" t="s">
        <v>16</v>
      </c>
      <c r="L362" s="1" t="s">
        <v>834</v>
      </c>
      <c r="M362" s="1" t="s">
        <v>835</v>
      </c>
    </row>
    <row r="363" customFormat="false" ht="12.75" hidden="false" customHeight="false" outlineLevel="0" collapsed="false">
      <c r="A363" s="1" t="str">
        <f aca="false">HYPERLINK("https://lindat.mff.cuni.cz/services/PDT-Vallex4.5/PDT-Vallex4.5.html?verb=skrývat#v41krsA", "v41krsA")</f>
        <v>v41krsA</v>
      </c>
      <c r="B363" s="1" t="s">
        <v>836</v>
      </c>
      <c r="C363" s="1" t="str">
        <f aca="false">HYPERLINK("https://lindat.mff.cuni.cz/services/PDT-Vallex4.5/PDT-Vallex4.5.html?verb=skrývat", "skrývat")</f>
        <v>skrývat</v>
      </c>
      <c r="D363" s="1" t="n">
        <v>3</v>
      </c>
      <c r="E363" s="1" t="n">
        <v>2</v>
      </c>
      <c r="F363" s="2" t="s">
        <v>837</v>
      </c>
      <c r="L363" s="1" t="s">
        <v>838</v>
      </c>
    </row>
    <row r="364" customFormat="false" ht="12.75" hidden="false" customHeight="false" outlineLevel="0" collapsed="false">
      <c r="A364" s="1" t="str">
        <f aca="false">HYPERLINK("https://lindat.mff.cuni.cz/services/PDT-Vallex4.5/PDT-Vallex4.5.html?verb=shrnovat#v41kmyC", "v41kmyC")</f>
        <v>v41kmyC</v>
      </c>
      <c r="B364" s="1" t="s">
        <v>839</v>
      </c>
      <c r="C364" s="1" t="str">
        <f aca="false">HYPERLINK("https://lindat.mff.cuni.cz/services/PDT-Vallex4.5/PDT-Vallex4.5.html?verb=shrnovat", "shrnovat")</f>
        <v>shrnovat</v>
      </c>
      <c r="D364" s="1" t="n">
        <v>3</v>
      </c>
      <c r="E364" s="1" t="n">
        <v>1</v>
      </c>
      <c r="F364" s="2" t="s">
        <v>840</v>
      </c>
      <c r="L364" s="1" t="s">
        <v>841</v>
      </c>
    </row>
    <row r="365" customFormat="false" ht="12.75" hidden="false" customHeight="false" outlineLevel="0" collapsed="false">
      <c r="A365" s="1" t="str">
        <f aca="false">HYPERLINK("https://lindat.mff.cuni.cz/services/PDT-Vallex4.5/PDT-Vallex4.5.html?verb=doplácet#v41achB", "v41achB")</f>
        <v>v41achB</v>
      </c>
      <c r="B365" s="1" t="s">
        <v>842</v>
      </c>
      <c r="C365" s="1" t="str">
        <f aca="false">HYPERLINK("https://lindat.mff.cuni.cz/services/PDT-Vallex4.5/PDT-Vallex4.5.html?verb=doplácet", "doplácet")</f>
        <v>doplácet</v>
      </c>
      <c r="D365" s="1" t="n">
        <v>3</v>
      </c>
      <c r="E365" s="1" t="n">
        <v>1</v>
      </c>
      <c r="F365" s="2" t="s">
        <v>440</v>
      </c>
      <c r="L365" s="1" t="s">
        <v>843</v>
      </c>
    </row>
    <row r="366" customFormat="false" ht="12.75" hidden="false" customHeight="false" outlineLevel="0" collapsed="false">
      <c r="A366" s="1" t="str">
        <f aca="false">HYPERLINK("https://lindat.mff.cuni.cz/services/PDT-Vallex4.5/PDT-Vallex4.5.html?verb=odvrátit#v41ensA", "v41ensA")</f>
        <v>v41ensA</v>
      </c>
      <c r="B366" s="1" t="s">
        <v>844</v>
      </c>
      <c r="C366" s="1" t="str">
        <f aca="false">HYPERLINK("https://lindat.mff.cuni.cz/services/PDT-Vallex4.5/PDT-Vallex4.5.html?verb=odvrátit", "odvrátit")</f>
        <v>odvrátit</v>
      </c>
      <c r="D366" s="1" t="n">
        <v>3</v>
      </c>
      <c r="E366" s="1" t="n">
        <v>2</v>
      </c>
      <c r="F366" s="2" t="s">
        <v>845</v>
      </c>
      <c r="L366" s="1" t="s">
        <v>846</v>
      </c>
    </row>
    <row r="367" customFormat="false" ht="12.75" hidden="false" customHeight="false" outlineLevel="0" collapsed="false">
      <c r="A367" s="1" t="str">
        <f aca="false">HYPERLINK("https://lindat.mff.cuni.cz/services/PDT-Vallex4.5/PDT-Vallex4.5.html?verb=překrýt#v41icrA", "v41icrA")</f>
        <v>v41icrA</v>
      </c>
      <c r="B367" s="1" t="s">
        <v>847</v>
      </c>
      <c r="C367" s="1" t="str">
        <f aca="false">HYPERLINK("https://lindat.mff.cuni.cz/services/PDT-Vallex4.5/PDT-Vallex4.5.html?verb=překrýt", "překrýt")</f>
        <v>překrýt</v>
      </c>
      <c r="D367" s="1" t="n">
        <v>3</v>
      </c>
      <c r="E367" s="1" t="n">
        <v>3</v>
      </c>
      <c r="F367" s="2" t="s">
        <v>621</v>
      </c>
      <c r="L367" s="1" t="s">
        <v>848</v>
      </c>
    </row>
    <row r="368" customFormat="false" ht="12.75" hidden="false" customHeight="false" outlineLevel="0" collapsed="false">
      <c r="A368" s="1" t="str">
        <f aca="false">HYPERLINK("https://lindat.mff.cuni.cz/services/PDT-Vallex4.5/PDT-Vallex4.5.html?verb=zakopávat#v41pxtB", "v41pxtB")</f>
        <v>v41pxtB</v>
      </c>
      <c r="B368" s="1" t="s">
        <v>849</v>
      </c>
      <c r="C368" s="1" t="str">
        <f aca="false">HYPERLINK("https://lindat.mff.cuni.cz/services/PDT-Vallex4.5/PDT-Vallex4.5.html?verb=zakopávat", "zakopávat")</f>
        <v>zakopávat</v>
      </c>
      <c r="D368" s="1" t="n">
        <v>3</v>
      </c>
      <c r="E368" s="1" t="n">
        <v>2</v>
      </c>
      <c r="F368" s="2" t="s">
        <v>16</v>
      </c>
      <c r="L368" s="1" t="s">
        <v>850</v>
      </c>
      <c r="M368" s="1" t="s">
        <v>799</v>
      </c>
    </row>
    <row r="369" customFormat="false" ht="12.75" hidden="false" customHeight="false" outlineLevel="0" collapsed="false">
      <c r="A369" s="1" t="str">
        <f aca="false">HYPERLINK("https://lindat.mff.cuni.cz/services/PDT-Vallex4.5/PDT-Vallex4.5.html?verb=bolet#v41gxB", "v41gxB")</f>
        <v>v41gxB</v>
      </c>
      <c r="B369" s="1" t="s">
        <v>851</v>
      </c>
      <c r="C369" s="1" t="str">
        <f aca="false">HYPERLINK("https://lindat.mff.cuni.cz/services/PDT-Vallex4.5/PDT-Vallex4.5.html?verb=bolet", "bolet")</f>
        <v>bolet</v>
      </c>
      <c r="D369" s="1" t="n">
        <v>3</v>
      </c>
      <c r="E369" s="1" t="n">
        <v>2</v>
      </c>
      <c r="F369" s="2" t="s">
        <v>16</v>
      </c>
      <c r="L369" s="1" t="s">
        <v>852</v>
      </c>
      <c r="M369" s="1" t="s">
        <v>853</v>
      </c>
    </row>
    <row r="370" customFormat="false" ht="12.75" hidden="false" customHeight="false" outlineLevel="0" collapsed="false">
      <c r="A370" s="1" t="str">
        <f aca="false">HYPERLINK("https://lindat.mff.cuni.cz/services/PDT-Vallex4.5/PDT-Vallex4.5.html?verb=splácet#v41lbnA", "v41lbnA")</f>
        <v>v41lbnA</v>
      </c>
      <c r="B370" s="1" t="s">
        <v>854</v>
      </c>
      <c r="C370" s="1" t="str">
        <f aca="false">HYPERLINK("https://lindat.mff.cuni.cz/services/PDT-Vallex4.5/PDT-Vallex4.5.html?verb=splácet", "splácet")</f>
        <v>splácet</v>
      </c>
      <c r="D370" s="1" t="n">
        <v>3</v>
      </c>
      <c r="E370" s="1" t="n">
        <v>2</v>
      </c>
      <c r="F370" s="2" t="s">
        <v>16</v>
      </c>
      <c r="L370" s="1" t="s">
        <v>855</v>
      </c>
      <c r="M370" s="1" t="s">
        <v>856</v>
      </c>
    </row>
    <row r="371" customFormat="false" ht="12.75" hidden="false" customHeight="false" outlineLevel="0" collapsed="false">
      <c r="A371" s="1" t="str">
        <f aca="false">HYPERLINK("https://lindat.mff.cuni.cz/services/PDT-Vallex4.5/PDT-Vallex4.5.html?verb=usazovat se#v41murB", "v41murB")</f>
        <v>v41murB</v>
      </c>
      <c r="B371" s="1" t="s">
        <v>857</v>
      </c>
      <c r="C371" s="1" t="str">
        <f aca="false">HYPERLINK("https://lindat.mff.cuni.cz/services/PDT-Vallex4.5/PDT-Vallex4.5.html?verb=usazovat se", "usazovat se")</f>
        <v>usazovat se</v>
      </c>
      <c r="D371" s="1" t="n">
        <v>3</v>
      </c>
      <c r="E371" s="1" t="n">
        <v>1</v>
      </c>
      <c r="F371" s="2" t="s">
        <v>559</v>
      </c>
      <c r="L371" s="1" t="s">
        <v>560</v>
      </c>
    </row>
    <row r="372" customFormat="false" ht="12.75" hidden="false" customHeight="false" outlineLevel="0" collapsed="false">
      <c r="A372" s="1" t="str">
        <f aca="false">HYPERLINK("https://lindat.mff.cuni.cz/services/PDT-Vallex4.5/PDT-Vallex4.5.html?verb=ozývat se#v41fgnA", "v41fgnA")</f>
        <v>v41fgnA</v>
      </c>
      <c r="B372" s="1" t="s">
        <v>858</v>
      </c>
      <c r="C372" s="1" t="str">
        <f aca="false">HYPERLINK("https://lindat.mff.cuni.cz/services/PDT-Vallex4.5/PDT-Vallex4.5.html?verb=ozývat se", "ozývat se")</f>
        <v>ozývat se</v>
      </c>
      <c r="D372" s="1" t="n">
        <v>3</v>
      </c>
      <c r="E372" s="1" t="n">
        <v>2</v>
      </c>
      <c r="F372" s="2" t="s">
        <v>859</v>
      </c>
      <c r="L372" s="1" t="s">
        <v>860</v>
      </c>
      <c r="N372" s="1" t="s">
        <v>861</v>
      </c>
    </row>
    <row r="373" customFormat="false" ht="12.75" hidden="false" customHeight="false" outlineLevel="0" collapsed="false">
      <c r="A373" s="1" t="str">
        <f aca="false">HYPERLINK("https://lindat.mff.cuni.cz/services/PDT-Vallex4.5/PDT-Vallex4.5.html?verb=vyklízet#v41ofeA", "v41ofeA")</f>
        <v>v41ofeA</v>
      </c>
      <c r="B373" s="1" t="s">
        <v>862</v>
      </c>
      <c r="C373" s="1" t="str">
        <f aca="false">HYPERLINK("https://lindat.mff.cuni.cz/services/PDT-Vallex4.5/PDT-Vallex4.5.html?verb=vyklízet", "vyklízet")</f>
        <v>vyklízet</v>
      </c>
      <c r="D373" s="1" t="n">
        <v>3</v>
      </c>
      <c r="E373" s="1" t="n">
        <v>2</v>
      </c>
      <c r="F373" s="2" t="s">
        <v>863</v>
      </c>
      <c r="L373" s="1" t="s">
        <v>864</v>
      </c>
    </row>
    <row r="374" customFormat="false" ht="12.75" hidden="false" customHeight="false" outlineLevel="0" collapsed="false">
      <c r="A374" s="1" t="str">
        <f aca="false">HYPERLINK("https://lindat.mff.cuni.cz/services/PDT-Vallex4.5/PDT-Vallex4.5.html?verb=spojovat se#v41ldbC", "v41ldbC")</f>
        <v>v41ldbC</v>
      </c>
      <c r="B374" s="1" t="s">
        <v>865</v>
      </c>
      <c r="C374" s="1" t="str">
        <f aca="false">HYPERLINK("https://lindat.mff.cuni.cz/services/PDT-Vallex4.5/PDT-Vallex4.5.html?verb=spojovat se", "spojovat se")</f>
        <v>spojovat se</v>
      </c>
      <c r="D374" s="1" t="n">
        <v>3</v>
      </c>
      <c r="E374" s="1" t="n">
        <v>2</v>
      </c>
      <c r="F374" s="2" t="s">
        <v>366</v>
      </c>
      <c r="L374" s="1" t="s">
        <v>866</v>
      </c>
    </row>
    <row r="375" customFormat="false" ht="12.75" hidden="false" customHeight="false" outlineLevel="0" collapsed="false">
      <c r="A375" s="1" t="str">
        <f aca="false">HYPERLINK("https://lindat.mff.cuni.cz/services/PDT-Vallex4.5/PDT-Vallex4.5.html?verb=vyzvednout#v41pjtC", "v41pjtC")</f>
        <v>v41pjtC</v>
      </c>
      <c r="B375" s="1" t="s">
        <v>867</v>
      </c>
      <c r="C375" s="1" t="str">
        <f aca="false">HYPERLINK("https://lindat.mff.cuni.cz/services/PDT-Vallex4.5/PDT-Vallex4.5.html?verb=vyzvednout", "vyzvednout")</f>
        <v>vyzvednout</v>
      </c>
      <c r="D375" s="1" t="n">
        <v>3</v>
      </c>
      <c r="E375" s="1" t="n">
        <v>2</v>
      </c>
      <c r="F375" s="2" t="s">
        <v>83</v>
      </c>
      <c r="L375" s="1" t="s">
        <v>84</v>
      </c>
    </row>
    <row r="376" customFormat="false" ht="12.75" hidden="false" customHeight="false" outlineLevel="0" collapsed="false">
      <c r="A376" s="1" t="str">
        <f aca="false">HYPERLINK("https://lindat.mff.cuni.cz/services/PDT-Vallex4.5/PDT-Vallex4.5.html?verb=zapět#v41qelA", "v41qelA")</f>
        <v>v41qelA</v>
      </c>
      <c r="B376" s="1" t="s">
        <v>868</v>
      </c>
      <c r="C376" s="1" t="str">
        <f aca="false">HYPERLINK("https://lindat.mff.cuni.cz/services/PDT-Vallex4.5/PDT-Vallex4.5.html?verb=zapět", "zapět")</f>
        <v>zapět</v>
      </c>
      <c r="D376" s="1" t="n">
        <v>3</v>
      </c>
      <c r="E376" s="1" t="n">
        <v>3</v>
      </c>
      <c r="F376" s="2" t="s">
        <v>16</v>
      </c>
      <c r="L376" s="1" t="s">
        <v>869</v>
      </c>
      <c r="M376" s="1" t="s">
        <v>870</v>
      </c>
    </row>
    <row r="377" customFormat="false" ht="12.75" hidden="false" customHeight="false" outlineLevel="0" collapsed="false">
      <c r="A377" s="1" t="str">
        <f aca="false">HYPERLINK("https://lindat.mff.cuni.cz/services/PDT-Vallex4.5/PDT-Vallex4.5.html?verb=zapět#v41qelC", "v41qelC")</f>
        <v>v41qelC</v>
      </c>
      <c r="B377" s="1" t="s">
        <v>868</v>
      </c>
      <c r="C377" s="1" t="str">
        <f aca="false">HYPERLINK("https://lindat.mff.cuni.cz/services/PDT-Vallex4.5/PDT-Vallex4.5.html?verb=zapět", "zapět")</f>
        <v>zapět</v>
      </c>
      <c r="D377" s="1" t="n">
        <v>3</v>
      </c>
      <c r="E377" s="1" t="n">
        <v>3</v>
      </c>
      <c r="F377" s="2" t="s">
        <v>582</v>
      </c>
      <c r="L377" s="1" t="s">
        <v>869</v>
      </c>
    </row>
    <row r="378" customFormat="false" ht="12.75" hidden="false" customHeight="false" outlineLevel="0" collapsed="false">
      <c r="A378" s="1" t="str">
        <f aca="false">HYPERLINK("https://lindat.mff.cuni.cz/services/PDT-Vallex4.5/PDT-Vallex4.5.html?verb=trhat#v41mccC", "v41mccC")</f>
        <v>v41mccC</v>
      </c>
      <c r="B378" s="1" t="s">
        <v>871</v>
      </c>
      <c r="C378" s="1" t="str">
        <f aca="false">HYPERLINK("https://lindat.mff.cuni.cz/services/PDT-Vallex4.5/PDT-Vallex4.5.html?verb=trhat", "trhat")</f>
        <v>trhat</v>
      </c>
      <c r="D378" s="1" t="n">
        <v>3</v>
      </c>
      <c r="E378" s="1" t="n">
        <v>2</v>
      </c>
      <c r="F378" s="2" t="s">
        <v>16</v>
      </c>
      <c r="L378" s="1" t="s">
        <v>872</v>
      </c>
      <c r="M378" s="1" t="s">
        <v>377</v>
      </c>
    </row>
    <row r="379" customFormat="false" ht="12.75" hidden="false" customHeight="false" outlineLevel="0" collapsed="false">
      <c r="A379" s="1" t="str">
        <f aca="false">HYPERLINK("https://lindat.mff.cuni.cz/services/PDT-Vallex4.5/PDT-Vallex4.5.html?verb=zarážet#v41qifA", "v41qifA")</f>
        <v>v41qifA</v>
      </c>
      <c r="B379" s="1" t="s">
        <v>873</v>
      </c>
      <c r="C379" s="1" t="str">
        <f aca="false">HYPERLINK("https://lindat.mff.cuni.cz/services/PDT-Vallex4.5/PDT-Vallex4.5.html?verb=zarážet", "zarážet")</f>
        <v>zarážet</v>
      </c>
      <c r="D379" s="1" t="n">
        <v>3</v>
      </c>
      <c r="E379" s="1" t="n">
        <v>1</v>
      </c>
      <c r="F379" s="2" t="s">
        <v>16</v>
      </c>
      <c r="L379" s="1" t="s">
        <v>732</v>
      </c>
      <c r="M379" s="1" t="s">
        <v>733</v>
      </c>
    </row>
    <row r="380" customFormat="false" ht="12.75" hidden="false" customHeight="false" outlineLevel="0" collapsed="false">
      <c r="A380" s="1" t="str">
        <f aca="false">HYPERLINK("https://lindat.mff.cuni.cz/services/PDT-Vallex4.5/PDT-Vallex4.5.html?verb=tvrdit#v41merB", "v41merB")</f>
        <v>v41merB</v>
      </c>
      <c r="B380" s="1" t="s">
        <v>874</v>
      </c>
      <c r="C380" s="1" t="str">
        <f aca="false">HYPERLINK("https://lindat.mff.cuni.cz/services/PDT-Vallex4.5/PDT-Vallex4.5.html?verb=tvrdit", "tvrdit")</f>
        <v>tvrdit</v>
      </c>
      <c r="D380" s="1" t="n">
        <v>3</v>
      </c>
      <c r="E380" s="1" t="n">
        <v>2</v>
      </c>
      <c r="F380" s="2" t="s">
        <v>16</v>
      </c>
      <c r="L380" s="1" t="s">
        <v>875</v>
      </c>
      <c r="M380" s="1" t="s">
        <v>876</v>
      </c>
      <c r="N380" s="0" t="s">
        <v>877</v>
      </c>
    </row>
    <row r="381" customFormat="false" ht="12.75" hidden="false" customHeight="false" outlineLevel="0" collapsed="false">
      <c r="A381" s="1" t="str">
        <f aca="false">HYPERLINK("https://lindat.mff.cuni.cz/services/PDT-Vallex4.5/PDT-Vallex4.5.html?verb=tvrdit#v41merC", "v41merC")</f>
        <v>v41merC</v>
      </c>
      <c r="B381" s="1" t="s">
        <v>874</v>
      </c>
      <c r="C381" s="1" t="str">
        <f aca="false">HYPERLINK("https://lindat.mff.cuni.cz/services/PDT-Vallex4.5/PDT-Vallex4.5.html?verb=tvrdit", "tvrdit")</f>
        <v>tvrdit</v>
      </c>
      <c r="D381" s="1" t="n">
        <v>3</v>
      </c>
      <c r="E381" s="1" t="n">
        <v>2</v>
      </c>
      <c r="F381" s="2" t="s">
        <v>16</v>
      </c>
      <c r="L381" s="1" t="s">
        <v>878</v>
      </c>
      <c r="M381" s="1" t="s">
        <v>870</v>
      </c>
    </row>
    <row r="382" customFormat="false" ht="12.75" hidden="false" customHeight="false" outlineLevel="0" collapsed="false">
      <c r="A382" s="1" t="str">
        <f aca="false">HYPERLINK("https://lindat.mff.cuni.cz/services/PDT-Vallex4.5/PDT-Vallex4.5.html?verb=diferencovat se#v41tuA", "v41tuA")</f>
        <v>v41tuA</v>
      </c>
      <c r="B382" s="1" t="s">
        <v>879</v>
      </c>
      <c r="C382" s="1" t="str">
        <f aca="false">HYPERLINK("https://lindat.mff.cuni.cz/services/PDT-Vallex4.5/PDT-Vallex4.5.html?verb=diferencovat se", "diferencovat se")</f>
        <v>diferencovat se</v>
      </c>
      <c r="D382" s="1" t="n">
        <v>3</v>
      </c>
      <c r="E382" s="1" t="n">
        <v>2</v>
      </c>
      <c r="F382" s="2" t="s">
        <v>880</v>
      </c>
      <c r="L382" s="1" t="s">
        <v>881</v>
      </c>
    </row>
    <row r="383" customFormat="false" ht="12.75" hidden="false" customHeight="false" outlineLevel="0" collapsed="false">
      <c r="A383" s="1" t="str">
        <f aca="false">HYPERLINK("https://lindat.mff.cuni.cz/services/PDT-Vallex4.5/PDT-Vallex4.5.html?verb=myslit si#v41ckmB", "v41ckmB")</f>
        <v>v41ckmB</v>
      </c>
      <c r="B383" s="1" t="s">
        <v>882</v>
      </c>
      <c r="C383" s="1" t="str">
        <f aca="false">HYPERLINK("https://lindat.mff.cuni.cz/services/PDT-Vallex4.5/PDT-Vallex4.5.html?verb=myslit si", "myslit si")</f>
        <v>myslit si</v>
      </c>
      <c r="D383" s="1" t="n">
        <v>3</v>
      </c>
      <c r="E383" s="1" t="n">
        <v>3</v>
      </c>
      <c r="F383" s="2" t="s">
        <v>883</v>
      </c>
      <c r="L383" s="1" t="s">
        <v>884</v>
      </c>
    </row>
    <row r="384" customFormat="false" ht="12.75" hidden="false" customHeight="false" outlineLevel="0" collapsed="false">
      <c r="A384" s="1" t="str">
        <f aca="false">HYPERLINK("https://lindat.mff.cuni.cz/services/PDT-Vallex4.5/PDT-Vallex4.5.html?verb=orientovat#v41eyhB", "v41eyhB")</f>
        <v>v41eyhB</v>
      </c>
      <c r="B384" s="1" t="s">
        <v>885</v>
      </c>
      <c r="C384" s="1" t="str">
        <f aca="false">HYPERLINK("https://lindat.mff.cuni.cz/services/PDT-Vallex4.5/PDT-Vallex4.5.html?verb=orientovat", "orientovat")</f>
        <v>orientovat</v>
      </c>
      <c r="D384" s="1" t="n">
        <v>3</v>
      </c>
      <c r="E384" s="1" t="n">
        <v>2</v>
      </c>
      <c r="F384" s="2" t="s">
        <v>16</v>
      </c>
      <c r="L384" s="1" t="s">
        <v>886</v>
      </c>
      <c r="M384" s="1" t="s">
        <v>887</v>
      </c>
    </row>
    <row r="385" customFormat="false" ht="12.75" hidden="false" customHeight="false" outlineLevel="0" collapsed="false">
      <c r="A385" s="1" t="str">
        <f aca="false">HYPERLINK("https://lindat.mff.cuni.cz/services/PDT-Vallex4.5/PDT-Vallex4.5.html?verb=zamířit#v41qbtA", "v41qbtA")</f>
        <v>v41qbtA</v>
      </c>
      <c r="B385" s="1" t="s">
        <v>888</v>
      </c>
      <c r="C385" s="1" t="str">
        <f aca="false">HYPERLINK("https://lindat.mff.cuni.cz/services/PDT-Vallex4.5/PDT-Vallex4.5.html?verb=zamířit", "zamířit")</f>
        <v>zamířit</v>
      </c>
      <c r="D385" s="1" t="n">
        <v>3</v>
      </c>
      <c r="E385" s="1" t="n">
        <v>2</v>
      </c>
      <c r="F385" s="2" t="s">
        <v>16</v>
      </c>
      <c r="L385" s="1" t="s">
        <v>889</v>
      </c>
      <c r="M385" s="1" t="s">
        <v>799</v>
      </c>
    </row>
    <row r="386" customFormat="false" ht="12.75" hidden="false" customHeight="false" outlineLevel="0" collapsed="false">
      <c r="A386" s="1" t="str">
        <f aca="false">HYPERLINK("https://lindat.mff.cuni.cz/services/PDT-Vallex4.5/PDT-Vallex4.5.html?verb=zašeptat#v41qnzB", "v41qnzB")</f>
        <v>v41qnzB</v>
      </c>
      <c r="B386" s="1" t="s">
        <v>890</v>
      </c>
      <c r="C386" s="1" t="str">
        <f aca="false">HYPERLINK("https://lindat.mff.cuni.cz/services/PDT-Vallex4.5/PDT-Vallex4.5.html?verb=zašeptat", "zašeptat")</f>
        <v>zašeptat</v>
      </c>
      <c r="D386" s="1" t="n">
        <v>3</v>
      </c>
      <c r="E386" s="1" t="n">
        <v>1</v>
      </c>
      <c r="F386" s="2" t="s">
        <v>891</v>
      </c>
      <c r="L386" s="1" t="s">
        <v>892</v>
      </c>
    </row>
    <row r="387" customFormat="false" ht="12.75" hidden="false" customHeight="false" outlineLevel="0" collapsed="false">
      <c r="A387" s="1" t="str">
        <f aca="false">HYPERLINK("https://lindat.mff.cuni.cz/services/PDT-Vallex4.5/PDT-Vallex4.5.html?verb=nahlédnout#v41cpsA", "v41cpsA")</f>
        <v>v41cpsA</v>
      </c>
      <c r="B387" s="1" t="s">
        <v>893</v>
      </c>
      <c r="C387" s="1" t="str">
        <f aca="false">HYPERLINK("https://lindat.mff.cuni.cz/services/PDT-Vallex4.5/PDT-Vallex4.5.html?verb=nahlédnout", "nahlédnout")</f>
        <v>nahlédnout</v>
      </c>
      <c r="D387" s="1" t="n">
        <v>3</v>
      </c>
      <c r="E387" s="1" t="n">
        <v>2</v>
      </c>
      <c r="F387" s="2" t="s">
        <v>241</v>
      </c>
      <c r="L387" s="1" t="s">
        <v>894</v>
      </c>
    </row>
    <row r="388" customFormat="false" ht="12.75" hidden="false" customHeight="false" outlineLevel="0" collapsed="false">
      <c r="A388" s="1" t="str">
        <f aca="false">HYPERLINK("https://lindat.mff.cuni.cz/services/PDT-Vallex4.5/PDT-Vallex4.5.html?verb=zakusovat se#v41pzeA", "v41pzeA")</f>
        <v>v41pzeA</v>
      </c>
      <c r="B388" s="1" t="s">
        <v>895</v>
      </c>
      <c r="C388" s="1" t="str">
        <f aca="false">HYPERLINK("https://lindat.mff.cuni.cz/services/PDT-Vallex4.5/PDT-Vallex4.5.html?verb=zakusovat se", "zakusovat se")</f>
        <v>zakusovat se</v>
      </c>
      <c r="D388" s="1" t="n">
        <v>3</v>
      </c>
      <c r="E388" s="1" t="n">
        <v>3</v>
      </c>
      <c r="F388" s="2" t="s">
        <v>16</v>
      </c>
      <c r="L388" s="1" t="s">
        <v>896</v>
      </c>
      <c r="M388" s="1" t="s">
        <v>897</v>
      </c>
    </row>
    <row r="389" customFormat="false" ht="12.75" hidden="false" customHeight="false" outlineLevel="0" collapsed="false">
      <c r="A389" s="1" t="str">
        <f aca="false">HYPERLINK("https://lindat.mff.cuni.cz/services/PDT-Vallex4.5/PDT-Vallex4.5.html?verb=uvítat#v41ndqA", "v41ndqA")</f>
        <v>v41ndqA</v>
      </c>
      <c r="B389" s="1" t="s">
        <v>898</v>
      </c>
      <c r="C389" s="1" t="str">
        <f aca="false">HYPERLINK("https://lindat.mff.cuni.cz/services/PDT-Vallex4.5/PDT-Vallex4.5.html?verb=uvítat", "uvítat")</f>
        <v>uvítat</v>
      </c>
      <c r="D389" s="1" t="n">
        <v>3</v>
      </c>
      <c r="E389" s="1" t="n">
        <v>2</v>
      </c>
      <c r="F389" s="2" t="s">
        <v>676</v>
      </c>
      <c r="L389" s="1" t="s">
        <v>677</v>
      </c>
    </row>
    <row r="390" customFormat="false" ht="12.75" hidden="false" customHeight="false" outlineLevel="0" collapsed="false">
      <c r="A390" s="1" t="str">
        <f aca="false">HYPERLINK("https://lindat.mff.cuni.cz/services/PDT-Vallex4.5/PDT-Vallex4.5.html?verb=přestoupit#v41ijpB", "v41ijpB")</f>
        <v>v41ijpB</v>
      </c>
      <c r="B390" s="1" t="s">
        <v>899</v>
      </c>
      <c r="C390" s="1" t="str">
        <f aca="false">HYPERLINK("https://lindat.mff.cuni.cz/services/PDT-Vallex4.5/PDT-Vallex4.5.html?verb=přestoupit", "přestoupit")</f>
        <v>přestoupit</v>
      </c>
      <c r="D390" s="1" t="n">
        <v>3</v>
      </c>
      <c r="E390" s="1" t="n">
        <v>2</v>
      </c>
      <c r="F390" s="2" t="s">
        <v>16</v>
      </c>
      <c r="L390" s="1" t="s">
        <v>900</v>
      </c>
      <c r="M390" s="1" t="s">
        <v>231</v>
      </c>
    </row>
    <row r="391" customFormat="false" ht="12.75" hidden="false" customHeight="false" outlineLevel="0" collapsed="false">
      <c r="A391" s="1" t="str">
        <f aca="false">HYPERLINK("https://lindat.mff.cuni.cz/services/PDT-Vallex4.5/PDT-Vallex4.5.html?verb=namířit#v41cvdC", "v41cvdC")</f>
        <v>v41cvdC</v>
      </c>
      <c r="B391" s="1" t="s">
        <v>901</v>
      </c>
      <c r="C391" s="1" t="str">
        <f aca="false">HYPERLINK("https://lindat.mff.cuni.cz/services/PDT-Vallex4.5/PDT-Vallex4.5.html?verb=namířit", "namířit")</f>
        <v>namířit</v>
      </c>
      <c r="D391" s="1" t="n">
        <v>3</v>
      </c>
      <c r="E391" s="1" t="n">
        <v>3</v>
      </c>
      <c r="F391" s="2" t="s">
        <v>902</v>
      </c>
      <c r="L391" s="1" t="s">
        <v>903</v>
      </c>
    </row>
    <row r="392" customFormat="false" ht="12.75" hidden="false" customHeight="false" outlineLevel="0" collapsed="false">
      <c r="A392" s="1" t="str">
        <f aca="false">HYPERLINK("https://lindat.mff.cuni.cz/services/PDT-Vallex4.5/PDT-Vallex4.5.html?verb=reprodukovat#v41jjcC", "v41jjcC")</f>
        <v>v41jjcC</v>
      </c>
      <c r="B392" s="1" t="s">
        <v>904</v>
      </c>
      <c r="C392" s="1" t="str">
        <f aca="false">HYPERLINK("https://lindat.mff.cuni.cz/services/PDT-Vallex4.5/PDT-Vallex4.5.html?verb=reprodukovat", "reprodukovat")</f>
        <v>reprodukovat</v>
      </c>
      <c r="D392" s="1" t="n">
        <v>3</v>
      </c>
      <c r="E392" s="1" t="n">
        <v>3</v>
      </c>
      <c r="F392" s="2" t="s">
        <v>905</v>
      </c>
      <c r="L392" s="1" t="s">
        <v>906</v>
      </c>
    </row>
    <row r="393" customFormat="false" ht="12.75" hidden="false" customHeight="false" outlineLevel="0" collapsed="false">
      <c r="A393" s="1" t="str">
        <f aca="false">HYPERLINK("https://lindat.mff.cuni.cz/services/PDT-Vallex4.5/PDT-Vallex4.5.html?verb=hřmět#v41aznB", "v41aznB")</f>
        <v>v41aznB</v>
      </c>
      <c r="B393" s="1" t="s">
        <v>907</v>
      </c>
      <c r="C393" s="1" t="str">
        <f aca="false">HYPERLINK("https://lindat.mff.cuni.cz/services/PDT-Vallex4.5/PDT-Vallex4.5.html?verb=hřmět", "hřmět")</f>
        <v>hřmět</v>
      </c>
      <c r="D393" s="1" t="n">
        <v>3</v>
      </c>
      <c r="E393" s="1" t="n">
        <v>1</v>
      </c>
      <c r="F393" s="2" t="s">
        <v>908</v>
      </c>
      <c r="H393" s="2" t="s">
        <v>909</v>
      </c>
      <c r="L393" s="1" t="s">
        <v>910</v>
      </c>
      <c r="N393" s="1" t="s">
        <v>911</v>
      </c>
    </row>
    <row r="394" customFormat="false" ht="12.75" hidden="false" customHeight="false" outlineLevel="0" collapsed="false">
      <c r="A394" s="1" t="str">
        <f aca="false">HYPERLINK("https://lindat.mff.cuni.cz/services/PDT-Vallex4.5/PDT-Vallex4.5.html?verb=pravit#v41gysB", "v41gysB")</f>
        <v>v41gysB</v>
      </c>
      <c r="B394" s="1" t="s">
        <v>912</v>
      </c>
      <c r="C394" s="1" t="str">
        <f aca="false">HYPERLINK("https://lindat.mff.cuni.cz/services/PDT-Vallex4.5/PDT-Vallex4.5.html?verb=pravit", "pravit")</f>
        <v>pravit</v>
      </c>
      <c r="D394" s="1" t="n">
        <v>3</v>
      </c>
      <c r="E394" s="1" t="n">
        <v>2</v>
      </c>
      <c r="F394" s="2" t="s">
        <v>374</v>
      </c>
      <c r="L394" s="1" t="s">
        <v>913</v>
      </c>
    </row>
    <row r="395" customFormat="false" ht="12.75" hidden="false" customHeight="false" outlineLevel="0" collapsed="false">
      <c r="A395" s="1" t="str">
        <f aca="false">HYPERLINK("https://lindat.mff.cuni.cz/services/PDT-Vallex4.5/PDT-Vallex4.5.html?verb=přehodit#v41iagB", "v41iagB")</f>
        <v>v41iagB</v>
      </c>
      <c r="B395" s="1" t="s">
        <v>914</v>
      </c>
      <c r="C395" s="1" t="str">
        <f aca="false">HYPERLINK("https://lindat.mff.cuni.cz/services/PDT-Vallex4.5/PDT-Vallex4.5.html?verb=přehodit", "přehodit")</f>
        <v>přehodit</v>
      </c>
      <c r="D395" s="1" t="n">
        <v>3</v>
      </c>
      <c r="E395" s="1" t="n">
        <v>3</v>
      </c>
      <c r="F395" s="2" t="s">
        <v>16</v>
      </c>
      <c r="L395" s="1" t="s">
        <v>915</v>
      </c>
      <c r="M395" s="1" t="s">
        <v>916</v>
      </c>
    </row>
    <row r="396" customFormat="false" ht="12.75" hidden="false" customHeight="false" outlineLevel="0" collapsed="false">
      <c r="A396" s="1" t="str">
        <f aca="false">HYPERLINK("https://lindat.mff.cuni.cz/services/PDT-Vallex4.5/PDT-Vallex4.5.html?verb=zvednout#v41sbaC", "v41sbaC")</f>
        <v>v41sbaC</v>
      </c>
      <c r="B396" s="1" t="s">
        <v>917</v>
      </c>
      <c r="C396" s="1" t="str">
        <f aca="false">HYPERLINK("https://lindat.mff.cuni.cz/services/PDT-Vallex4.5/PDT-Vallex4.5.html?verb=zvednout", "zvednout")</f>
        <v>zvednout</v>
      </c>
      <c r="D396" s="1" t="n">
        <v>3</v>
      </c>
      <c r="E396" s="1" t="n">
        <v>1</v>
      </c>
      <c r="F396" s="2" t="s">
        <v>821</v>
      </c>
      <c r="L396" s="1" t="s">
        <v>918</v>
      </c>
      <c r="N396" s="1" t="s">
        <v>919</v>
      </c>
    </row>
    <row r="397" customFormat="false" ht="12.75" hidden="false" customHeight="false" outlineLevel="0" collapsed="false">
      <c r="A397" s="1" t="str">
        <f aca="false">HYPERLINK("https://lindat.mff.cuni.cz/services/PDT-Vallex4.5/PDT-Vallex4.5.html?verb=lízat#v41cbrB", "v41cbrB")</f>
        <v>v41cbrB</v>
      </c>
      <c r="B397" s="1" t="s">
        <v>920</v>
      </c>
      <c r="C397" s="1" t="str">
        <f aca="false">HYPERLINK("https://lindat.mff.cuni.cz/services/PDT-Vallex4.5/PDT-Vallex4.5.html?verb=lízat", "lízat")</f>
        <v>lízat</v>
      </c>
      <c r="D397" s="1" t="n">
        <v>3</v>
      </c>
      <c r="E397" s="1" t="n">
        <v>2</v>
      </c>
      <c r="F397" s="2" t="s">
        <v>921</v>
      </c>
      <c r="L397" s="1" t="s">
        <v>922</v>
      </c>
      <c r="N397" s="1" t="s">
        <v>923</v>
      </c>
    </row>
    <row r="398" customFormat="false" ht="12.75" hidden="false" customHeight="false" outlineLevel="0" collapsed="false">
      <c r="A398" s="1" t="str">
        <f aca="false">HYPERLINK("https://lindat.mff.cuni.cz/services/PDT-Vallex4.5/PDT-Vallex4.5.html?verb=družit se#v41akxA", "v41akxA")</f>
        <v>v41akxA</v>
      </c>
      <c r="B398" s="1" t="s">
        <v>924</v>
      </c>
      <c r="C398" s="1" t="str">
        <f aca="false">HYPERLINK("https://lindat.mff.cuni.cz/services/PDT-Vallex4.5/PDT-Vallex4.5.html?verb=družit se", "družit se")</f>
        <v>družit se</v>
      </c>
      <c r="D398" s="1" t="n">
        <v>3</v>
      </c>
      <c r="E398" s="1" t="n">
        <v>1</v>
      </c>
      <c r="F398" s="2" t="s">
        <v>925</v>
      </c>
      <c r="L398" s="1" t="s">
        <v>926</v>
      </c>
    </row>
    <row r="399" customFormat="false" ht="12.75" hidden="false" customHeight="false" outlineLevel="0" collapsed="false">
      <c r="A399" s="1" t="str">
        <f aca="false">HYPERLINK("https://lindat.mff.cuni.cz/services/PDT-Vallex4.5/PDT-Vallex4.5.html?verb=plácnout#v41fmcA", "v41fmcA")</f>
        <v>v41fmcA</v>
      </c>
      <c r="B399" s="1" t="s">
        <v>927</v>
      </c>
      <c r="C399" s="1" t="str">
        <f aca="false">HYPERLINK("https://lindat.mff.cuni.cz/services/PDT-Vallex4.5/PDT-Vallex4.5.html?verb=plácnout", "plácnout")</f>
        <v>plácnout</v>
      </c>
      <c r="D399" s="1" t="n">
        <v>3</v>
      </c>
      <c r="E399" s="1" t="n">
        <v>2</v>
      </c>
      <c r="F399" s="2" t="s">
        <v>177</v>
      </c>
      <c r="L399" s="1" t="s">
        <v>928</v>
      </c>
    </row>
    <row r="400" customFormat="false" ht="12.75" hidden="false" customHeight="false" outlineLevel="0" collapsed="false">
      <c r="A400" s="1" t="str">
        <f aca="false">HYPERLINK("https://lindat.mff.cuni.cz/services/PDT-Vallex4.5/PDT-Vallex4.5.html?verb=vypalovat#v41onnA", "v41onnA")</f>
        <v>v41onnA</v>
      </c>
      <c r="B400" s="1" t="s">
        <v>929</v>
      </c>
      <c r="C400" s="1" t="str">
        <f aca="false">HYPERLINK("https://lindat.mff.cuni.cz/services/PDT-Vallex4.5/PDT-Vallex4.5.html?verb=vypalovat", "vypalovat")</f>
        <v>vypalovat</v>
      </c>
      <c r="D400" s="1" t="n">
        <v>3</v>
      </c>
      <c r="E400" s="1" t="n">
        <v>3</v>
      </c>
      <c r="F400" s="2" t="s">
        <v>16</v>
      </c>
      <c r="L400" s="1" t="s">
        <v>930</v>
      </c>
      <c r="M400" s="1" t="s">
        <v>931</v>
      </c>
    </row>
    <row r="401" customFormat="false" ht="12.75" hidden="false" customHeight="false" outlineLevel="0" collapsed="false">
      <c r="A401" s="1" t="str">
        <f aca="false">HYPERLINK("https://lindat.mff.cuni.cz/services/PDT-Vallex4.5/PDT-Vallex4.5.html?verb=vyvrhnout#v41phrA", "v41phrA")</f>
        <v>v41phrA</v>
      </c>
      <c r="B401" s="1" t="s">
        <v>932</v>
      </c>
      <c r="C401" s="1" t="str">
        <f aca="false">HYPERLINK("https://lindat.mff.cuni.cz/services/PDT-Vallex4.5/PDT-Vallex4.5.html?verb=vyvrhnout", "vyvrhnout")</f>
        <v>vyvrhnout</v>
      </c>
      <c r="D401" s="1" t="n">
        <v>3</v>
      </c>
      <c r="E401" s="1" t="n">
        <v>3</v>
      </c>
      <c r="F401" s="2" t="s">
        <v>933</v>
      </c>
      <c r="L401" s="1" t="s">
        <v>934</v>
      </c>
    </row>
    <row r="402" customFormat="false" ht="12.75" hidden="false" customHeight="false" outlineLevel="0" collapsed="false">
      <c r="A402" s="1" t="str">
        <f aca="false">HYPERLINK("https://lindat.mff.cuni.cz/services/PDT-Vallex4.5/PDT-Vallex4.5.html?verb=vyvrhnout#v41phrB", "v41phrB")</f>
        <v>v41phrB</v>
      </c>
      <c r="B402" s="1" t="s">
        <v>932</v>
      </c>
      <c r="C402" s="1" t="str">
        <f aca="false">HYPERLINK("https://lindat.mff.cuni.cz/services/PDT-Vallex4.5/PDT-Vallex4.5.html?verb=vyvrhnout", "vyvrhnout")</f>
        <v>vyvrhnout</v>
      </c>
      <c r="D402" s="1" t="n">
        <v>3</v>
      </c>
      <c r="E402" s="1" t="n">
        <v>3</v>
      </c>
      <c r="F402" s="2" t="s">
        <v>16</v>
      </c>
      <c r="L402" s="1" t="s">
        <v>935</v>
      </c>
      <c r="M402" s="1" t="s">
        <v>936</v>
      </c>
    </row>
    <row r="403" customFormat="false" ht="12.75" hidden="false" customHeight="false" outlineLevel="0" collapsed="false">
      <c r="A403" s="1" t="str">
        <f aca="false">HYPERLINK("https://lindat.mff.cuni.cz/services/PDT-Vallex4.5/PDT-Vallex4.5.html?verb=ladit#v41bxxA", "v41bxxA")</f>
        <v>v41bxxA</v>
      </c>
      <c r="B403" s="1" t="s">
        <v>937</v>
      </c>
      <c r="C403" s="1" t="str">
        <f aca="false">HYPERLINK("https://lindat.mff.cuni.cz/services/PDT-Vallex4.5/PDT-Vallex4.5.html?verb=ladit", "ladit")</f>
        <v>ladit</v>
      </c>
      <c r="D403" s="1" t="n">
        <v>3</v>
      </c>
      <c r="E403" s="1" t="n">
        <v>2</v>
      </c>
      <c r="F403" s="2" t="s">
        <v>16</v>
      </c>
      <c r="L403" s="1" t="s">
        <v>938</v>
      </c>
      <c r="M403" s="1" t="s">
        <v>939</v>
      </c>
    </row>
    <row r="404" customFormat="false" ht="12.75" hidden="false" customHeight="false" outlineLevel="0" collapsed="false">
      <c r="A404" s="1" t="str">
        <f aca="false">HYPERLINK("https://lindat.mff.cuni.cz/services/PDT-Vallex4.5/PDT-Vallex4.5.html?verb=ladit#v41bxxB", "v41bxxB")</f>
        <v>v41bxxB</v>
      </c>
      <c r="B404" s="1" t="s">
        <v>937</v>
      </c>
      <c r="C404" s="1" t="str">
        <f aca="false">HYPERLINK("https://lindat.mff.cuni.cz/services/PDT-Vallex4.5/PDT-Vallex4.5.html?verb=ladit", "ladit")</f>
        <v>ladit</v>
      </c>
      <c r="D404" s="1" t="n">
        <v>3</v>
      </c>
      <c r="E404" s="1" t="n">
        <v>2</v>
      </c>
      <c r="F404" s="2" t="s">
        <v>940</v>
      </c>
      <c r="L404" s="1" t="s">
        <v>941</v>
      </c>
    </row>
    <row r="405" customFormat="false" ht="12.75" hidden="false" customHeight="false" outlineLevel="0" collapsed="false">
      <c r="A405" s="1" t="str">
        <f aca="false">HYPERLINK("https://lindat.mff.cuni.cz/services/PDT-Vallex4.5/PDT-Vallex4.5.html?verb=strkat#v41lmjA", "v41lmjA")</f>
        <v>v41lmjA</v>
      </c>
      <c r="B405" s="1" t="s">
        <v>942</v>
      </c>
      <c r="C405" s="1" t="str">
        <f aca="false">HYPERLINK("https://lindat.mff.cuni.cz/services/PDT-Vallex4.5/PDT-Vallex4.5.html?verb=strkat", "strkat")</f>
        <v>strkat</v>
      </c>
      <c r="D405" s="1" t="n">
        <v>3</v>
      </c>
      <c r="E405" s="1" t="n">
        <v>1</v>
      </c>
      <c r="F405" s="2" t="s">
        <v>481</v>
      </c>
      <c r="L405" s="1" t="s">
        <v>943</v>
      </c>
    </row>
    <row r="406" customFormat="false" ht="12.75" hidden="false" customHeight="false" outlineLevel="0" collapsed="false">
      <c r="A406" s="1" t="str">
        <f aca="false">HYPERLINK("https://lindat.mff.cuni.cz/services/PDT-Vallex4.5/PDT-Vallex4.5.html?verb=protrhnout#v41hqjB", "v41hqjB")</f>
        <v>v41hqjB</v>
      </c>
      <c r="B406" s="1" t="s">
        <v>944</v>
      </c>
      <c r="C406" s="1" t="str">
        <f aca="false">HYPERLINK("https://lindat.mff.cuni.cz/services/PDT-Vallex4.5/PDT-Vallex4.5.html?verb=protrhnout", "protrhnout")</f>
        <v>protrhnout</v>
      </c>
      <c r="D406" s="1" t="n">
        <v>3</v>
      </c>
      <c r="E406" s="1" t="n">
        <v>3</v>
      </c>
      <c r="F406" s="2" t="s">
        <v>945</v>
      </c>
      <c r="L406" s="1" t="s">
        <v>946</v>
      </c>
    </row>
    <row r="407" customFormat="false" ht="12.75" hidden="false" customHeight="false" outlineLevel="0" collapsed="false">
      <c r="A407" s="1" t="str">
        <f aca="false">HYPERLINK("https://lindat.mff.cuni.cz/services/PDT-Vallex4.5/PDT-Vallex4.5.html?verb=protrhnout#v41hqjC", "v41hqjC")</f>
        <v>v41hqjC</v>
      </c>
      <c r="B407" s="1" t="s">
        <v>944</v>
      </c>
      <c r="C407" s="1" t="str">
        <f aca="false">HYPERLINK("https://lindat.mff.cuni.cz/services/PDT-Vallex4.5/PDT-Vallex4.5.html?verb=protrhnout", "protrhnout")</f>
        <v>protrhnout</v>
      </c>
      <c r="D407" s="1" t="n">
        <v>3</v>
      </c>
      <c r="E407" s="1" t="n">
        <v>3</v>
      </c>
      <c r="F407" s="2" t="s">
        <v>16</v>
      </c>
      <c r="L407" s="1" t="s">
        <v>947</v>
      </c>
      <c r="M407" s="1" t="s">
        <v>948</v>
      </c>
    </row>
    <row r="408" customFormat="false" ht="12.75" hidden="false" customHeight="false" outlineLevel="0" collapsed="false">
      <c r="A408" s="1" t="str">
        <f aca="false">HYPERLINK("https://lindat.mff.cuni.cz/services/PDT-Vallex4.5/PDT-Vallex4.5.html?verb=zastřít#v41qnfA", "v41qnfA")</f>
        <v>v41qnfA</v>
      </c>
      <c r="B408" s="1" t="s">
        <v>949</v>
      </c>
      <c r="C408" s="1" t="str">
        <f aca="false">HYPERLINK("https://lindat.mff.cuni.cz/services/PDT-Vallex4.5/PDT-Vallex4.5.html?verb=zastřít", "zastřít")</f>
        <v>zastřít</v>
      </c>
      <c r="D408" s="1" t="n">
        <v>3</v>
      </c>
      <c r="E408" s="1" t="n">
        <v>1</v>
      </c>
      <c r="F408" s="2" t="s">
        <v>837</v>
      </c>
      <c r="L408" s="1" t="s">
        <v>838</v>
      </c>
    </row>
    <row r="409" customFormat="false" ht="12.75" hidden="false" customHeight="false" outlineLevel="0" collapsed="false">
      <c r="A409" s="1" t="str">
        <f aca="false">HYPERLINK("https://lindat.mff.cuni.cz/services/PDT-Vallex4.5/PDT-Vallex4.5.html?verb=nadnášet#v41cokC", "v41cokC")</f>
        <v>v41cokC</v>
      </c>
      <c r="B409" s="1" t="s">
        <v>950</v>
      </c>
      <c r="C409" s="1" t="str">
        <f aca="false">HYPERLINK("https://lindat.mff.cuni.cz/services/PDT-Vallex4.5/PDT-Vallex4.5.html?verb=nadnášet", "nadnášet")</f>
        <v>nadnášet</v>
      </c>
      <c r="D409" s="1" t="n">
        <v>3</v>
      </c>
      <c r="E409" s="1" t="n">
        <v>3</v>
      </c>
      <c r="F409" s="2" t="s">
        <v>951</v>
      </c>
      <c r="L409" s="1" t="s">
        <v>952</v>
      </c>
    </row>
    <row r="410" customFormat="false" ht="12.75" hidden="false" customHeight="false" outlineLevel="0" collapsed="false">
      <c r="A410" s="1" t="str">
        <f aca="false">HYPERLINK("https://lindat.mff.cuni.cz/services/PDT-Vallex4.5/PDT-Vallex4.5.html?verb=zasypat#v41qnvC", "v41qnvC")</f>
        <v>v41qnvC</v>
      </c>
      <c r="B410" s="1" t="s">
        <v>953</v>
      </c>
      <c r="C410" s="1" t="str">
        <f aca="false">HYPERLINK("https://lindat.mff.cuni.cz/services/PDT-Vallex4.5/PDT-Vallex4.5.html?verb=zasypat", "zasypat")</f>
        <v>zasypat</v>
      </c>
      <c r="D410" s="1" t="n">
        <v>3</v>
      </c>
      <c r="E410" s="1" t="n">
        <v>3</v>
      </c>
      <c r="F410" s="2" t="s">
        <v>621</v>
      </c>
      <c r="L410" s="1" t="s">
        <v>954</v>
      </c>
      <c r="N410" s="1" t="s">
        <v>955</v>
      </c>
    </row>
    <row r="411" customFormat="false" ht="12.75" hidden="false" customHeight="false" outlineLevel="0" collapsed="false">
      <c r="A411" s="1" t="str">
        <f aca="false">HYPERLINK("https://lindat.mff.cuni.cz/services/PDT-Vallex4.5/PDT-Vallex4.5.html?verb=bodnout#v41gkC", "v41gkC")</f>
        <v>v41gkC</v>
      </c>
      <c r="B411" s="1" t="s">
        <v>956</v>
      </c>
      <c r="C411" s="1" t="str">
        <f aca="false">HYPERLINK("https://lindat.mff.cuni.cz/services/PDT-Vallex4.5/PDT-Vallex4.5.html?verb=bodnout", "bodnout")</f>
        <v>bodnout</v>
      </c>
      <c r="D411" s="1" t="n">
        <v>3</v>
      </c>
      <c r="E411" s="1" t="n">
        <v>1</v>
      </c>
      <c r="F411" s="2" t="s">
        <v>16</v>
      </c>
      <c r="L411" s="1" t="s">
        <v>715</v>
      </c>
      <c r="M411" s="1" t="s">
        <v>147</v>
      </c>
    </row>
    <row r="412" customFormat="false" ht="12.75" hidden="false" customHeight="false" outlineLevel="0" collapsed="false">
      <c r="A412" s="1" t="str">
        <f aca="false">HYPERLINK("https://lindat.mff.cuni.cz/services/PDT-Vallex4.5/PDT-Vallex4.5.html?verb=porážet#v41giyA", "v41giyA")</f>
        <v>v41giyA</v>
      </c>
      <c r="B412" s="1" t="s">
        <v>957</v>
      </c>
      <c r="C412" s="1" t="str">
        <f aca="false">HYPERLINK("https://lindat.mff.cuni.cz/services/PDT-Vallex4.5/PDT-Vallex4.5.html?verb=porážet", "porážet")</f>
        <v>porážet</v>
      </c>
      <c r="D412" s="1" t="n">
        <v>3</v>
      </c>
      <c r="E412" s="1" t="n">
        <v>1</v>
      </c>
      <c r="F412" s="2" t="s">
        <v>958</v>
      </c>
      <c r="L412" s="1" t="s">
        <v>959</v>
      </c>
    </row>
    <row r="413" customFormat="false" ht="12.75" hidden="false" customHeight="false" outlineLevel="0" collapsed="false">
      <c r="A413" s="1" t="str">
        <f aca="false">HYPERLINK("https://lindat.mff.cuni.cz/services/PDT-Vallex4.5/PDT-Vallex4.5.html?verb=zapnout#v41qfxC", "v41qfxC")</f>
        <v>v41qfxC</v>
      </c>
      <c r="B413" s="1" t="s">
        <v>960</v>
      </c>
      <c r="C413" s="1" t="str">
        <f aca="false">HYPERLINK("https://lindat.mff.cuni.cz/services/PDT-Vallex4.5/PDT-Vallex4.5.html?verb=zapnout", "zapnout")</f>
        <v>zapnout</v>
      </c>
      <c r="D413" s="1" t="n">
        <v>3</v>
      </c>
      <c r="E413" s="1" t="n">
        <v>2</v>
      </c>
      <c r="F413" s="2" t="s">
        <v>16</v>
      </c>
      <c r="L413" s="1" t="s">
        <v>961</v>
      </c>
      <c r="M413" s="1" t="s">
        <v>962</v>
      </c>
    </row>
    <row r="414" customFormat="false" ht="12.75" hidden="false" customHeight="false" outlineLevel="0" collapsed="false">
      <c r="A414" s="1" t="str">
        <f aca="false">HYPERLINK("https://lindat.mff.cuni.cz/services/PDT-Vallex4.5/PDT-Vallex4.5.html?verb=kecat#v41bkhB", "v41bkhB")</f>
        <v>v41bkhB</v>
      </c>
      <c r="B414" s="1" t="s">
        <v>963</v>
      </c>
      <c r="C414" s="1" t="str">
        <f aca="false">HYPERLINK("https://lindat.mff.cuni.cz/services/PDT-Vallex4.5/PDT-Vallex4.5.html?verb=kecat", "kecat")</f>
        <v>kecat</v>
      </c>
      <c r="D414" s="1" t="n">
        <v>3</v>
      </c>
      <c r="E414" s="1" t="n">
        <v>3</v>
      </c>
      <c r="F414" s="2" t="s">
        <v>175</v>
      </c>
      <c r="L414" s="1" t="s">
        <v>964</v>
      </c>
    </row>
    <row r="415" customFormat="false" ht="12.75" hidden="false" customHeight="false" outlineLevel="0" collapsed="false">
      <c r="A415" s="1" t="str">
        <f aca="false">HYPERLINK("https://lindat.mff.cuni.cz/services/PDT-Vallex4.5/PDT-Vallex4.5.html?verb=spustit se#v41lgcA", "v41lgcA")</f>
        <v>v41lgcA</v>
      </c>
      <c r="B415" s="1" t="s">
        <v>965</v>
      </c>
      <c r="C415" s="1" t="str">
        <f aca="false">HYPERLINK("https://lindat.mff.cuni.cz/services/PDT-Vallex4.5/PDT-Vallex4.5.html?verb=spustit se", "spustit se")</f>
        <v>spustit se</v>
      </c>
      <c r="D415" s="1" t="n">
        <v>3</v>
      </c>
      <c r="E415" s="1" t="n">
        <v>1</v>
      </c>
      <c r="F415" s="2" t="s">
        <v>16</v>
      </c>
      <c r="L415" s="1" t="s">
        <v>966</v>
      </c>
      <c r="M415" s="1" t="s">
        <v>835</v>
      </c>
    </row>
    <row r="416" customFormat="false" ht="12.75" hidden="false" customHeight="false" outlineLevel="0" collapsed="false">
      <c r="A416" s="1" t="str">
        <f aca="false">HYPERLINK("https://lindat.mff.cuni.cz/services/PDT-Vallex4.5/PDT-Vallex4.5.html?verb=pobít#v41foqB", "v41foqB")</f>
        <v>v41foqB</v>
      </c>
      <c r="B416" s="1" t="s">
        <v>967</v>
      </c>
      <c r="C416" s="1" t="str">
        <f aca="false">HYPERLINK("https://lindat.mff.cuni.cz/services/PDT-Vallex4.5/PDT-Vallex4.5.html?verb=pobít", "pobít")</f>
        <v>pobít</v>
      </c>
      <c r="D416" s="1" t="n">
        <v>3</v>
      </c>
      <c r="E416" s="1" t="n">
        <v>3</v>
      </c>
      <c r="F416" s="2" t="s">
        <v>968</v>
      </c>
      <c r="L416" s="1" t="s">
        <v>969</v>
      </c>
      <c r="N416" s="1" t="s">
        <v>970</v>
      </c>
    </row>
    <row r="417" customFormat="false" ht="12.75" hidden="false" customHeight="false" outlineLevel="0" collapsed="false">
      <c r="A417" s="1" t="str">
        <f aca="false">HYPERLINK("https://lindat.mff.cuni.cz/services/PDT-Vallex4.5/PDT-Vallex4.5.html?verb=zabetonovat#v41poqA", "v41poqA")</f>
        <v>v41poqA</v>
      </c>
      <c r="B417" s="1" t="s">
        <v>971</v>
      </c>
      <c r="C417" s="1" t="str">
        <f aca="false">HYPERLINK("https://lindat.mff.cuni.cz/services/PDT-Vallex4.5/PDT-Vallex4.5.html?verb=zabetonovat", "zabetonovat")</f>
        <v>zabetonovat</v>
      </c>
      <c r="D417" s="1" t="n">
        <v>3</v>
      </c>
      <c r="E417" s="1" t="n">
        <v>3</v>
      </c>
      <c r="F417" s="2" t="s">
        <v>972</v>
      </c>
      <c r="L417" s="1" t="s">
        <v>973</v>
      </c>
    </row>
    <row r="418" customFormat="false" ht="12.75" hidden="false" customHeight="false" outlineLevel="0" collapsed="false">
      <c r="A418" s="1" t="str">
        <f aca="false">HYPERLINK("https://lindat.mff.cuni.cz/services/PDT-Vallex4.5/PDT-Vallex4.5.html?verb=zabetonovat#v41poqC", "v41poqC")</f>
        <v>v41poqC</v>
      </c>
      <c r="B418" s="1" t="s">
        <v>971</v>
      </c>
      <c r="C418" s="1" t="str">
        <f aca="false">HYPERLINK("https://lindat.mff.cuni.cz/services/PDT-Vallex4.5/PDT-Vallex4.5.html?verb=zabetonovat", "zabetonovat")</f>
        <v>zabetonovat</v>
      </c>
      <c r="D418" s="1" t="n">
        <v>3</v>
      </c>
      <c r="E418" s="1" t="n">
        <v>3</v>
      </c>
      <c r="F418" s="2" t="s">
        <v>972</v>
      </c>
      <c r="L418" s="1" t="s">
        <v>973</v>
      </c>
    </row>
    <row r="419" customFormat="false" ht="12.75" hidden="false" customHeight="false" outlineLevel="0" collapsed="false">
      <c r="A419" s="1" t="str">
        <f aca="false">HYPERLINK("https://lindat.mff.cuni.cz/services/PDT-Vallex4.5/PDT-Vallex4.5.html?verb=odklonit#v41ebvA", "v41ebvA")</f>
        <v>v41ebvA</v>
      </c>
      <c r="B419" s="1" t="s">
        <v>974</v>
      </c>
      <c r="C419" s="1" t="str">
        <f aca="false">HYPERLINK("https://lindat.mff.cuni.cz/services/PDT-Vallex4.5/PDT-Vallex4.5.html?verb=odklonit", "odklonit")</f>
        <v>odklonit</v>
      </c>
      <c r="D419" s="1" t="n">
        <v>3</v>
      </c>
      <c r="E419" s="1" t="n">
        <v>1</v>
      </c>
      <c r="F419" s="2" t="s">
        <v>975</v>
      </c>
      <c r="L419" s="1" t="s">
        <v>976</v>
      </c>
    </row>
    <row r="420" customFormat="false" ht="12.75" hidden="false" customHeight="false" outlineLevel="0" collapsed="false">
      <c r="A420" s="1" t="str">
        <f aca="false">HYPERLINK("https://lindat.mff.cuni.cz/services/PDT-Vallex4.5/PDT-Vallex4.5.html?verb=vytknout#v41pdcC", "v41pdcC")</f>
        <v>v41pdcC</v>
      </c>
      <c r="B420" s="1" t="s">
        <v>977</v>
      </c>
      <c r="C420" s="1" t="str">
        <f aca="false">HYPERLINK("https://lindat.mff.cuni.cz/services/PDT-Vallex4.5/PDT-Vallex4.5.html?verb=vytknout", "vytknout")</f>
        <v>vytknout</v>
      </c>
      <c r="D420" s="1" t="n">
        <v>3</v>
      </c>
      <c r="E420" s="1" t="n">
        <v>2</v>
      </c>
      <c r="F420" s="2" t="s">
        <v>16</v>
      </c>
      <c r="L420" s="1" t="s">
        <v>978</v>
      </c>
      <c r="M420" s="1" t="s">
        <v>799</v>
      </c>
    </row>
    <row r="421" customFormat="false" ht="12.75" hidden="false" customHeight="false" outlineLevel="0" collapsed="false">
      <c r="A421" s="1" t="str">
        <f aca="false">HYPERLINK("https://lindat.mff.cuni.cz/services/PDT-Vallex4.5/PDT-Vallex4.5.html?verb=vyslovovat#v41owtB", "v41owtB")</f>
        <v>v41owtB</v>
      </c>
      <c r="B421" s="1" t="s">
        <v>979</v>
      </c>
      <c r="C421" s="1" t="str">
        <f aca="false">HYPERLINK("https://lindat.mff.cuni.cz/services/PDT-Vallex4.5/PDT-Vallex4.5.html?verb=vyslovovat", "vyslovovat")</f>
        <v>vyslovovat</v>
      </c>
      <c r="D421" s="1" t="n">
        <v>3</v>
      </c>
      <c r="E421" s="1" t="n">
        <v>1</v>
      </c>
      <c r="F421" s="2" t="s">
        <v>980</v>
      </c>
      <c r="L421" s="1" t="s">
        <v>981</v>
      </c>
    </row>
    <row r="422" customFormat="false" ht="12.75" hidden="false" customHeight="false" outlineLevel="0" collapsed="false">
      <c r="A422" s="1" t="str">
        <f aca="false">HYPERLINK("https://lindat.mff.cuni.cz/services/PDT-Vallex4.5/PDT-Vallex4.5.html?verb=doprovodit#v41adxB", "v41adxB")</f>
        <v>v41adxB</v>
      </c>
      <c r="B422" s="1" t="s">
        <v>982</v>
      </c>
      <c r="C422" s="1" t="str">
        <f aca="false">HYPERLINK("https://lindat.mff.cuni.cz/services/PDT-Vallex4.5/PDT-Vallex4.5.html?verb=doprovodit", "doprovodit")</f>
        <v>doprovodit</v>
      </c>
      <c r="D422" s="1" t="n">
        <v>3</v>
      </c>
      <c r="E422" s="1" t="n">
        <v>2</v>
      </c>
      <c r="F422" s="2" t="s">
        <v>16</v>
      </c>
      <c r="L422" s="1" t="s">
        <v>983</v>
      </c>
      <c r="M422" s="1" t="s">
        <v>870</v>
      </c>
    </row>
    <row r="423" customFormat="false" ht="12.75" hidden="false" customHeight="false" outlineLevel="0" collapsed="false">
      <c r="A423" s="1" t="str">
        <f aca="false">HYPERLINK("https://lindat.mff.cuni.cz/services/PDT-Vallex4.5/PDT-Vallex4.5.html?verb=zachovávat#v41punA", "v41punA")</f>
        <v>v41punA</v>
      </c>
      <c r="B423" s="1" t="s">
        <v>984</v>
      </c>
      <c r="C423" s="1" t="str">
        <f aca="false">HYPERLINK("https://lindat.mff.cuni.cz/services/PDT-Vallex4.5/PDT-Vallex4.5.html?verb=zachovávat", "zachovávat")</f>
        <v>zachovávat</v>
      </c>
      <c r="D423" s="1" t="n">
        <v>3</v>
      </c>
      <c r="E423" s="1" t="n">
        <v>1</v>
      </c>
      <c r="F423" s="2" t="s">
        <v>985</v>
      </c>
      <c r="L423" s="1" t="s">
        <v>986</v>
      </c>
    </row>
    <row r="424" customFormat="false" ht="12.75" hidden="false" customHeight="false" outlineLevel="0" collapsed="false">
      <c r="A424" s="1" t="str">
        <f aca="false">HYPERLINK("https://lindat.mff.cuni.cz/services/PDT-Vallex4.5/PDT-Vallex4.5.html?verb=zapisovat#v41qetA", "v41qetA")</f>
        <v>v41qetA</v>
      </c>
      <c r="B424" s="1" t="s">
        <v>987</v>
      </c>
      <c r="C424" s="1" t="str">
        <f aca="false">HYPERLINK("https://lindat.mff.cuni.cz/services/PDT-Vallex4.5/PDT-Vallex4.5.html?verb=zapisovat", "zapisovat")</f>
        <v>zapisovat</v>
      </c>
      <c r="D424" s="1" t="n">
        <v>3</v>
      </c>
      <c r="E424" s="1" t="n">
        <v>2</v>
      </c>
      <c r="F424" s="2" t="s">
        <v>988</v>
      </c>
      <c r="H424" s="2" t="s">
        <v>498</v>
      </c>
      <c r="L424" s="1" t="s">
        <v>989</v>
      </c>
    </row>
    <row r="425" customFormat="false" ht="12.75" hidden="false" customHeight="false" outlineLevel="0" collapsed="false">
      <c r="A425" s="1" t="str">
        <f aca="false">HYPERLINK("https://lindat.mff.cuni.cz/services/PDT-Vallex4.5/PDT-Vallex4.5.html?verb=zazpívat#v41quwC", "v41quwC")</f>
        <v>v41quwC</v>
      </c>
      <c r="B425" s="1" t="s">
        <v>990</v>
      </c>
      <c r="C425" s="1" t="str">
        <f aca="false">HYPERLINK("https://lindat.mff.cuni.cz/services/PDT-Vallex4.5/PDT-Vallex4.5.html?verb=zazpívat", "zazpívat")</f>
        <v>zazpívat</v>
      </c>
      <c r="D425" s="1" t="n">
        <v>3</v>
      </c>
      <c r="E425" s="1" t="n">
        <v>2</v>
      </c>
      <c r="F425" s="2" t="s">
        <v>582</v>
      </c>
      <c r="L425" s="1" t="s">
        <v>583</v>
      </c>
    </row>
    <row r="426" customFormat="false" ht="12.75" hidden="false" customHeight="false" outlineLevel="0" collapsed="false">
      <c r="A426" s="1" t="str">
        <f aca="false">HYPERLINK("https://lindat.mff.cuni.cz/services/PDT-Vallex4.5/PDT-Vallex4.5.html?verb=zaklepat#v41pwzC", "v41pwzC")</f>
        <v>v41pwzC</v>
      </c>
      <c r="B426" s="1" t="s">
        <v>991</v>
      </c>
      <c r="C426" s="1" t="str">
        <f aca="false">HYPERLINK("https://lindat.mff.cuni.cz/services/PDT-Vallex4.5/PDT-Vallex4.5.html?verb=zaklepat", "zaklepat")</f>
        <v>zaklepat</v>
      </c>
      <c r="D426" s="1" t="n">
        <v>3</v>
      </c>
      <c r="E426" s="1" t="n">
        <v>2</v>
      </c>
      <c r="F426" s="2" t="s">
        <v>16</v>
      </c>
      <c r="L426" s="1" t="s">
        <v>992</v>
      </c>
      <c r="M426" s="1" t="s">
        <v>993</v>
      </c>
    </row>
    <row r="427" customFormat="false" ht="12.75" hidden="false" customHeight="false" outlineLevel="0" collapsed="false">
      <c r="A427" s="1" t="str">
        <f aca="false">HYPERLINK("https://lindat.mff.cuni.cz/services/PDT-Vallex4.5/PDT-Vallex4.5.html?verb=hučet#v41azqC", "v41azqC")</f>
        <v>v41azqC</v>
      </c>
      <c r="B427" s="1" t="s">
        <v>994</v>
      </c>
      <c r="C427" s="1" t="str">
        <f aca="false">HYPERLINK("https://lindat.mff.cuni.cz/services/PDT-Vallex4.5/PDT-Vallex4.5.html?verb=hučet", "hučet")</f>
        <v>hučet</v>
      </c>
      <c r="D427" s="1" t="n">
        <v>3</v>
      </c>
      <c r="E427" s="1" t="n">
        <v>3</v>
      </c>
      <c r="F427" s="2" t="s">
        <v>16</v>
      </c>
      <c r="L427" s="1" t="s">
        <v>995</v>
      </c>
      <c r="M427" s="1" t="s">
        <v>594</v>
      </c>
    </row>
    <row r="428" customFormat="false" ht="12.75" hidden="false" customHeight="false" outlineLevel="0" collapsed="false">
      <c r="A428" s="1" t="str">
        <f aca="false">HYPERLINK("https://lindat.mff.cuni.cz/services/PDT-Vallex4.5/PDT-Vallex4.5.html?verb=vystřihávat#v41oyxA", "v41oyxA")</f>
        <v>v41oyxA</v>
      </c>
      <c r="B428" s="1" t="s">
        <v>996</v>
      </c>
      <c r="C428" s="1" t="str">
        <f aca="false">HYPERLINK("https://lindat.mff.cuni.cz/services/PDT-Vallex4.5/PDT-Vallex4.5.html?verb=vystřihávat", "vystřihávat")</f>
        <v>vystřihávat</v>
      </c>
      <c r="D428" s="1" t="n">
        <v>3</v>
      </c>
      <c r="E428" s="1" t="n">
        <v>3</v>
      </c>
      <c r="F428" s="2" t="s">
        <v>148</v>
      </c>
      <c r="L428" s="1" t="s">
        <v>997</v>
      </c>
    </row>
    <row r="429" customFormat="false" ht="12.75" hidden="false" customHeight="false" outlineLevel="0" collapsed="false">
      <c r="A429" s="1" t="str">
        <f aca="false">HYPERLINK("https://lindat.mff.cuni.cz/services/PDT-Vallex4.5/PDT-Vallex4.5.html?verb=vystřihávat#v41oyxC", "v41oyxC")</f>
        <v>v41oyxC</v>
      </c>
      <c r="B429" s="1" t="s">
        <v>996</v>
      </c>
      <c r="C429" s="1" t="str">
        <f aca="false">HYPERLINK("https://lindat.mff.cuni.cz/services/PDT-Vallex4.5/PDT-Vallex4.5.html?verb=vystřihávat", "vystřihávat")</f>
        <v>vystřihávat</v>
      </c>
      <c r="D429" s="1" t="n">
        <v>3</v>
      </c>
      <c r="E429" s="1" t="n">
        <v>3</v>
      </c>
      <c r="F429" s="2" t="s">
        <v>503</v>
      </c>
      <c r="L429" s="1" t="s">
        <v>998</v>
      </c>
      <c r="N429" s="1" t="s">
        <v>999</v>
      </c>
    </row>
    <row r="430" customFormat="false" ht="12.75" hidden="false" customHeight="false" outlineLevel="0" collapsed="false">
      <c r="A430" s="1" t="str">
        <f aca="false">HYPERLINK("https://lindat.mff.cuni.cz/services/PDT-Vallex4.5/PDT-Vallex4.5.html?verb=přiklonit se#v41isrB", "v41isrB")</f>
        <v>v41isrB</v>
      </c>
      <c r="B430" s="1" t="s">
        <v>1000</v>
      </c>
      <c r="C430" s="1" t="str">
        <f aca="false">HYPERLINK("https://lindat.mff.cuni.cz/services/PDT-Vallex4.5/PDT-Vallex4.5.html?verb=přiklonit se", "přiklonit se")</f>
        <v>přiklonit se</v>
      </c>
      <c r="D430" s="1" t="n">
        <v>3</v>
      </c>
      <c r="E430" s="1" t="n">
        <v>1</v>
      </c>
      <c r="F430" s="2" t="s">
        <v>1001</v>
      </c>
      <c r="L430" s="1" t="s">
        <v>1002</v>
      </c>
    </row>
    <row r="431" customFormat="false" ht="12.75" hidden="false" customHeight="false" outlineLevel="0" collapsed="false">
      <c r="A431" s="1" t="str">
        <f aca="false">HYPERLINK("https://lindat.mff.cuni.cz/services/PDT-Vallex4.5/PDT-Vallex4.5.html?verb=prorůstat#v41hlwA", "v41hlwA")</f>
        <v>v41hlwA</v>
      </c>
      <c r="B431" s="1" t="s">
        <v>1003</v>
      </c>
      <c r="C431" s="1" t="str">
        <f aca="false">HYPERLINK("https://lindat.mff.cuni.cz/services/PDT-Vallex4.5/PDT-Vallex4.5.html?verb=prorůstat", "prorůstat")</f>
        <v>prorůstat</v>
      </c>
      <c r="D431" s="1" t="n">
        <v>3</v>
      </c>
      <c r="E431" s="1" t="n">
        <v>3</v>
      </c>
      <c r="F431" s="2" t="s">
        <v>1004</v>
      </c>
      <c r="L431" s="1" t="s">
        <v>1005</v>
      </c>
    </row>
    <row r="432" customFormat="false" ht="12.75" hidden="false" customHeight="false" outlineLevel="0" collapsed="false">
      <c r="A432" s="1" t="str">
        <f aca="false">HYPERLINK("https://lindat.mff.cuni.cz/services/PDT-Vallex4.5/PDT-Vallex4.5.html?verb=vystoupat#v41oykB", "v41oykB")</f>
        <v>v41oykB</v>
      </c>
      <c r="B432" s="1" t="s">
        <v>1006</v>
      </c>
      <c r="C432" s="1" t="str">
        <f aca="false">HYPERLINK("https://lindat.mff.cuni.cz/services/PDT-Vallex4.5/PDT-Vallex4.5.html?verb=vystoupat", "vystoupat")</f>
        <v>vystoupat</v>
      </c>
      <c r="D432" s="1" t="n">
        <v>3</v>
      </c>
      <c r="E432" s="1" t="n">
        <v>1</v>
      </c>
      <c r="F432" s="2" t="s">
        <v>1007</v>
      </c>
      <c r="L432" s="1" t="s">
        <v>346</v>
      </c>
    </row>
    <row r="433" customFormat="false" ht="12.75" hidden="false" customHeight="false" outlineLevel="0" collapsed="false">
      <c r="A433" s="1" t="str">
        <f aca="false">HYPERLINK("https://lindat.mff.cuni.cz/services/PDT-Vallex4.5/PDT-Vallex4.5.html?verb=přijít si#v41ishA", "v41ishA")</f>
        <v>v41ishA</v>
      </c>
      <c r="B433" s="1" t="s">
        <v>1008</v>
      </c>
      <c r="C433" s="1" t="str">
        <f aca="false">HYPERLINK("https://lindat.mff.cuni.cz/services/PDT-Vallex4.5/PDT-Vallex4.5.html?verb=přijít si", "přijít si")</f>
        <v>přijít si</v>
      </c>
      <c r="D433" s="1" t="n">
        <v>3</v>
      </c>
      <c r="E433" s="1" t="n">
        <v>3</v>
      </c>
      <c r="F433" s="2" t="s">
        <v>35</v>
      </c>
      <c r="L433" s="1" t="s">
        <v>679</v>
      </c>
    </row>
    <row r="434" customFormat="false" ht="12.75" hidden="false" customHeight="false" outlineLevel="0" collapsed="false">
      <c r="A434" s="1" t="str">
        <f aca="false">HYPERLINK("https://lindat.mff.cuni.cz/services/PDT-Vallex4.5/PDT-Vallex4.5.html?verb=zasednout#v41qkjA", "v41qkjA")</f>
        <v>v41qkjA</v>
      </c>
      <c r="B434" s="1" t="s">
        <v>1009</v>
      </c>
      <c r="C434" s="1" t="str">
        <f aca="false">HYPERLINK("https://lindat.mff.cuni.cz/services/PDT-Vallex4.5/PDT-Vallex4.5.html?verb=zasednout", "zasednout")</f>
        <v>zasednout</v>
      </c>
      <c r="D434" s="1" t="n">
        <v>3</v>
      </c>
      <c r="E434" s="1" t="n">
        <v>2</v>
      </c>
      <c r="F434" s="2" t="s">
        <v>559</v>
      </c>
      <c r="L434" s="1" t="s">
        <v>1010</v>
      </c>
    </row>
    <row r="435" customFormat="false" ht="12.75" hidden="false" customHeight="false" outlineLevel="0" collapsed="false">
      <c r="A435" s="1" t="str">
        <f aca="false">HYPERLINK("https://lindat.mff.cuni.cz/services/PDT-Vallex4.5/PDT-Vallex4.5.html?verb=pojmenovat#v41gaeC", "v41gaeC")</f>
        <v>v41gaeC</v>
      </c>
      <c r="B435" s="1" t="s">
        <v>1011</v>
      </c>
      <c r="C435" s="1" t="str">
        <f aca="false">HYPERLINK("https://lindat.mff.cuni.cz/services/PDT-Vallex4.5/PDT-Vallex4.5.html?verb=pojmenovat", "pojmenovat")</f>
        <v>pojmenovat</v>
      </c>
      <c r="D435" s="1" t="n">
        <v>3</v>
      </c>
      <c r="E435" s="1" t="n">
        <v>1</v>
      </c>
      <c r="F435" s="2" t="s">
        <v>16</v>
      </c>
      <c r="L435" s="1" t="s">
        <v>1012</v>
      </c>
      <c r="M435" s="1" t="s">
        <v>1013</v>
      </c>
    </row>
    <row r="436" customFormat="false" ht="12.75" hidden="false" customHeight="false" outlineLevel="0" collapsed="false">
      <c r="A436" s="1" t="str">
        <f aca="false">HYPERLINK("https://lindat.mff.cuni.cz/services/PDT-Vallex4.5/PDT-Vallex4.5.html?verb=lemovat#v41bzkB", "v41bzkB")</f>
        <v>v41bzkB</v>
      </c>
      <c r="B436" s="1" t="s">
        <v>1014</v>
      </c>
      <c r="C436" s="1" t="str">
        <f aca="false">HYPERLINK("https://lindat.mff.cuni.cz/services/PDT-Vallex4.5/PDT-Vallex4.5.html?verb=lemovat", "lemovat")</f>
        <v>lemovat</v>
      </c>
      <c r="D436" s="1" t="n">
        <v>3</v>
      </c>
      <c r="E436" s="1" t="n">
        <v>2</v>
      </c>
      <c r="F436" s="2" t="s">
        <v>16</v>
      </c>
      <c r="L436" s="1" t="s">
        <v>1015</v>
      </c>
      <c r="M436" s="1" t="s">
        <v>1016</v>
      </c>
    </row>
    <row r="437" customFormat="false" ht="12.75" hidden="false" customHeight="false" outlineLevel="0" collapsed="false">
      <c r="A437" s="1" t="str">
        <f aca="false">HYPERLINK("https://lindat.mff.cuni.cz/services/PDT-Vallex4.5/PDT-Vallex4.5.html?verb=nastavovat#v41dclB", "v41dclB")</f>
        <v>v41dclB</v>
      </c>
      <c r="B437" s="1" t="s">
        <v>1017</v>
      </c>
      <c r="C437" s="1" t="str">
        <f aca="false">HYPERLINK("https://lindat.mff.cuni.cz/services/PDT-Vallex4.5/PDT-Vallex4.5.html?verb=nastavovat", "nastavovat")</f>
        <v>nastavovat</v>
      </c>
      <c r="D437" s="1" t="n">
        <v>3</v>
      </c>
      <c r="E437" s="1" t="n">
        <v>2</v>
      </c>
      <c r="F437" s="2" t="s">
        <v>16</v>
      </c>
      <c r="L437" s="1" t="s">
        <v>780</v>
      </c>
      <c r="M437" s="1" t="s">
        <v>781</v>
      </c>
    </row>
    <row r="438" customFormat="false" ht="12.75" hidden="false" customHeight="false" outlineLevel="0" collapsed="false">
      <c r="A438" s="1" t="str">
        <f aca="false">HYPERLINK("https://lindat.mff.cuni.cz/services/PDT-Vallex4.5/PDT-Vallex4.5.html?verb=rozestavět#v41jpeB", "v41jpeB")</f>
        <v>v41jpeB</v>
      </c>
      <c r="B438" s="1" t="s">
        <v>1018</v>
      </c>
      <c r="C438" s="1" t="str">
        <f aca="false">HYPERLINK("https://lindat.mff.cuni.cz/services/PDT-Vallex4.5/PDT-Vallex4.5.html?verb=rozestavět", "rozestavět")</f>
        <v>rozestavět</v>
      </c>
      <c r="D438" s="1" t="n">
        <v>3</v>
      </c>
      <c r="E438" s="1" t="n">
        <v>3</v>
      </c>
      <c r="F438" s="2" t="s">
        <v>569</v>
      </c>
      <c r="L438" s="1" t="s">
        <v>1019</v>
      </c>
    </row>
    <row r="439" customFormat="false" ht="12.75" hidden="false" customHeight="false" outlineLevel="0" collapsed="false">
      <c r="A439" s="1" t="str">
        <f aca="false">HYPERLINK("https://lindat.mff.cuni.cz/services/PDT-Vallex4.5/PDT-Vallex4.5.html?verb=soustředit se#v41kzdB", "v41kzdB")</f>
        <v>v41kzdB</v>
      </c>
      <c r="B439" s="1" t="s">
        <v>1020</v>
      </c>
      <c r="C439" s="1" t="str">
        <f aca="false">HYPERLINK("https://lindat.mff.cuni.cz/services/PDT-Vallex4.5/PDT-Vallex4.5.html?verb=soustředit se", "soustředit se")</f>
        <v>soustředit se</v>
      </c>
      <c r="D439" s="1" t="n">
        <v>3</v>
      </c>
      <c r="E439" s="1" t="n">
        <v>1</v>
      </c>
      <c r="F439" s="2" t="s">
        <v>1021</v>
      </c>
      <c r="L439" s="1" t="s">
        <v>1022</v>
      </c>
    </row>
    <row r="440" customFormat="false" ht="12.75" hidden="false" customHeight="false" outlineLevel="0" collapsed="false">
      <c r="A440" s="1" t="str">
        <f aca="false">HYPERLINK("https://lindat.mff.cuni.cz/services/PDT-Vallex4.5/PDT-Vallex4.5.html?verb=ucítit#v41mgcC", "v41mgcC")</f>
        <v>v41mgcC</v>
      </c>
      <c r="B440" s="1" t="s">
        <v>1023</v>
      </c>
      <c r="C440" s="1" t="str">
        <f aca="false">HYPERLINK("https://lindat.mff.cuni.cz/services/PDT-Vallex4.5/PDT-Vallex4.5.html?verb=ucítit", "ucítit")</f>
        <v>ucítit</v>
      </c>
      <c r="D440" s="1" t="n">
        <v>3</v>
      </c>
      <c r="E440" s="1" t="n">
        <v>1</v>
      </c>
      <c r="F440" s="2" t="s">
        <v>167</v>
      </c>
      <c r="L440" s="1" t="s">
        <v>168</v>
      </c>
    </row>
    <row r="441" customFormat="false" ht="12.75" hidden="false" customHeight="false" outlineLevel="0" collapsed="false">
      <c r="A441" s="1" t="str">
        <f aca="false">HYPERLINK("https://lindat.mff.cuni.cz/services/PDT-Vallex4.5/PDT-Vallex4.5.html?verb=zastřešit#v41qnbA", "v41qnbA")</f>
        <v>v41qnbA</v>
      </c>
      <c r="B441" s="1" t="s">
        <v>1024</v>
      </c>
      <c r="C441" s="1" t="str">
        <f aca="false">HYPERLINK("https://lindat.mff.cuni.cz/services/PDT-Vallex4.5/PDT-Vallex4.5.html?verb=zastřešit", "zastřešit")</f>
        <v>zastřešit</v>
      </c>
      <c r="D441" s="1" t="n">
        <v>3</v>
      </c>
      <c r="E441" s="1" t="n">
        <v>3</v>
      </c>
      <c r="F441" s="2" t="s">
        <v>64</v>
      </c>
      <c r="N441" s="1" t="s">
        <v>1025</v>
      </c>
    </row>
    <row r="442" customFormat="false" ht="12.75" hidden="false" customHeight="false" outlineLevel="0" collapsed="false">
      <c r="A442" s="1" t="str">
        <f aca="false">HYPERLINK("https://lindat.mff.cuni.cz/services/PDT-Vallex4.5/PDT-Vallex4.5.html?verb=zastřešit#v41qnbC", "v41qnbC")</f>
        <v>v41qnbC</v>
      </c>
      <c r="B442" s="1" t="s">
        <v>1024</v>
      </c>
      <c r="C442" s="1" t="str">
        <f aca="false">HYPERLINK("https://lindat.mff.cuni.cz/services/PDT-Vallex4.5/PDT-Vallex4.5.html?verb=zastřešit", "zastřešit")</f>
        <v>zastřešit</v>
      </c>
      <c r="D442" s="1" t="n">
        <v>3</v>
      </c>
      <c r="E442" s="1" t="n">
        <v>3</v>
      </c>
      <c r="F442" s="2" t="s">
        <v>1026</v>
      </c>
      <c r="L442" s="1" t="s">
        <v>1027</v>
      </c>
      <c r="N442" s="1" t="s">
        <v>1028</v>
      </c>
    </row>
    <row r="443" customFormat="false" ht="12.75" hidden="false" customHeight="false" outlineLevel="0" collapsed="false">
      <c r="A443" s="1" t="str">
        <f aca="false">HYPERLINK("https://lindat.mff.cuni.cz/services/PDT-Vallex4.5/PDT-Vallex4.5.html?verb=šuškat#v41lvyB", "v41lvyB")</f>
        <v>v41lvyB</v>
      </c>
      <c r="B443" s="1" t="s">
        <v>1029</v>
      </c>
      <c r="C443" s="1" t="str">
        <f aca="false">HYPERLINK("https://lindat.mff.cuni.cz/services/PDT-Vallex4.5/PDT-Vallex4.5.html?verb=šuškat", "šuškat")</f>
        <v>šuškat</v>
      </c>
      <c r="D443" s="1" t="n">
        <v>3</v>
      </c>
      <c r="E443" s="1" t="n">
        <v>1</v>
      </c>
      <c r="F443" s="2" t="s">
        <v>891</v>
      </c>
      <c r="L443" s="1" t="s">
        <v>1030</v>
      </c>
    </row>
    <row r="444" customFormat="false" ht="12.75" hidden="false" customHeight="false" outlineLevel="0" collapsed="false">
      <c r="A444" s="1" t="str">
        <f aca="false">HYPERLINK("https://lindat.mff.cuni.cz/services/PDT-Vallex4.5/PDT-Vallex4.5.html?verb=přibývat#v41ipjA", "v41ipjA")</f>
        <v>v41ipjA</v>
      </c>
      <c r="B444" s="1" t="s">
        <v>1031</v>
      </c>
      <c r="C444" s="1" t="str">
        <f aca="false">HYPERLINK("https://lindat.mff.cuni.cz/services/PDT-Vallex4.5/PDT-Vallex4.5.html?verb=přibývat", "přibývat")</f>
        <v>přibývat</v>
      </c>
      <c r="D444" s="1" t="n">
        <v>3</v>
      </c>
      <c r="E444" s="1" t="n">
        <v>3</v>
      </c>
      <c r="F444" s="2" t="s">
        <v>527</v>
      </c>
      <c r="L444" s="1" t="s">
        <v>1032</v>
      </c>
    </row>
    <row r="445" customFormat="false" ht="12.75" hidden="false" customHeight="false" outlineLevel="0" collapsed="false">
      <c r="A445" s="1" t="str">
        <f aca="false">HYPERLINK("https://lindat.mff.cuni.cz/services/PDT-Vallex4.5/PDT-Vallex4.5.html?verb=zajít#v41pweC", "v41pweC")</f>
        <v>v41pweC</v>
      </c>
      <c r="B445" s="1" t="s">
        <v>1033</v>
      </c>
      <c r="C445" s="1" t="str">
        <f aca="false">HYPERLINK("https://lindat.mff.cuni.cz/services/PDT-Vallex4.5/PDT-Vallex4.5.html?verb=zajít", "zajít")</f>
        <v>zajít</v>
      </c>
      <c r="D445" s="1" t="n">
        <v>3</v>
      </c>
      <c r="E445" s="1" t="n">
        <v>2</v>
      </c>
      <c r="F445" s="2" t="s">
        <v>16</v>
      </c>
      <c r="L445" s="1" t="s">
        <v>1034</v>
      </c>
      <c r="M445" s="3" t="s">
        <v>1035</v>
      </c>
    </row>
    <row r="446" customFormat="false" ht="12.75" hidden="false" customHeight="false" outlineLevel="0" collapsed="false">
      <c r="A446" s="1" t="str">
        <f aca="false">HYPERLINK("https://lindat.mff.cuni.cz/services/PDT-Vallex4.5/PDT-Vallex4.5.html?verb=zbystřit#v41qwuA", "v41qwuA")</f>
        <v>v41qwuA</v>
      </c>
      <c r="B446" s="1" t="s">
        <v>1036</v>
      </c>
      <c r="C446" s="1" t="str">
        <f aca="false">HYPERLINK("https://lindat.mff.cuni.cz/services/PDT-Vallex4.5/PDT-Vallex4.5.html?verb=zbystřit", "zbystřit")</f>
        <v>zbystřit</v>
      </c>
      <c r="D446" s="1" t="n">
        <v>3</v>
      </c>
      <c r="E446" s="1" t="n">
        <v>3</v>
      </c>
      <c r="F446" s="2" t="s">
        <v>1037</v>
      </c>
      <c r="L446" s="1" t="s">
        <v>1038</v>
      </c>
    </row>
    <row r="447" customFormat="false" ht="12.75" hidden="false" customHeight="false" outlineLevel="0" collapsed="false">
      <c r="A447" s="1" t="str">
        <f aca="false">HYPERLINK("https://lindat.mff.cuni.cz/services/PDT-Vallex4.5/PDT-Vallex4.5.html?verb=ořezat#v41eylB", "v41eylB")</f>
        <v>v41eylB</v>
      </c>
      <c r="B447" s="1" t="s">
        <v>1039</v>
      </c>
      <c r="C447" s="1" t="str">
        <f aca="false">HYPERLINK("https://lindat.mff.cuni.cz/services/PDT-Vallex4.5/PDT-Vallex4.5.html?verb=ořezat", "ořezat")</f>
        <v>ořezat</v>
      </c>
      <c r="D447" s="1" t="n">
        <v>3</v>
      </c>
      <c r="E447" s="1" t="n">
        <v>2</v>
      </c>
      <c r="F447" s="2" t="s">
        <v>1040</v>
      </c>
      <c r="L447" s="1" t="s">
        <v>1041</v>
      </c>
    </row>
    <row r="448" customFormat="false" ht="12.75" hidden="false" customHeight="false" outlineLevel="0" collapsed="false">
      <c r="A448" s="1" t="str">
        <f aca="false">HYPERLINK("https://lindat.mff.cuni.cz/services/PDT-Vallex4.5/PDT-Vallex4.5.html?verb=ořezat#v41eylC", "v41eylC")</f>
        <v>v41eylC</v>
      </c>
      <c r="B448" s="1" t="s">
        <v>1039</v>
      </c>
      <c r="C448" s="1" t="str">
        <f aca="false">HYPERLINK("https://lindat.mff.cuni.cz/services/PDT-Vallex4.5/PDT-Vallex4.5.html?verb=ořezat", "ořezat")</f>
        <v>ořezat</v>
      </c>
      <c r="D448" s="1" t="n">
        <v>3</v>
      </c>
      <c r="E448" s="1" t="n">
        <v>2</v>
      </c>
      <c r="F448" s="2" t="s">
        <v>1042</v>
      </c>
      <c r="L448" s="1" t="s">
        <v>1043</v>
      </c>
    </row>
    <row r="449" customFormat="false" ht="12.75" hidden="false" customHeight="false" outlineLevel="0" collapsed="false">
      <c r="A449" s="1" t="str">
        <f aca="false">HYPERLINK("https://lindat.mff.cuni.cz/services/PDT-Vallex4.5/PDT-Vallex4.5.html?verb=prohlašovat#v41hdgC", "v41hdgC")</f>
        <v>v41hdgC</v>
      </c>
      <c r="B449" s="1" t="s">
        <v>1044</v>
      </c>
      <c r="C449" s="1" t="str">
        <f aca="false">HYPERLINK("https://lindat.mff.cuni.cz/services/PDT-Vallex4.5/PDT-Vallex4.5.html?verb=prohlašovat", "prohlašovat")</f>
        <v>prohlašovat</v>
      </c>
      <c r="D449" s="1" t="n">
        <v>3</v>
      </c>
      <c r="E449" s="1" t="n">
        <v>1</v>
      </c>
      <c r="F449" s="2" t="s">
        <v>374</v>
      </c>
      <c r="L449" s="1" t="s">
        <v>375</v>
      </c>
    </row>
    <row r="450" customFormat="false" ht="12.75" hidden="false" customHeight="false" outlineLevel="0" collapsed="false">
      <c r="A450" s="1" t="str">
        <f aca="false">HYPERLINK("https://lindat.mff.cuni.cz/services/PDT-Vallex4.5/PDT-Vallex4.5.html?verb=cukat#v41lxB", "v41lxB")</f>
        <v>v41lxB</v>
      </c>
      <c r="B450" s="1" t="s">
        <v>1045</v>
      </c>
      <c r="C450" s="1" t="str">
        <f aca="false">HYPERLINK("https://lindat.mff.cuni.cz/services/PDT-Vallex4.5/PDT-Vallex4.5.html?verb=cukat", "cukat")</f>
        <v>cukat</v>
      </c>
      <c r="D450" s="1" t="n">
        <v>3</v>
      </c>
      <c r="E450" s="1" t="n">
        <v>3</v>
      </c>
      <c r="F450" s="2" t="s">
        <v>16</v>
      </c>
      <c r="L450" s="1" t="s">
        <v>1046</v>
      </c>
      <c r="M450" s="1" t="s">
        <v>303</v>
      </c>
    </row>
    <row r="451" customFormat="false" ht="12.75" hidden="false" customHeight="false" outlineLevel="0" collapsed="false">
      <c r="A451" s="1" t="str">
        <f aca="false">HYPERLINK("https://lindat.mff.cuni.cz/services/PDT-Vallex4.5/PDT-Vallex4.5.html?verb=cukat#v41lxC", "v41lxC")</f>
        <v>v41lxC</v>
      </c>
      <c r="B451" s="1" t="s">
        <v>1045</v>
      </c>
      <c r="C451" s="1" t="str">
        <f aca="false">HYPERLINK("https://lindat.mff.cuni.cz/services/PDT-Vallex4.5/PDT-Vallex4.5.html?verb=cukat", "cukat")</f>
        <v>cukat</v>
      </c>
      <c r="D451" s="1" t="n">
        <v>3</v>
      </c>
      <c r="E451" s="1" t="n">
        <v>3</v>
      </c>
      <c r="F451" s="2" t="s">
        <v>16</v>
      </c>
      <c r="L451" s="1" t="s">
        <v>1046</v>
      </c>
      <c r="M451" s="1" t="s">
        <v>303</v>
      </c>
    </row>
    <row r="452" customFormat="false" ht="12.75" hidden="false" customHeight="false" outlineLevel="0" collapsed="false">
      <c r="A452" s="1" t="str">
        <f aca="false">HYPERLINK("https://lindat.mff.cuni.cz/services/PDT-Vallex4.5/PDT-Vallex4.5.html?verb=popudit#v41gigA", "v41gigA")</f>
        <v>v41gigA</v>
      </c>
      <c r="B452" s="1" t="s">
        <v>1047</v>
      </c>
      <c r="C452" s="1" t="str">
        <f aca="false">HYPERLINK("https://lindat.mff.cuni.cz/services/PDT-Vallex4.5/PDT-Vallex4.5.html?verb=popudit", "popudit")</f>
        <v>popudit</v>
      </c>
      <c r="D452" s="1" t="n">
        <v>3</v>
      </c>
      <c r="E452" s="1" t="n">
        <v>1</v>
      </c>
      <c r="F452" s="2" t="s">
        <v>1048</v>
      </c>
      <c r="L452" s="1" t="s">
        <v>1049</v>
      </c>
    </row>
    <row r="453" customFormat="false" ht="12.75" hidden="false" customHeight="false" outlineLevel="0" collapsed="false">
      <c r="A453" s="1" t="str">
        <f aca="false">HYPERLINK("https://lindat.mff.cuni.cz/services/PDT-Vallex4.5/PDT-Vallex4.5.html?verb=prostavět#v41hnoA", "v41hnoA")</f>
        <v>v41hnoA</v>
      </c>
      <c r="B453" s="1" t="s">
        <v>1050</v>
      </c>
      <c r="C453" s="1" t="str">
        <f aca="false">HYPERLINK("https://lindat.mff.cuni.cz/services/PDT-Vallex4.5/PDT-Vallex4.5.html?verb=prostavět", "prostavět")</f>
        <v>prostavět</v>
      </c>
      <c r="D453" s="1" t="n">
        <v>3</v>
      </c>
      <c r="E453" s="1" t="n">
        <v>3</v>
      </c>
      <c r="F453" s="2" t="s">
        <v>1051</v>
      </c>
      <c r="L453" s="1" t="s">
        <v>1052</v>
      </c>
      <c r="N453" s="1" t="s">
        <v>1053</v>
      </c>
    </row>
    <row r="454" customFormat="false" ht="12.75" hidden="false" customHeight="false" outlineLevel="0" collapsed="false">
      <c r="A454" s="1" t="str">
        <f aca="false">HYPERLINK("https://lindat.mff.cuni.cz/services/PDT-Vallex4.5/PDT-Vallex4.5.html?verb=prostavět#v41hnoB", "v41hnoB")</f>
        <v>v41hnoB</v>
      </c>
      <c r="B454" s="1" t="s">
        <v>1050</v>
      </c>
      <c r="C454" s="1" t="str">
        <f aca="false">HYPERLINK("https://lindat.mff.cuni.cz/services/PDT-Vallex4.5/PDT-Vallex4.5.html?verb=prostavět", "prostavět")</f>
        <v>prostavět</v>
      </c>
      <c r="D454" s="1" t="n">
        <v>3</v>
      </c>
      <c r="E454" s="1" t="n">
        <v>3</v>
      </c>
      <c r="F454" s="2" t="s">
        <v>1051</v>
      </c>
      <c r="L454" s="1" t="s">
        <v>1052</v>
      </c>
    </row>
    <row r="455" customFormat="false" ht="12.75" hidden="false" customHeight="false" outlineLevel="0" collapsed="false">
      <c r="A455" s="1" t="str">
        <f aca="false">HYPERLINK("https://lindat.mff.cuni.cz/services/PDT-Vallex4.5/PDT-Vallex4.5.html?verb=předurčit#v41hyyA", "v41hyyA")</f>
        <v>v41hyyA</v>
      </c>
      <c r="B455" s="1" t="s">
        <v>1054</v>
      </c>
      <c r="C455" s="1" t="str">
        <f aca="false">HYPERLINK("https://lindat.mff.cuni.cz/services/PDT-Vallex4.5/PDT-Vallex4.5.html?verb=předurčit", "předurčit")</f>
        <v>předurčit</v>
      </c>
      <c r="D455" s="1" t="n">
        <v>3</v>
      </c>
      <c r="E455" s="1" t="n">
        <v>2</v>
      </c>
      <c r="F455" s="2" t="s">
        <v>16</v>
      </c>
      <c r="L455" s="1" t="s">
        <v>1055</v>
      </c>
      <c r="M455" s="1" t="s">
        <v>1056</v>
      </c>
    </row>
    <row r="456" customFormat="false" ht="12.75" hidden="false" customHeight="false" outlineLevel="0" collapsed="false">
      <c r="A456" s="1" t="str">
        <f aca="false">HYPERLINK("https://lindat.mff.cuni.cz/services/PDT-Vallex4.5/PDT-Vallex4.5.html?verb=předurčit#v41hyyB", "v41hyyB")</f>
        <v>v41hyyB</v>
      </c>
      <c r="B456" s="1" t="s">
        <v>1054</v>
      </c>
      <c r="C456" s="1" t="str">
        <f aca="false">HYPERLINK("https://lindat.mff.cuni.cz/services/PDT-Vallex4.5/PDT-Vallex4.5.html?verb=předurčit", "předurčit")</f>
        <v>předurčit</v>
      </c>
      <c r="D456" s="1" t="n">
        <v>3</v>
      </c>
      <c r="E456" s="1" t="n">
        <v>2</v>
      </c>
      <c r="F456" s="2" t="s">
        <v>540</v>
      </c>
      <c r="L456" s="1" t="s">
        <v>1057</v>
      </c>
    </row>
    <row r="457" customFormat="false" ht="12.75" hidden="false" customHeight="false" outlineLevel="0" collapsed="false">
      <c r="A457" s="1" t="str">
        <f aca="false">HYPERLINK("https://lindat.mff.cuni.cz/services/PDT-Vallex4.5/PDT-Vallex4.5.html?verb=předurčovat#v41hyzB", "v41hyzB")</f>
        <v>v41hyzB</v>
      </c>
      <c r="B457" s="1" t="s">
        <v>1058</v>
      </c>
      <c r="C457" s="1" t="str">
        <f aca="false">HYPERLINK("https://lindat.mff.cuni.cz/services/PDT-Vallex4.5/PDT-Vallex4.5.html?verb=předurčovat", "předurčovat")</f>
        <v>předurčovat</v>
      </c>
      <c r="D457" s="1" t="n">
        <v>3</v>
      </c>
      <c r="E457" s="1" t="n">
        <v>2</v>
      </c>
      <c r="F457" s="2" t="s">
        <v>540</v>
      </c>
      <c r="L457" s="1" t="s">
        <v>1057</v>
      </c>
    </row>
    <row r="458" customFormat="false" ht="12.75" hidden="false" customHeight="false" outlineLevel="0" collapsed="false">
      <c r="A458" s="1" t="str">
        <f aca="false">HYPERLINK("https://lindat.mff.cuni.cz/services/PDT-Vallex4.5/PDT-Vallex4.5.html?verb=vymrštit#v41olbC", "v41olbC")</f>
        <v>v41olbC</v>
      </c>
      <c r="B458" s="1" t="s">
        <v>1059</v>
      </c>
      <c r="C458" s="1" t="str">
        <f aca="false">HYPERLINK("https://lindat.mff.cuni.cz/services/PDT-Vallex4.5/PDT-Vallex4.5.html?verb=vymrštit", "vymrštit")</f>
        <v>vymrštit</v>
      </c>
      <c r="D458" s="1" t="n">
        <v>3</v>
      </c>
      <c r="E458" s="1" t="n">
        <v>2</v>
      </c>
      <c r="F458" s="2" t="s">
        <v>1060</v>
      </c>
      <c r="L458" s="1" t="s">
        <v>1061</v>
      </c>
    </row>
    <row r="459" customFormat="false" ht="12.75" hidden="false" customHeight="false" outlineLevel="0" collapsed="false">
      <c r="A459" s="1" t="str">
        <f aca="false">HYPERLINK("https://lindat.mff.cuni.cz/services/PDT-Vallex4.5/PDT-Vallex4.5.html?verb=prosáknout#v41hmeA", "v41hmeA")</f>
        <v>v41hmeA</v>
      </c>
      <c r="B459" s="1" t="s">
        <v>1062</v>
      </c>
      <c r="C459" s="1" t="str">
        <f aca="false">HYPERLINK("https://lindat.mff.cuni.cz/services/PDT-Vallex4.5/PDT-Vallex4.5.html?verb=prosáknout", "prosáknout")</f>
        <v>prosáknout</v>
      </c>
      <c r="D459" s="1" t="n">
        <v>3</v>
      </c>
      <c r="E459" s="1" t="n">
        <v>2</v>
      </c>
      <c r="F459" s="2" t="s">
        <v>1063</v>
      </c>
      <c r="L459" s="1" t="s">
        <v>1064</v>
      </c>
    </row>
    <row r="460" customFormat="false" ht="12.75" hidden="false" customHeight="false" outlineLevel="0" collapsed="false">
      <c r="A460" s="1" t="str">
        <f aca="false">HYPERLINK("https://lindat.mff.cuni.cz/services/PDT-Vallex4.5/PDT-Vallex4.5.html?verb=odpálit#v41efeB", "v41efeB")</f>
        <v>v41efeB</v>
      </c>
      <c r="B460" s="1" t="s">
        <v>1065</v>
      </c>
      <c r="C460" s="1" t="str">
        <f aca="false">HYPERLINK("https://lindat.mff.cuni.cz/services/PDT-Vallex4.5/PDT-Vallex4.5.html?verb=odpálit", "odpálit")</f>
        <v>odpálit</v>
      </c>
      <c r="D460" s="1" t="n">
        <v>3</v>
      </c>
      <c r="E460" s="1" t="n">
        <v>2</v>
      </c>
      <c r="F460" s="2" t="s">
        <v>1066</v>
      </c>
      <c r="L460" s="1" t="s">
        <v>1067</v>
      </c>
    </row>
    <row r="461" customFormat="false" ht="12.75" hidden="false" customHeight="false" outlineLevel="0" collapsed="false">
      <c r="A461" s="1" t="str">
        <f aca="false">HYPERLINK("https://lindat.mff.cuni.cz/services/PDT-Vallex4.5/PDT-Vallex4.5.html?verb=pozvednout#v41gxhA", "v41gxhA")</f>
        <v>v41gxhA</v>
      </c>
      <c r="B461" s="1" t="s">
        <v>1068</v>
      </c>
      <c r="C461" s="1" t="str">
        <f aca="false">HYPERLINK("https://lindat.mff.cuni.cz/services/PDT-Vallex4.5/PDT-Vallex4.5.html?verb=pozvednout", "pozvednout")</f>
        <v>pozvednout</v>
      </c>
      <c r="D461" s="1" t="n">
        <v>3</v>
      </c>
      <c r="E461" s="1" t="n">
        <v>2</v>
      </c>
      <c r="F461" s="2" t="s">
        <v>1069</v>
      </c>
      <c r="L461" s="1" t="s">
        <v>1070</v>
      </c>
    </row>
    <row r="462" customFormat="false" ht="12.75" hidden="false" customHeight="false" outlineLevel="0" collapsed="false">
      <c r="A462" s="1" t="str">
        <f aca="false">HYPERLINK("https://lindat.mff.cuni.cz/services/PDT-Vallex4.5/PDT-Vallex4.5.html?verb=přibližovat#v41iozB", "v41iozB")</f>
        <v>v41iozB</v>
      </c>
      <c r="B462" s="1" t="s">
        <v>1071</v>
      </c>
      <c r="C462" s="1" t="str">
        <f aca="false">HYPERLINK("https://lindat.mff.cuni.cz/services/PDT-Vallex4.5/PDT-Vallex4.5.html?verb=přibližovat", "přibližovat")</f>
        <v>přibližovat</v>
      </c>
      <c r="D462" s="1" t="n">
        <v>3</v>
      </c>
      <c r="E462" s="1" t="n">
        <v>1</v>
      </c>
      <c r="F462" s="2" t="s">
        <v>1072</v>
      </c>
      <c r="L462" s="1" t="s">
        <v>1073</v>
      </c>
      <c r="N462" s="1" t="s">
        <v>1074</v>
      </c>
    </row>
    <row r="463" customFormat="false" ht="12.75" hidden="false" customHeight="false" outlineLevel="0" collapsed="false">
      <c r="A463" s="1" t="str">
        <f aca="false">HYPERLINK("https://lindat.mff.cuni.cz/services/PDT-Vallex4.5/PDT-Vallex4.5.html?verb=zmocnit se#v41rlqC", "v41rlqC")</f>
        <v>v41rlqC</v>
      </c>
      <c r="B463" s="1" t="s">
        <v>1075</v>
      </c>
      <c r="C463" s="1" t="str">
        <f aca="false">HYPERLINK("https://lindat.mff.cuni.cz/services/PDT-Vallex4.5/PDT-Vallex4.5.html?verb=zmocnit se", "zmocnit se")</f>
        <v>zmocnit se</v>
      </c>
      <c r="D463" s="1" t="n">
        <v>3</v>
      </c>
      <c r="E463" s="1" t="n">
        <v>2</v>
      </c>
      <c r="F463" s="2" t="s">
        <v>16</v>
      </c>
      <c r="L463" s="1" t="s">
        <v>1076</v>
      </c>
      <c r="M463" s="1" t="s">
        <v>1077</v>
      </c>
    </row>
    <row r="464" customFormat="false" ht="12.75" hidden="false" customHeight="false" outlineLevel="0" collapsed="false">
      <c r="A464" s="1" t="str">
        <f aca="false">HYPERLINK("https://lindat.mff.cuni.cz/services/PDT-Vallex4.5/PDT-Vallex4.5.html?verb=otřásat#v41fdyA", "v41fdyA")</f>
        <v>v41fdyA</v>
      </c>
      <c r="B464" s="1" t="s">
        <v>1078</v>
      </c>
      <c r="C464" s="1" t="str">
        <f aca="false">HYPERLINK("https://lindat.mff.cuni.cz/services/PDT-Vallex4.5/PDT-Vallex4.5.html?verb=otřásat", "otřásat")</f>
        <v>otřásat</v>
      </c>
      <c r="D464" s="1" t="n">
        <v>3</v>
      </c>
      <c r="E464" s="1" t="n">
        <v>1</v>
      </c>
      <c r="F464" s="2" t="s">
        <v>840</v>
      </c>
      <c r="L464" s="1" t="s">
        <v>1079</v>
      </c>
      <c r="N464" s="1" t="s">
        <v>1080</v>
      </c>
    </row>
    <row r="465" customFormat="false" ht="12.75" hidden="false" customHeight="false" outlineLevel="0" collapsed="false">
      <c r="A465" s="1" t="str">
        <f aca="false">HYPERLINK("https://lindat.mff.cuni.cz/services/PDT-Vallex4.5/PDT-Vallex4.5.html?verb=vylamovat#v41ohoB", "v41ohoB")</f>
        <v>v41ohoB</v>
      </c>
      <c r="B465" s="1" t="s">
        <v>1081</v>
      </c>
      <c r="C465" s="1" t="str">
        <f aca="false">HYPERLINK("https://lindat.mff.cuni.cz/services/PDT-Vallex4.5/PDT-Vallex4.5.html?verb=vylamovat", "vylamovat")</f>
        <v>vylamovat</v>
      </c>
      <c r="D465" s="1" t="n">
        <v>3</v>
      </c>
      <c r="E465" s="1" t="n">
        <v>3</v>
      </c>
      <c r="F465" s="2" t="s">
        <v>1082</v>
      </c>
      <c r="L465" s="1" t="s">
        <v>1083</v>
      </c>
    </row>
    <row r="466" customFormat="false" ht="12.75" hidden="false" customHeight="false" outlineLevel="0" collapsed="false">
      <c r="A466" s="1" t="str">
        <f aca="false">HYPERLINK("https://lindat.mff.cuni.cz/services/PDT-Vallex4.5/PDT-Vallex4.5.html?verb=vylamovat#v41ohoC", "v41ohoC")</f>
        <v>v41ohoC</v>
      </c>
      <c r="B466" s="1" t="s">
        <v>1081</v>
      </c>
      <c r="C466" s="1" t="str">
        <f aca="false">HYPERLINK("https://lindat.mff.cuni.cz/services/PDT-Vallex4.5/PDT-Vallex4.5.html?verb=vylamovat", "vylamovat")</f>
        <v>vylamovat</v>
      </c>
      <c r="D466" s="1" t="n">
        <v>3</v>
      </c>
      <c r="E466" s="1" t="n">
        <v>3</v>
      </c>
      <c r="F466" s="2" t="s">
        <v>1084</v>
      </c>
      <c r="L466" s="1" t="s">
        <v>1085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2025-09-18T15:07:27Z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