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OneDrive\Plocha\DataSynSemClass_hierarchy\"/>
    </mc:Choice>
  </mc:AlternateContent>
  <xr:revisionPtr revIDLastSave="0" documentId="13_ncr:1_{7EB1167A-F8DC-46D8-BCD0-BB68C076EE70}" xr6:coauthVersionLast="47" xr6:coauthVersionMax="47" xr10:uidLastSave="{00000000-0000-0000-0000-000000000000}"/>
  <bookViews>
    <workbookView xWindow="-120" yWindow="-120" windowWidth="24240" windowHeight="13140" tabRatio="500" xr2:uid="{00000000-000D-0000-FFFF-FFFF00000000}"/>
  </bookViews>
  <sheets>
    <sheet name="a" sheetId="1" r:id="rId1"/>
  </sheets>
  <calcPr calcId="181029"/>
  <extLst>
    <ext xmlns:loext="http://schemas.libreoffice.org/" uri="{7626C862-2A13-11E5-B345-FEFF819CDC9F}">
      <loext:extCalcPr stringRefSyntax="CalcA1"/>
    </ext>
  </extLst>
</workbook>
</file>

<file path=xl/calcChain.xml><?xml version="1.0" encoding="utf-8"?>
<calcChain xmlns="http://schemas.openxmlformats.org/spreadsheetml/2006/main">
  <c r="AE700" i="1" l="1"/>
  <c r="Z700" i="1"/>
  <c r="U700" i="1"/>
  <c r="P700" i="1"/>
  <c r="K700" i="1"/>
  <c r="B700" i="1"/>
  <c r="A700" i="1"/>
  <c r="AE698" i="1"/>
  <c r="Z698" i="1"/>
  <c r="U698" i="1"/>
  <c r="P698" i="1"/>
  <c r="K698" i="1"/>
  <c r="B698" i="1"/>
  <c r="A698" i="1"/>
  <c r="AE696" i="1"/>
  <c r="Z696" i="1"/>
  <c r="U696" i="1"/>
  <c r="P696" i="1"/>
  <c r="K696" i="1"/>
  <c r="B696" i="1"/>
  <c r="A696" i="1"/>
  <c r="AE695" i="1"/>
  <c r="Z695" i="1"/>
  <c r="U695" i="1"/>
  <c r="P695" i="1"/>
  <c r="K695" i="1"/>
  <c r="B695" i="1"/>
  <c r="A695" i="1"/>
  <c r="AE693" i="1"/>
  <c r="Z693" i="1"/>
  <c r="U693" i="1"/>
  <c r="P693" i="1"/>
  <c r="K693" i="1"/>
  <c r="B693" i="1"/>
  <c r="A693" i="1"/>
  <c r="AE691" i="1"/>
  <c r="Z691" i="1"/>
  <c r="U691" i="1"/>
  <c r="P691" i="1"/>
  <c r="K691" i="1"/>
  <c r="B691" i="1"/>
  <c r="A691" i="1"/>
  <c r="AE689" i="1"/>
  <c r="Z689" i="1"/>
  <c r="U689" i="1"/>
  <c r="P689" i="1"/>
  <c r="K689" i="1"/>
  <c r="B689" i="1"/>
  <c r="A689" i="1"/>
  <c r="AE687" i="1"/>
  <c r="Z687" i="1"/>
  <c r="U687" i="1"/>
  <c r="P687" i="1"/>
  <c r="K687" i="1"/>
  <c r="B687" i="1"/>
  <c r="A687" i="1"/>
  <c r="AE685" i="1"/>
  <c r="Z685" i="1"/>
  <c r="U685" i="1"/>
  <c r="P685" i="1"/>
  <c r="K685" i="1"/>
  <c r="B685" i="1"/>
  <c r="A685" i="1"/>
  <c r="AE683" i="1"/>
  <c r="Z683" i="1"/>
  <c r="U683" i="1"/>
  <c r="P683" i="1"/>
  <c r="K683" i="1"/>
  <c r="B683" i="1"/>
  <c r="A683" i="1"/>
  <c r="AE681" i="1"/>
  <c r="Z681" i="1"/>
  <c r="U681" i="1"/>
  <c r="P681" i="1"/>
  <c r="K681" i="1"/>
  <c r="B681" i="1"/>
  <c r="A681" i="1"/>
  <c r="AE679" i="1"/>
  <c r="Z679" i="1"/>
  <c r="U679" i="1"/>
  <c r="P679" i="1"/>
  <c r="K679" i="1"/>
  <c r="B679" i="1"/>
  <c r="A679" i="1"/>
  <c r="AE677" i="1"/>
  <c r="Z677" i="1"/>
  <c r="U677" i="1"/>
  <c r="P677" i="1"/>
  <c r="K677" i="1"/>
  <c r="B677" i="1"/>
  <c r="A677" i="1"/>
  <c r="AE675" i="1"/>
  <c r="Z675" i="1"/>
  <c r="U675" i="1"/>
  <c r="P675" i="1"/>
  <c r="K675" i="1"/>
  <c r="B675" i="1"/>
  <c r="A675" i="1"/>
  <c r="AE673" i="1"/>
  <c r="Z673" i="1"/>
  <c r="U673" i="1"/>
  <c r="P673" i="1"/>
  <c r="K673" i="1"/>
  <c r="B673" i="1"/>
  <c r="A673" i="1"/>
  <c r="AE671" i="1"/>
  <c r="Z671" i="1"/>
  <c r="U671" i="1"/>
  <c r="P671" i="1"/>
  <c r="K671" i="1"/>
  <c r="B671" i="1"/>
  <c r="A671" i="1"/>
  <c r="AE669" i="1"/>
  <c r="Z669" i="1"/>
  <c r="U669" i="1"/>
  <c r="P669" i="1"/>
  <c r="K669" i="1"/>
  <c r="B669" i="1"/>
  <c r="A669" i="1"/>
  <c r="AE667" i="1"/>
  <c r="Z667" i="1"/>
  <c r="U667" i="1"/>
  <c r="P667" i="1"/>
  <c r="K667" i="1"/>
  <c r="B667" i="1"/>
  <c r="A667" i="1"/>
  <c r="AE665" i="1"/>
  <c r="Z665" i="1"/>
  <c r="U665" i="1"/>
  <c r="P665" i="1"/>
  <c r="K665" i="1"/>
  <c r="B665" i="1"/>
  <c r="A665" i="1"/>
  <c r="AE663" i="1"/>
  <c r="Z663" i="1"/>
  <c r="U663" i="1"/>
  <c r="P663" i="1"/>
  <c r="K663" i="1"/>
  <c r="B663" i="1"/>
  <c r="A663" i="1"/>
  <c r="AE661" i="1"/>
  <c r="Z661" i="1"/>
  <c r="U661" i="1"/>
  <c r="P661" i="1"/>
  <c r="K661" i="1"/>
  <c r="B661" i="1"/>
  <c r="A661" i="1"/>
  <c r="AE659" i="1"/>
  <c r="Z659" i="1"/>
  <c r="U659" i="1"/>
  <c r="P659" i="1"/>
  <c r="K659" i="1"/>
  <c r="B659" i="1"/>
  <c r="A659" i="1"/>
  <c r="AE657" i="1"/>
  <c r="Z657" i="1"/>
  <c r="U657" i="1"/>
  <c r="P657" i="1"/>
  <c r="K657" i="1"/>
  <c r="B657" i="1"/>
  <c r="A657" i="1"/>
  <c r="AE655" i="1"/>
  <c r="Z655" i="1"/>
  <c r="U655" i="1"/>
  <c r="P655" i="1"/>
  <c r="K655" i="1"/>
  <c r="B655" i="1"/>
  <c r="A655" i="1"/>
  <c r="AE653" i="1"/>
  <c r="Z653" i="1"/>
  <c r="U653" i="1"/>
  <c r="P653" i="1"/>
  <c r="K653" i="1"/>
  <c r="B653" i="1"/>
  <c r="A653" i="1"/>
  <c r="AE651" i="1"/>
  <c r="Z651" i="1"/>
  <c r="U651" i="1"/>
  <c r="P651" i="1"/>
  <c r="K651" i="1"/>
  <c r="B651" i="1"/>
  <c r="A651" i="1"/>
  <c r="AE649" i="1"/>
  <c r="Z649" i="1"/>
  <c r="U649" i="1"/>
  <c r="P649" i="1"/>
  <c r="K649" i="1"/>
  <c r="B649" i="1"/>
  <c r="A649" i="1"/>
  <c r="AE647" i="1"/>
  <c r="Z647" i="1"/>
  <c r="U647" i="1"/>
  <c r="P647" i="1"/>
  <c r="K647" i="1"/>
  <c r="B647" i="1"/>
  <c r="A647" i="1"/>
  <c r="AE645" i="1"/>
  <c r="Z645" i="1"/>
  <c r="U645" i="1"/>
  <c r="P645" i="1"/>
  <c r="K645" i="1"/>
  <c r="B645" i="1"/>
  <c r="A645" i="1"/>
  <c r="AE643" i="1"/>
  <c r="Z643" i="1"/>
  <c r="U643" i="1"/>
  <c r="P643" i="1"/>
  <c r="K643" i="1"/>
  <c r="B643" i="1"/>
  <c r="A643" i="1"/>
  <c r="AE641" i="1"/>
  <c r="Z641" i="1"/>
  <c r="U641" i="1"/>
  <c r="P641" i="1"/>
  <c r="K641" i="1"/>
  <c r="B641" i="1"/>
  <c r="A641" i="1"/>
  <c r="AE639" i="1"/>
  <c r="Z639" i="1"/>
  <c r="U639" i="1"/>
  <c r="P639" i="1"/>
  <c r="K639" i="1"/>
  <c r="B639" i="1"/>
  <c r="A639" i="1"/>
  <c r="AE638" i="1"/>
  <c r="Z638" i="1"/>
  <c r="U638" i="1"/>
  <c r="P638" i="1"/>
  <c r="K638" i="1"/>
  <c r="B638" i="1"/>
  <c r="A638" i="1"/>
  <c r="AE636" i="1"/>
  <c r="Z636" i="1"/>
  <c r="U636" i="1"/>
  <c r="P636" i="1"/>
  <c r="K636" i="1"/>
  <c r="B636" i="1"/>
  <c r="A636" i="1"/>
  <c r="AE634" i="1"/>
  <c r="Z634" i="1"/>
  <c r="U634" i="1"/>
  <c r="P634" i="1"/>
  <c r="K634" i="1"/>
  <c r="B634" i="1"/>
  <c r="A634" i="1"/>
  <c r="AE632" i="1"/>
  <c r="Z632" i="1"/>
  <c r="U632" i="1"/>
  <c r="P632" i="1"/>
  <c r="K632" i="1"/>
  <c r="B632" i="1"/>
  <c r="A632" i="1"/>
  <c r="AE630" i="1"/>
  <c r="Z630" i="1"/>
  <c r="U630" i="1"/>
  <c r="P630" i="1"/>
  <c r="K630" i="1"/>
  <c r="B630" i="1"/>
  <c r="A630" i="1"/>
  <c r="AE628" i="1"/>
  <c r="Z628" i="1"/>
  <c r="U628" i="1"/>
  <c r="P628" i="1"/>
  <c r="K628" i="1"/>
  <c r="B628" i="1"/>
  <c r="A628" i="1"/>
  <c r="AE627" i="1"/>
  <c r="Z627" i="1"/>
  <c r="U627" i="1"/>
  <c r="P627" i="1"/>
  <c r="K627" i="1"/>
  <c r="B627" i="1"/>
  <c r="A627" i="1"/>
  <c r="AE625" i="1"/>
  <c r="Z625" i="1"/>
  <c r="U625" i="1"/>
  <c r="P625" i="1"/>
  <c r="K625" i="1"/>
  <c r="B625" i="1"/>
  <c r="A625" i="1"/>
  <c r="AE623" i="1"/>
  <c r="Z623" i="1"/>
  <c r="U623" i="1"/>
  <c r="P623" i="1"/>
  <c r="K623" i="1"/>
  <c r="B623" i="1"/>
  <c r="A623" i="1"/>
  <c r="AE621" i="1"/>
  <c r="Z621" i="1"/>
  <c r="U621" i="1"/>
  <c r="P621" i="1"/>
  <c r="K621" i="1"/>
  <c r="B621" i="1"/>
  <c r="A621" i="1"/>
  <c r="AE619" i="1"/>
  <c r="Z619" i="1"/>
  <c r="U619" i="1"/>
  <c r="P619" i="1"/>
  <c r="K619" i="1"/>
  <c r="B619" i="1"/>
  <c r="A619" i="1"/>
  <c r="AE617" i="1"/>
  <c r="Z617" i="1"/>
  <c r="U617" i="1"/>
  <c r="P617" i="1"/>
  <c r="K617" i="1"/>
  <c r="B617" i="1"/>
  <c r="A617" i="1"/>
  <c r="AE615" i="1"/>
  <c r="Z615" i="1"/>
  <c r="U615" i="1"/>
  <c r="P615" i="1"/>
  <c r="K615" i="1"/>
  <c r="B615" i="1"/>
  <c r="A615" i="1"/>
  <c r="AE613" i="1"/>
  <c r="Z613" i="1"/>
  <c r="U613" i="1"/>
  <c r="P613" i="1"/>
  <c r="K613" i="1"/>
  <c r="B613" i="1"/>
  <c r="A613" i="1"/>
  <c r="AE611" i="1"/>
  <c r="Z611" i="1"/>
  <c r="U611" i="1"/>
  <c r="P611" i="1"/>
  <c r="K611" i="1"/>
  <c r="B611" i="1"/>
  <c r="A611" i="1"/>
  <c r="AE609" i="1"/>
  <c r="Z609" i="1"/>
  <c r="U609" i="1"/>
  <c r="P609" i="1"/>
  <c r="K609" i="1"/>
  <c r="B609" i="1"/>
  <c r="A609" i="1"/>
  <c r="AE607" i="1"/>
  <c r="Z607" i="1"/>
  <c r="U607" i="1"/>
  <c r="P607" i="1"/>
  <c r="K607" i="1"/>
  <c r="B607" i="1"/>
  <c r="A607" i="1"/>
  <c r="AE605" i="1"/>
  <c r="Z605" i="1"/>
  <c r="U605" i="1"/>
  <c r="P605" i="1"/>
  <c r="K605" i="1"/>
  <c r="B605" i="1"/>
  <c r="A605" i="1"/>
  <c r="AE603" i="1"/>
  <c r="Z603" i="1"/>
  <c r="U603" i="1"/>
  <c r="P603" i="1"/>
  <c r="K603" i="1"/>
  <c r="B603" i="1"/>
  <c r="A603" i="1"/>
  <c r="AE601" i="1"/>
  <c r="Z601" i="1"/>
  <c r="U601" i="1"/>
  <c r="P601" i="1"/>
  <c r="K601" i="1"/>
  <c r="B601" i="1"/>
  <c r="A601" i="1"/>
  <c r="AE599" i="1"/>
  <c r="Z599" i="1"/>
  <c r="U599" i="1"/>
  <c r="P599" i="1"/>
  <c r="K599" i="1"/>
  <c r="B599" i="1"/>
  <c r="A599" i="1"/>
  <c r="AE597" i="1"/>
  <c r="Z597" i="1"/>
  <c r="U597" i="1"/>
  <c r="P597" i="1"/>
  <c r="K597" i="1"/>
  <c r="B597" i="1"/>
  <c r="A597" i="1"/>
  <c r="AE595" i="1"/>
  <c r="Z595" i="1"/>
  <c r="U595" i="1"/>
  <c r="P595" i="1"/>
  <c r="K595" i="1"/>
  <c r="B595" i="1"/>
  <c r="A595" i="1"/>
  <c r="AE593" i="1"/>
  <c r="Z593" i="1"/>
  <c r="U593" i="1"/>
  <c r="P593" i="1"/>
  <c r="K593" i="1"/>
  <c r="B593" i="1"/>
  <c r="A593" i="1"/>
  <c r="AE591" i="1"/>
  <c r="Z591" i="1"/>
  <c r="U591" i="1"/>
  <c r="P591" i="1"/>
  <c r="K591" i="1"/>
  <c r="B591" i="1"/>
  <c r="A591" i="1"/>
  <c r="AE589" i="1"/>
  <c r="Z589" i="1"/>
  <c r="U589" i="1"/>
  <c r="P589" i="1"/>
  <c r="K589" i="1"/>
  <c r="B589" i="1"/>
  <c r="A589" i="1"/>
  <c r="AE587" i="1"/>
  <c r="Z587" i="1"/>
  <c r="U587" i="1"/>
  <c r="P587" i="1"/>
  <c r="K587" i="1"/>
  <c r="B587" i="1"/>
  <c r="A587" i="1"/>
  <c r="AE585" i="1"/>
  <c r="Z585" i="1"/>
  <c r="U585" i="1"/>
  <c r="P585" i="1"/>
  <c r="K585" i="1"/>
  <c r="B585" i="1"/>
  <c r="A585" i="1"/>
  <c r="AE583" i="1"/>
  <c r="Z583" i="1"/>
  <c r="U583" i="1"/>
  <c r="P583" i="1"/>
  <c r="K583" i="1"/>
  <c r="B583" i="1"/>
  <c r="A583" i="1"/>
  <c r="AE581" i="1"/>
  <c r="Z581" i="1"/>
  <c r="U581" i="1"/>
  <c r="P581" i="1"/>
  <c r="K581" i="1"/>
  <c r="B581" i="1"/>
  <c r="A581" i="1"/>
  <c r="AE579" i="1"/>
  <c r="Z579" i="1"/>
  <c r="U579" i="1"/>
  <c r="P579" i="1"/>
  <c r="K579" i="1"/>
  <c r="B579" i="1"/>
  <c r="A579" i="1"/>
  <c r="AE577" i="1"/>
  <c r="Z577" i="1"/>
  <c r="U577" i="1"/>
  <c r="P577" i="1"/>
  <c r="K577" i="1"/>
  <c r="B577" i="1"/>
  <c r="A577" i="1"/>
  <c r="AE575" i="1"/>
  <c r="Z575" i="1"/>
  <c r="U575" i="1"/>
  <c r="P575" i="1"/>
  <c r="K575" i="1"/>
  <c r="B575" i="1"/>
  <c r="A575" i="1"/>
  <c r="AE573" i="1"/>
  <c r="Z573" i="1"/>
  <c r="U573" i="1"/>
  <c r="P573" i="1"/>
  <c r="K573" i="1"/>
  <c r="B573" i="1"/>
  <c r="A573" i="1"/>
  <c r="AE571" i="1"/>
  <c r="Z571" i="1"/>
  <c r="U571" i="1"/>
  <c r="P571" i="1"/>
  <c r="K571" i="1"/>
  <c r="B571" i="1"/>
  <c r="A571" i="1"/>
  <c r="AE569" i="1"/>
  <c r="Z569" i="1"/>
  <c r="U569" i="1"/>
  <c r="P569" i="1"/>
  <c r="K569" i="1"/>
  <c r="B569" i="1"/>
  <c r="A569" i="1"/>
  <c r="AE567" i="1"/>
  <c r="Z567" i="1"/>
  <c r="U567" i="1"/>
  <c r="P567" i="1"/>
  <c r="K567" i="1"/>
  <c r="B567" i="1"/>
  <c r="A567" i="1"/>
  <c r="AE565" i="1"/>
  <c r="Z565" i="1"/>
  <c r="U565" i="1"/>
  <c r="P565" i="1"/>
  <c r="K565" i="1"/>
  <c r="B565" i="1"/>
  <c r="A565" i="1"/>
  <c r="AE563" i="1"/>
  <c r="Z563" i="1"/>
  <c r="U563" i="1"/>
  <c r="P563" i="1"/>
  <c r="K563" i="1"/>
  <c r="B563" i="1"/>
  <c r="A563" i="1"/>
  <c r="AE561" i="1"/>
  <c r="Z561" i="1"/>
  <c r="U561" i="1"/>
  <c r="P561" i="1"/>
  <c r="K561" i="1"/>
  <c r="B561" i="1"/>
  <c r="A561" i="1"/>
  <c r="AE559" i="1"/>
  <c r="Z559" i="1"/>
  <c r="U559" i="1"/>
  <c r="P559" i="1"/>
  <c r="K559" i="1"/>
  <c r="B559" i="1"/>
  <c r="A559" i="1"/>
  <c r="AE557" i="1"/>
  <c r="Z557" i="1"/>
  <c r="U557" i="1"/>
  <c r="P557" i="1"/>
  <c r="K557" i="1"/>
  <c r="B557" i="1"/>
  <c r="A557" i="1"/>
  <c r="AE555" i="1"/>
  <c r="Z555" i="1"/>
  <c r="U555" i="1"/>
  <c r="P555" i="1"/>
  <c r="K555" i="1"/>
  <c r="B555" i="1"/>
  <c r="A555" i="1"/>
  <c r="AE553" i="1"/>
  <c r="Z553" i="1"/>
  <c r="U553" i="1"/>
  <c r="P553" i="1"/>
  <c r="K553" i="1"/>
  <c r="B553" i="1"/>
  <c r="A553" i="1"/>
  <c r="AE551" i="1"/>
  <c r="Z551" i="1"/>
  <c r="U551" i="1"/>
  <c r="P551" i="1"/>
  <c r="K551" i="1"/>
  <c r="B551" i="1"/>
  <c r="A551" i="1"/>
  <c r="AE549" i="1"/>
  <c r="Z549" i="1"/>
  <c r="U549" i="1"/>
  <c r="P549" i="1"/>
  <c r="K549" i="1"/>
  <c r="B549" i="1"/>
  <c r="A549" i="1"/>
  <c r="AE547" i="1"/>
  <c r="Z547" i="1"/>
  <c r="U547" i="1"/>
  <c r="P547" i="1"/>
  <c r="K547" i="1"/>
  <c r="B547" i="1"/>
  <c r="A547" i="1"/>
  <c r="AE545" i="1"/>
  <c r="Z545" i="1"/>
  <c r="U545" i="1"/>
  <c r="P545" i="1"/>
  <c r="K545" i="1"/>
  <c r="B545" i="1"/>
  <c r="A545" i="1"/>
  <c r="AE543" i="1"/>
  <c r="Z543" i="1"/>
  <c r="U543" i="1"/>
  <c r="P543" i="1"/>
  <c r="K543" i="1"/>
  <c r="B543" i="1"/>
  <c r="A543" i="1"/>
  <c r="AE541" i="1"/>
  <c r="Z541" i="1"/>
  <c r="U541" i="1"/>
  <c r="P541" i="1"/>
  <c r="K541" i="1"/>
  <c r="B541" i="1"/>
  <c r="A541" i="1"/>
  <c r="AE539" i="1"/>
  <c r="Z539" i="1"/>
  <c r="U539" i="1"/>
  <c r="P539" i="1"/>
  <c r="K539" i="1"/>
  <c r="B539" i="1"/>
  <c r="A539" i="1"/>
  <c r="AE537" i="1"/>
  <c r="Z537" i="1"/>
  <c r="U537" i="1"/>
  <c r="P537" i="1"/>
  <c r="K537" i="1"/>
  <c r="B537" i="1"/>
  <c r="A537" i="1"/>
  <c r="AE535" i="1"/>
  <c r="Z535" i="1"/>
  <c r="U535" i="1"/>
  <c r="P535" i="1"/>
  <c r="K535" i="1"/>
  <c r="B535" i="1"/>
  <c r="A535" i="1"/>
  <c r="AE533" i="1"/>
  <c r="Z533" i="1"/>
  <c r="U533" i="1"/>
  <c r="P533" i="1"/>
  <c r="K533" i="1"/>
  <c r="B533" i="1"/>
  <c r="A533" i="1"/>
  <c r="AE531" i="1"/>
  <c r="Z531" i="1"/>
  <c r="U531" i="1"/>
  <c r="P531" i="1"/>
  <c r="K531" i="1"/>
  <c r="B531" i="1"/>
  <c r="A531" i="1"/>
  <c r="AE529" i="1"/>
  <c r="Z529" i="1"/>
  <c r="U529" i="1"/>
  <c r="P529" i="1"/>
  <c r="K529" i="1"/>
  <c r="B529" i="1"/>
  <c r="A529" i="1"/>
  <c r="AE527" i="1"/>
  <c r="Z527" i="1"/>
  <c r="U527" i="1"/>
  <c r="P527" i="1"/>
  <c r="K527" i="1"/>
  <c r="B527" i="1"/>
  <c r="A527" i="1"/>
  <c r="AE525" i="1"/>
  <c r="Z525" i="1"/>
  <c r="U525" i="1"/>
  <c r="P525" i="1"/>
  <c r="K525" i="1"/>
  <c r="B525" i="1"/>
  <c r="A525" i="1"/>
  <c r="AE523" i="1"/>
  <c r="Z523" i="1"/>
  <c r="U523" i="1"/>
  <c r="P523" i="1"/>
  <c r="K523" i="1"/>
  <c r="B523" i="1"/>
  <c r="A523" i="1"/>
  <c r="AE521" i="1"/>
  <c r="Z521" i="1"/>
  <c r="U521" i="1"/>
  <c r="P521" i="1"/>
  <c r="K521" i="1"/>
  <c r="B521" i="1"/>
  <c r="A521" i="1"/>
  <c r="AE519" i="1"/>
  <c r="Z519" i="1"/>
  <c r="U519" i="1"/>
  <c r="P519" i="1"/>
  <c r="K519" i="1"/>
  <c r="B519" i="1"/>
  <c r="A519" i="1"/>
  <c r="AE517" i="1"/>
  <c r="Z517" i="1"/>
  <c r="U517" i="1"/>
  <c r="P517" i="1"/>
  <c r="K517" i="1"/>
  <c r="B517" i="1"/>
  <c r="A517" i="1"/>
  <c r="AE515" i="1"/>
  <c r="Z515" i="1"/>
  <c r="U515" i="1"/>
  <c r="P515" i="1"/>
  <c r="K515" i="1"/>
  <c r="B515" i="1"/>
  <c r="A515" i="1"/>
  <c r="AE513" i="1"/>
  <c r="Z513" i="1"/>
  <c r="U513" i="1"/>
  <c r="P513" i="1"/>
  <c r="K513" i="1"/>
  <c r="B513" i="1"/>
  <c r="A513" i="1"/>
  <c r="AE511" i="1"/>
  <c r="Z511" i="1"/>
  <c r="U511" i="1"/>
  <c r="P511" i="1"/>
  <c r="K511" i="1"/>
  <c r="B511" i="1"/>
  <c r="A511" i="1"/>
  <c r="AE509" i="1"/>
  <c r="Z509" i="1"/>
  <c r="U509" i="1"/>
  <c r="P509" i="1"/>
  <c r="K509" i="1"/>
  <c r="B509" i="1"/>
  <c r="A509" i="1"/>
  <c r="AE507" i="1"/>
  <c r="Z507" i="1"/>
  <c r="U507" i="1"/>
  <c r="P507" i="1"/>
  <c r="K507" i="1"/>
  <c r="B507" i="1"/>
  <c r="A507" i="1"/>
  <c r="AE505" i="1"/>
  <c r="Z505" i="1"/>
  <c r="U505" i="1"/>
  <c r="P505" i="1"/>
  <c r="K505" i="1"/>
  <c r="B505" i="1"/>
  <c r="A505" i="1"/>
  <c r="AE503" i="1"/>
  <c r="Z503" i="1"/>
  <c r="U503" i="1"/>
  <c r="P503" i="1"/>
  <c r="K503" i="1"/>
  <c r="B503" i="1"/>
  <c r="A503" i="1"/>
  <c r="AE501" i="1"/>
  <c r="Z501" i="1"/>
  <c r="U501" i="1"/>
  <c r="P501" i="1"/>
  <c r="K501" i="1"/>
  <c r="B501" i="1"/>
  <c r="A501" i="1"/>
  <c r="AE499" i="1"/>
  <c r="Z499" i="1"/>
  <c r="U499" i="1"/>
  <c r="P499" i="1"/>
  <c r="K499" i="1"/>
  <c r="B499" i="1"/>
  <c r="A499" i="1"/>
  <c r="AE497" i="1"/>
  <c r="Z497" i="1"/>
  <c r="U497" i="1"/>
  <c r="P497" i="1"/>
  <c r="K497" i="1"/>
  <c r="B497" i="1"/>
  <c r="A497" i="1"/>
  <c r="AE495" i="1"/>
  <c r="Z495" i="1"/>
  <c r="U495" i="1"/>
  <c r="P495" i="1"/>
  <c r="K495" i="1"/>
  <c r="B495" i="1"/>
  <c r="A495" i="1"/>
  <c r="AE493" i="1"/>
  <c r="Z493" i="1"/>
  <c r="U493" i="1"/>
  <c r="P493" i="1"/>
  <c r="K493" i="1"/>
  <c r="B493" i="1"/>
  <c r="A493" i="1"/>
  <c r="AE491" i="1"/>
  <c r="Z491" i="1"/>
  <c r="U491" i="1"/>
  <c r="P491" i="1"/>
  <c r="K491" i="1"/>
  <c r="B491" i="1"/>
  <c r="A491" i="1"/>
  <c r="AE489" i="1"/>
  <c r="Z489" i="1"/>
  <c r="U489" i="1"/>
  <c r="P489" i="1"/>
  <c r="K489" i="1"/>
  <c r="B489" i="1"/>
  <c r="A489" i="1"/>
  <c r="AE487" i="1"/>
  <c r="Z487" i="1"/>
  <c r="U487" i="1"/>
  <c r="P487" i="1"/>
  <c r="K487" i="1"/>
  <c r="B487" i="1"/>
  <c r="A487" i="1"/>
  <c r="AE485" i="1"/>
  <c r="Z485" i="1"/>
  <c r="U485" i="1"/>
  <c r="P485" i="1"/>
  <c r="K485" i="1"/>
  <c r="B485" i="1"/>
  <c r="A485" i="1"/>
  <c r="AE483" i="1"/>
  <c r="Z483" i="1"/>
  <c r="U483" i="1"/>
  <c r="P483" i="1"/>
  <c r="K483" i="1"/>
  <c r="B483" i="1"/>
  <c r="A483" i="1"/>
  <c r="AE481" i="1"/>
  <c r="Z481" i="1"/>
  <c r="U481" i="1"/>
  <c r="P481" i="1"/>
  <c r="K481" i="1"/>
  <c r="B481" i="1"/>
  <c r="A481" i="1"/>
  <c r="AE479" i="1"/>
  <c r="Z479" i="1"/>
  <c r="U479" i="1"/>
  <c r="P479" i="1"/>
  <c r="K479" i="1"/>
  <c r="B479" i="1"/>
  <c r="A479" i="1"/>
  <c r="AE477" i="1"/>
  <c r="Z477" i="1"/>
  <c r="U477" i="1"/>
  <c r="P477" i="1"/>
  <c r="K477" i="1"/>
  <c r="B477" i="1"/>
  <c r="A477" i="1"/>
  <c r="AE475" i="1"/>
  <c r="Z475" i="1"/>
  <c r="U475" i="1"/>
  <c r="P475" i="1"/>
  <c r="K475" i="1"/>
  <c r="B475" i="1"/>
  <c r="A475" i="1"/>
  <c r="AE473" i="1"/>
  <c r="Z473" i="1"/>
  <c r="U473" i="1"/>
  <c r="P473" i="1"/>
  <c r="K473" i="1"/>
  <c r="B473" i="1"/>
  <c r="A473" i="1"/>
  <c r="AE471" i="1"/>
  <c r="Z471" i="1"/>
  <c r="U471" i="1"/>
  <c r="P471" i="1"/>
  <c r="K471" i="1"/>
  <c r="B471" i="1"/>
  <c r="A471" i="1"/>
  <c r="AE469" i="1"/>
  <c r="Z469" i="1"/>
  <c r="U469" i="1"/>
  <c r="P469" i="1"/>
  <c r="K469" i="1"/>
  <c r="B469" i="1"/>
  <c r="A469" i="1"/>
  <c r="AE467" i="1"/>
  <c r="Z467" i="1"/>
  <c r="U467" i="1"/>
  <c r="P467" i="1"/>
  <c r="K467" i="1"/>
  <c r="B467" i="1"/>
  <c r="A467" i="1"/>
  <c r="AE465" i="1"/>
  <c r="Z465" i="1"/>
  <c r="U465" i="1"/>
  <c r="P465" i="1"/>
  <c r="K465" i="1"/>
  <c r="B465" i="1"/>
  <c r="A465" i="1"/>
  <c r="AE463" i="1"/>
  <c r="Z463" i="1"/>
  <c r="U463" i="1"/>
  <c r="P463" i="1"/>
  <c r="K463" i="1"/>
  <c r="B463" i="1"/>
  <c r="A463" i="1"/>
  <c r="AE461" i="1"/>
  <c r="Z461" i="1"/>
  <c r="U461" i="1"/>
  <c r="P461" i="1"/>
  <c r="K461" i="1"/>
  <c r="B461" i="1"/>
  <c r="A461" i="1"/>
  <c r="AE459" i="1"/>
  <c r="Z459" i="1"/>
  <c r="U459" i="1"/>
  <c r="P459" i="1"/>
  <c r="K459" i="1"/>
  <c r="B459" i="1"/>
  <c r="A459" i="1"/>
  <c r="AE458" i="1"/>
  <c r="Z458" i="1"/>
  <c r="U458" i="1"/>
  <c r="P458" i="1"/>
  <c r="K458" i="1"/>
  <c r="B458" i="1"/>
  <c r="A458" i="1"/>
  <c r="AE456" i="1"/>
  <c r="Z456" i="1"/>
  <c r="U456" i="1"/>
  <c r="P456" i="1"/>
  <c r="K456" i="1"/>
  <c r="B456" i="1"/>
  <c r="A456" i="1"/>
  <c r="AE454" i="1"/>
  <c r="Z454" i="1"/>
  <c r="U454" i="1"/>
  <c r="P454" i="1"/>
  <c r="K454" i="1"/>
  <c r="B454" i="1"/>
  <c r="A454" i="1"/>
  <c r="AE452" i="1"/>
  <c r="Z452" i="1"/>
  <c r="U452" i="1"/>
  <c r="P452" i="1"/>
  <c r="K452" i="1"/>
  <c r="B452" i="1"/>
  <c r="A452" i="1"/>
  <c r="AE450" i="1"/>
  <c r="Z450" i="1"/>
  <c r="U450" i="1"/>
  <c r="P450" i="1"/>
  <c r="K450" i="1"/>
  <c r="B450" i="1"/>
  <c r="A450" i="1"/>
  <c r="AE448" i="1"/>
  <c r="Z448" i="1"/>
  <c r="U448" i="1"/>
  <c r="P448" i="1"/>
  <c r="K448" i="1"/>
  <c r="B448" i="1"/>
  <c r="A448" i="1"/>
  <c r="AE446" i="1"/>
  <c r="Z446" i="1"/>
  <c r="U446" i="1"/>
  <c r="P446" i="1"/>
  <c r="K446" i="1"/>
  <c r="B446" i="1"/>
  <c r="A446" i="1"/>
  <c r="AE444" i="1"/>
  <c r="Z444" i="1"/>
  <c r="U444" i="1"/>
  <c r="P444" i="1"/>
  <c r="K444" i="1"/>
  <c r="B444" i="1"/>
  <c r="A444" i="1"/>
  <c r="AE442" i="1"/>
  <c r="Z442" i="1"/>
  <c r="U442" i="1"/>
  <c r="P442" i="1"/>
  <c r="K442" i="1"/>
  <c r="B442" i="1"/>
  <c r="A442" i="1"/>
  <c r="AE440" i="1"/>
  <c r="Z440" i="1"/>
  <c r="U440" i="1"/>
  <c r="P440" i="1"/>
  <c r="K440" i="1"/>
  <c r="B440" i="1"/>
  <c r="A440" i="1"/>
  <c r="AE439" i="1"/>
  <c r="Z439" i="1"/>
  <c r="U439" i="1"/>
  <c r="P439" i="1"/>
  <c r="K439" i="1"/>
  <c r="B439" i="1"/>
  <c r="A439" i="1"/>
  <c r="AE437" i="1"/>
  <c r="Z437" i="1"/>
  <c r="U437" i="1"/>
  <c r="P437" i="1"/>
  <c r="K437" i="1"/>
  <c r="B437" i="1"/>
  <c r="A437" i="1"/>
  <c r="AE435" i="1"/>
  <c r="Z435" i="1"/>
  <c r="U435" i="1"/>
  <c r="P435" i="1"/>
  <c r="K435" i="1"/>
  <c r="B435" i="1"/>
  <c r="A435" i="1"/>
  <c r="AE433" i="1"/>
  <c r="Z433" i="1"/>
  <c r="U433" i="1"/>
  <c r="P433" i="1"/>
  <c r="K433" i="1"/>
  <c r="B433" i="1"/>
  <c r="A433" i="1"/>
  <c r="AE431" i="1"/>
  <c r="Z431" i="1"/>
  <c r="U431" i="1"/>
  <c r="P431" i="1"/>
  <c r="K431" i="1"/>
  <c r="B431" i="1"/>
  <c r="A431" i="1"/>
  <c r="AE429" i="1"/>
  <c r="Z429" i="1"/>
  <c r="U429" i="1"/>
  <c r="P429" i="1"/>
  <c r="K429" i="1"/>
  <c r="B429" i="1"/>
  <c r="A429" i="1"/>
  <c r="AE427" i="1"/>
  <c r="Z427" i="1"/>
  <c r="U427" i="1"/>
  <c r="P427" i="1"/>
  <c r="K427" i="1"/>
  <c r="B427" i="1"/>
  <c r="A427" i="1"/>
  <c r="AE425" i="1"/>
  <c r="Z425" i="1"/>
  <c r="U425" i="1"/>
  <c r="P425" i="1"/>
  <c r="K425" i="1"/>
  <c r="B425" i="1"/>
  <c r="A425" i="1"/>
  <c r="AE423" i="1"/>
  <c r="Z423" i="1"/>
  <c r="U423" i="1"/>
  <c r="P423" i="1"/>
  <c r="K423" i="1"/>
  <c r="B423" i="1"/>
  <c r="A423" i="1"/>
  <c r="AE421" i="1"/>
  <c r="Z421" i="1"/>
  <c r="U421" i="1"/>
  <c r="P421" i="1"/>
  <c r="K421" i="1"/>
  <c r="B421" i="1"/>
  <c r="A421" i="1"/>
  <c r="AE419" i="1"/>
  <c r="Z419" i="1"/>
  <c r="U419" i="1"/>
  <c r="P419" i="1"/>
  <c r="K419" i="1"/>
  <c r="B419" i="1"/>
  <c r="A419" i="1"/>
  <c r="AE417" i="1"/>
  <c r="Z417" i="1"/>
  <c r="U417" i="1"/>
  <c r="P417" i="1"/>
  <c r="K417" i="1"/>
  <c r="B417" i="1"/>
  <c r="A417" i="1"/>
  <c r="AE415" i="1"/>
  <c r="Z415" i="1"/>
  <c r="U415" i="1"/>
  <c r="P415" i="1"/>
  <c r="K415" i="1"/>
  <c r="B415" i="1"/>
  <c r="A415" i="1"/>
  <c r="AE413" i="1"/>
  <c r="Z413" i="1"/>
  <c r="U413" i="1"/>
  <c r="P413" i="1"/>
  <c r="K413" i="1"/>
  <c r="B413" i="1"/>
  <c r="A413" i="1"/>
  <c r="AE411" i="1"/>
  <c r="Z411" i="1"/>
  <c r="U411" i="1"/>
  <c r="P411" i="1"/>
  <c r="K411" i="1"/>
  <c r="B411" i="1"/>
  <c r="A411" i="1"/>
  <c r="AE409" i="1"/>
  <c r="Z409" i="1"/>
  <c r="U409" i="1"/>
  <c r="P409" i="1"/>
  <c r="K409" i="1"/>
  <c r="B409" i="1"/>
  <c r="A409" i="1"/>
  <c r="AE407" i="1"/>
  <c r="Z407" i="1"/>
  <c r="U407" i="1"/>
  <c r="P407" i="1"/>
  <c r="K407" i="1"/>
  <c r="B407" i="1"/>
  <c r="A407" i="1"/>
  <c r="AE405" i="1"/>
  <c r="Z405" i="1"/>
  <c r="U405" i="1"/>
  <c r="P405" i="1"/>
  <c r="K405" i="1"/>
  <c r="B405" i="1"/>
  <c r="A405" i="1"/>
  <c r="AE403" i="1"/>
  <c r="Z403" i="1"/>
  <c r="U403" i="1"/>
  <c r="P403" i="1"/>
  <c r="K403" i="1"/>
  <c r="B403" i="1"/>
  <c r="A403" i="1"/>
  <c r="AE401" i="1"/>
  <c r="Z401" i="1"/>
  <c r="U401" i="1"/>
  <c r="P401" i="1"/>
  <c r="K401" i="1"/>
  <c r="B401" i="1"/>
  <c r="A401" i="1"/>
  <c r="AE399" i="1"/>
  <c r="Z399" i="1"/>
  <c r="U399" i="1"/>
  <c r="P399" i="1"/>
  <c r="K399" i="1"/>
  <c r="B399" i="1"/>
  <c r="A399" i="1"/>
  <c r="AE397" i="1"/>
  <c r="Z397" i="1"/>
  <c r="U397" i="1"/>
  <c r="P397" i="1"/>
  <c r="K397" i="1"/>
  <c r="B397" i="1"/>
  <c r="A397" i="1"/>
  <c r="AE395" i="1"/>
  <c r="Z395" i="1"/>
  <c r="U395" i="1"/>
  <c r="P395" i="1"/>
  <c r="K395" i="1"/>
  <c r="B395" i="1"/>
  <c r="A395" i="1"/>
  <c r="AE393" i="1"/>
  <c r="Z393" i="1"/>
  <c r="U393" i="1"/>
  <c r="P393" i="1"/>
  <c r="K393" i="1"/>
  <c r="B393" i="1"/>
  <c r="A393" i="1"/>
  <c r="AE391" i="1"/>
  <c r="Z391" i="1"/>
  <c r="U391" i="1"/>
  <c r="P391" i="1"/>
  <c r="K391" i="1"/>
  <c r="B391" i="1"/>
  <c r="A391" i="1"/>
  <c r="AE389" i="1"/>
  <c r="Z389" i="1"/>
  <c r="U389" i="1"/>
  <c r="P389" i="1"/>
  <c r="K389" i="1"/>
  <c r="B389" i="1"/>
  <c r="A389" i="1"/>
  <c r="AE388" i="1"/>
  <c r="Z388" i="1"/>
  <c r="U388" i="1"/>
  <c r="P388" i="1"/>
  <c r="K388" i="1"/>
  <c r="B388" i="1"/>
  <c r="A388" i="1"/>
  <c r="AE386" i="1"/>
  <c r="Z386" i="1"/>
  <c r="U386" i="1"/>
  <c r="P386" i="1"/>
  <c r="K386" i="1"/>
  <c r="B386" i="1"/>
  <c r="A386" i="1"/>
  <c r="AE384" i="1"/>
  <c r="Z384" i="1"/>
  <c r="U384" i="1"/>
  <c r="P384" i="1"/>
  <c r="K384" i="1"/>
  <c r="B384" i="1"/>
  <c r="A384" i="1"/>
  <c r="AE382" i="1"/>
  <c r="Z382" i="1"/>
  <c r="U382" i="1"/>
  <c r="P382" i="1"/>
  <c r="K382" i="1"/>
  <c r="B382" i="1"/>
  <c r="A382" i="1"/>
  <c r="AE380" i="1"/>
  <c r="Z380" i="1"/>
  <c r="U380" i="1"/>
  <c r="P380" i="1"/>
  <c r="K380" i="1"/>
  <c r="B380" i="1"/>
  <c r="A380" i="1"/>
  <c r="AE378" i="1"/>
  <c r="Z378" i="1"/>
  <c r="U378" i="1"/>
  <c r="P378" i="1"/>
  <c r="K378" i="1"/>
  <c r="B378" i="1"/>
  <c r="A378" i="1"/>
  <c r="AE376" i="1"/>
  <c r="Z376" i="1"/>
  <c r="U376" i="1"/>
  <c r="P376" i="1"/>
  <c r="K376" i="1"/>
  <c r="B376" i="1"/>
  <c r="A376" i="1"/>
  <c r="AE374" i="1"/>
  <c r="Z374" i="1"/>
  <c r="U374" i="1"/>
  <c r="P374" i="1"/>
  <c r="K374" i="1"/>
  <c r="B374" i="1"/>
  <c r="A374" i="1"/>
  <c r="AE372" i="1"/>
  <c r="Z372" i="1"/>
  <c r="U372" i="1"/>
  <c r="P372" i="1"/>
  <c r="K372" i="1"/>
  <c r="B372" i="1"/>
  <c r="A372" i="1"/>
  <c r="AE370" i="1"/>
  <c r="Z370" i="1"/>
  <c r="U370" i="1"/>
  <c r="P370" i="1"/>
  <c r="K370" i="1"/>
  <c r="B370" i="1"/>
  <c r="A370" i="1"/>
  <c r="AE368" i="1"/>
  <c r="Z368" i="1"/>
  <c r="U368" i="1"/>
  <c r="P368" i="1"/>
  <c r="K368" i="1"/>
  <c r="B368" i="1"/>
  <c r="A368" i="1"/>
  <c r="AE366" i="1"/>
  <c r="Z366" i="1"/>
  <c r="U366" i="1"/>
  <c r="P366" i="1"/>
  <c r="K366" i="1"/>
  <c r="B366" i="1"/>
  <c r="A366" i="1"/>
  <c r="AE364" i="1"/>
  <c r="Z364" i="1"/>
  <c r="U364" i="1"/>
  <c r="P364" i="1"/>
  <c r="K364" i="1"/>
  <c r="B364" i="1"/>
  <c r="A364" i="1"/>
  <c r="AE362" i="1"/>
  <c r="Z362" i="1"/>
  <c r="U362" i="1"/>
  <c r="P362" i="1"/>
  <c r="K362" i="1"/>
  <c r="B362" i="1"/>
  <c r="A362" i="1"/>
  <c r="AE360" i="1"/>
  <c r="Z360" i="1"/>
  <c r="U360" i="1"/>
  <c r="P360" i="1"/>
  <c r="K360" i="1"/>
  <c r="B360" i="1"/>
  <c r="A360" i="1"/>
  <c r="AE358" i="1"/>
  <c r="Z358" i="1"/>
  <c r="U358" i="1"/>
  <c r="P358" i="1"/>
  <c r="K358" i="1"/>
  <c r="B358" i="1"/>
  <c r="A358" i="1"/>
  <c r="AE356" i="1"/>
  <c r="Z356" i="1"/>
  <c r="U356" i="1"/>
  <c r="P356" i="1"/>
  <c r="K356" i="1"/>
  <c r="B356" i="1"/>
  <c r="A356" i="1"/>
  <c r="AE354" i="1"/>
  <c r="Z354" i="1"/>
  <c r="U354" i="1"/>
  <c r="P354" i="1"/>
  <c r="K354" i="1"/>
  <c r="B354" i="1"/>
  <c r="A354" i="1"/>
  <c r="AE352" i="1"/>
  <c r="Z352" i="1"/>
  <c r="U352" i="1"/>
  <c r="P352" i="1"/>
  <c r="K352" i="1"/>
  <c r="B352" i="1"/>
  <c r="A352" i="1"/>
  <c r="AE350" i="1"/>
  <c r="Z350" i="1"/>
  <c r="U350" i="1"/>
  <c r="P350" i="1"/>
  <c r="K350" i="1"/>
  <c r="B350" i="1"/>
  <c r="A350" i="1"/>
  <c r="AE348" i="1"/>
  <c r="Z348" i="1"/>
  <c r="U348" i="1"/>
  <c r="P348" i="1"/>
  <c r="K348" i="1"/>
  <c r="B348" i="1"/>
  <c r="A348" i="1"/>
  <c r="AE346" i="1"/>
  <c r="Z346" i="1"/>
  <c r="U346" i="1"/>
  <c r="P346" i="1"/>
  <c r="K346" i="1"/>
  <c r="B346" i="1"/>
  <c r="A346" i="1"/>
  <c r="AE344" i="1"/>
  <c r="Z344" i="1"/>
  <c r="U344" i="1"/>
  <c r="P344" i="1"/>
  <c r="K344" i="1"/>
  <c r="B344" i="1"/>
  <c r="A344" i="1"/>
  <c r="AE342" i="1"/>
  <c r="Z342" i="1"/>
  <c r="U342" i="1"/>
  <c r="P342" i="1"/>
  <c r="K342" i="1"/>
  <c r="B342" i="1"/>
  <c r="A342" i="1"/>
  <c r="AE340" i="1"/>
  <c r="Z340" i="1"/>
  <c r="U340" i="1"/>
  <c r="P340" i="1"/>
  <c r="K340" i="1"/>
  <c r="B340" i="1"/>
  <c r="A340" i="1"/>
  <c r="AE338" i="1"/>
  <c r="Z338" i="1"/>
  <c r="U338" i="1"/>
  <c r="P338" i="1"/>
  <c r="K338" i="1"/>
  <c r="B338" i="1"/>
  <c r="A338" i="1"/>
  <c r="AE336" i="1"/>
  <c r="Z336" i="1"/>
  <c r="U336" i="1"/>
  <c r="P336" i="1"/>
  <c r="K336" i="1"/>
  <c r="B336" i="1"/>
  <c r="A336" i="1"/>
  <c r="AE334" i="1"/>
  <c r="Z334" i="1"/>
  <c r="U334" i="1"/>
  <c r="P334" i="1"/>
  <c r="K334" i="1"/>
  <c r="B334" i="1"/>
  <c r="A334" i="1"/>
  <c r="AE332" i="1"/>
  <c r="Z332" i="1"/>
  <c r="U332" i="1"/>
  <c r="P332" i="1"/>
  <c r="K332" i="1"/>
  <c r="B332" i="1"/>
  <c r="A332" i="1"/>
  <c r="AE330" i="1"/>
  <c r="Z330" i="1"/>
  <c r="U330" i="1"/>
  <c r="P330" i="1"/>
  <c r="K330" i="1"/>
  <c r="B330" i="1"/>
  <c r="A330" i="1"/>
  <c r="AE328" i="1"/>
  <c r="Z328" i="1"/>
  <c r="U328" i="1"/>
  <c r="P328" i="1"/>
  <c r="K328" i="1"/>
  <c r="B328" i="1"/>
  <c r="A328" i="1"/>
  <c r="AE326" i="1"/>
  <c r="Z326" i="1"/>
  <c r="U326" i="1"/>
  <c r="P326" i="1"/>
  <c r="K326" i="1"/>
  <c r="B326" i="1"/>
  <c r="A326" i="1"/>
  <c r="AE324" i="1"/>
  <c r="Z324" i="1"/>
  <c r="U324" i="1"/>
  <c r="P324" i="1"/>
  <c r="K324" i="1"/>
  <c r="B324" i="1"/>
  <c r="A324" i="1"/>
  <c r="AE322" i="1"/>
  <c r="Z322" i="1"/>
  <c r="U322" i="1"/>
  <c r="P322" i="1"/>
  <c r="K322" i="1"/>
  <c r="B322" i="1"/>
  <c r="A322" i="1"/>
  <c r="AE321" i="1"/>
  <c r="Z321" i="1"/>
  <c r="U321" i="1"/>
  <c r="P321" i="1"/>
  <c r="K321" i="1"/>
  <c r="B321" i="1"/>
  <c r="A321" i="1"/>
  <c r="AE319" i="1"/>
  <c r="Z319" i="1"/>
  <c r="U319" i="1"/>
  <c r="P319" i="1"/>
  <c r="K319" i="1"/>
  <c r="B319" i="1"/>
  <c r="A319" i="1"/>
  <c r="AE317" i="1"/>
  <c r="Z317" i="1"/>
  <c r="U317" i="1"/>
  <c r="P317" i="1"/>
  <c r="K317" i="1"/>
  <c r="B317" i="1"/>
  <c r="A317" i="1"/>
  <c r="AE315" i="1"/>
  <c r="Z315" i="1"/>
  <c r="U315" i="1"/>
  <c r="P315" i="1"/>
  <c r="K315" i="1"/>
  <c r="B315" i="1"/>
  <c r="A315" i="1"/>
  <c r="AE313" i="1"/>
  <c r="Z313" i="1"/>
  <c r="U313" i="1"/>
  <c r="P313" i="1"/>
  <c r="K313" i="1"/>
  <c r="B313" i="1"/>
  <c r="A313" i="1"/>
  <c r="AE311" i="1"/>
  <c r="Z311" i="1"/>
  <c r="U311" i="1"/>
  <c r="P311" i="1"/>
  <c r="K311" i="1"/>
  <c r="B311" i="1"/>
  <c r="A311" i="1"/>
  <c r="AE310" i="1"/>
  <c r="Z310" i="1"/>
  <c r="U310" i="1"/>
  <c r="P310" i="1"/>
  <c r="K310" i="1"/>
  <c r="B310" i="1"/>
  <c r="A310" i="1"/>
  <c r="AE308" i="1"/>
  <c r="Z308" i="1"/>
  <c r="U308" i="1"/>
  <c r="P308" i="1"/>
  <c r="K308" i="1"/>
  <c r="B308" i="1"/>
  <c r="A308" i="1"/>
  <c r="AE306" i="1"/>
  <c r="Z306" i="1"/>
  <c r="U306" i="1"/>
  <c r="P306" i="1"/>
  <c r="K306" i="1"/>
  <c r="B306" i="1"/>
  <c r="A306" i="1"/>
  <c r="AE304" i="1"/>
  <c r="Z304" i="1"/>
  <c r="U304" i="1"/>
  <c r="P304" i="1"/>
  <c r="K304" i="1"/>
  <c r="B304" i="1"/>
  <c r="A304" i="1"/>
  <c r="AE302" i="1"/>
  <c r="Z302" i="1"/>
  <c r="U302" i="1"/>
  <c r="P302" i="1"/>
  <c r="K302" i="1"/>
  <c r="B302" i="1"/>
  <c r="A302" i="1"/>
  <c r="AE300" i="1"/>
  <c r="Z300" i="1"/>
  <c r="U300" i="1"/>
  <c r="P300" i="1"/>
  <c r="K300" i="1"/>
  <c r="B300" i="1"/>
  <c r="A300" i="1"/>
  <c r="AE298" i="1"/>
  <c r="Z298" i="1"/>
  <c r="U298" i="1"/>
  <c r="P298" i="1"/>
  <c r="K298" i="1"/>
  <c r="B298" i="1"/>
  <c r="A298" i="1"/>
  <c r="AE296" i="1"/>
  <c r="Z296" i="1"/>
  <c r="U296" i="1"/>
  <c r="P296" i="1"/>
  <c r="K296" i="1"/>
  <c r="B296" i="1"/>
  <c r="A296" i="1"/>
  <c r="AE294" i="1"/>
  <c r="Z294" i="1"/>
  <c r="U294" i="1"/>
  <c r="P294" i="1"/>
  <c r="K294" i="1"/>
  <c r="B294" i="1"/>
  <c r="A294" i="1"/>
  <c r="AE292" i="1"/>
  <c r="Z292" i="1"/>
  <c r="U292" i="1"/>
  <c r="P292" i="1"/>
  <c r="K292" i="1"/>
  <c r="B292" i="1"/>
  <c r="A292" i="1"/>
  <c r="AE290" i="1"/>
  <c r="Z290" i="1"/>
  <c r="U290" i="1"/>
  <c r="P290" i="1"/>
  <c r="K290" i="1"/>
  <c r="B290" i="1"/>
  <c r="A290" i="1"/>
  <c r="AE288" i="1"/>
  <c r="Z288" i="1"/>
  <c r="U288" i="1"/>
  <c r="P288" i="1"/>
  <c r="K288" i="1"/>
  <c r="B288" i="1"/>
  <c r="A288" i="1"/>
  <c r="AE286" i="1"/>
  <c r="Z286" i="1"/>
  <c r="U286" i="1"/>
  <c r="P286" i="1"/>
  <c r="K286" i="1"/>
  <c r="B286" i="1"/>
  <c r="A286" i="1"/>
  <c r="AE284" i="1"/>
  <c r="Z284" i="1"/>
  <c r="U284" i="1"/>
  <c r="P284" i="1"/>
  <c r="K284" i="1"/>
  <c r="B284" i="1"/>
  <c r="A284" i="1"/>
  <c r="AE282" i="1"/>
  <c r="Z282" i="1"/>
  <c r="U282" i="1"/>
  <c r="P282" i="1"/>
  <c r="K282" i="1"/>
  <c r="B282" i="1"/>
  <c r="A282" i="1"/>
  <c r="AE280" i="1"/>
  <c r="Z280" i="1"/>
  <c r="U280" i="1"/>
  <c r="P280" i="1"/>
  <c r="K280" i="1"/>
  <c r="B280" i="1"/>
  <c r="A280" i="1"/>
  <c r="AE278" i="1"/>
  <c r="Z278" i="1"/>
  <c r="U278" i="1"/>
  <c r="P278" i="1"/>
  <c r="K278" i="1"/>
  <c r="B278" i="1"/>
  <c r="A278" i="1"/>
  <c r="AE276" i="1"/>
  <c r="Z276" i="1"/>
  <c r="U276" i="1"/>
  <c r="P276" i="1"/>
  <c r="K276" i="1"/>
  <c r="B276" i="1"/>
  <c r="A276" i="1"/>
  <c r="AE274" i="1"/>
  <c r="Z274" i="1"/>
  <c r="U274" i="1"/>
  <c r="P274" i="1"/>
  <c r="K274" i="1"/>
  <c r="B274" i="1"/>
  <c r="A274" i="1"/>
  <c r="AE272" i="1"/>
  <c r="Z272" i="1"/>
  <c r="U272" i="1"/>
  <c r="P272" i="1"/>
  <c r="K272" i="1"/>
  <c r="B272" i="1"/>
  <c r="A272" i="1"/>
  <c r="AE270" i="1"/>
  <c r="Z270" i="1"/>
  <c r="U270" i="1"/>
  <c r="P270" i="1"/>
  <c r="K270" i="1"/>
  <c r="B270" i="1"/>
  <c r="A270" i="1"/>
  <c r="AE268" i="1"/>
  <c r="Z268" i="1"/>
  <c r="U268" i="1"/>
  <c r="P268" i="1"/>
  <c r="K268" i="1"/>
  <c r="B268" i="1"/>
  <c r="A268" i="1"/>
  <c r="AE266" i="1"/>
  <c r="Z266" i="1"/>
  <c r="U266" i="1"/>
  <c r="P266" i="1"/>
  <c r="K266" i="1"/>
  <c r="B266" i="1"/>
  <c r="A266" i="1"/>
  <c r="AE264" i="1"/>
  <c r="Z264" i="1"/>
  <c r="U264" i="1"/>
  <c r="P264" i="1"/>
  <c r="K264" i="1"/>
  <c r="B264" i="1"/>
  <c r="A264" i="1"/>
  <c r="AE262" i="1"/>
  <c r="Z262" i="1"/>
  <c r="U262" i="1"/>
  <c r="P262" i="1"/>
  <c r="K262" i="1"/>
  <c r="B262" i="1"/>
  <c r="A262" i="1"/>
  <c r="AE260" i="1"/>
  <c r="Z260" i="1"/>
  <c r="U260" i="1"/>
  <c r="P260" i="1"/>
  <c r="K260" i="1"/>
  <c r="B260" i="1"/>
  <c r="A260" i="1"/>
  <c r="AE258" i="1"/>
  <c r="Z258" i="1"/>
  <c r="U258" i="1"/>
  <c r="P258" i="1"/>
  <c r="K258" i="1"/>
  <c r="B258" i="1"/>
  <c r="A258" i="1"/>
  <c r="AE256" i="1"/>
  <c r="Z256" i="1"/>
  <c r="U256" i="1"/>
  <c r="P256" i="1"/>
  <c r="K256" i="1"/>
  <c r="B256" i="1"/>
  <c r="A256" i="1"/>
  <c r="AE254" i="1"/>
  <c r="Z254" i="1"/>
  <c r="U254" i="1"/>
  <c r="P254" i="1"/>
  <c r="K254" i="1"/>
  <c r="B254" i="1"/>
  <c r="A254" i="1"/>
  <c r="AE252" i="1"/>
  <c r="Z252" i="1"/>
  <c r="U252" i="1"/>
  <c r="P252" i="1"/>
  <c r="K252" i="1"/>
  <c r="B252" i="1"/>
  <c r="A252" i="1"/>
  <c r="AE250" i="1"/>
  <c r="Z250" i="1"/>
  <c r="U250" i="1"/>
  <c r="P250" i="1"/>
  <c r="K250" i="1"/>
  <c r="B250" i="1"/>
  <c r="A250" i="1"/>
  <c r="AE248" i="1"/>
  <c r="Z248" i="1"/>
  <c r="U248" i="1"/>
  <c r="P248" i="1"/>
  <c r="K248" i="1"/>
  <c r="B248" i="1"/>
  <c r="A248" i="1"/>
  <c r="AE246" i="1"/>
  <c r="Z246" i="1"/>
  <c r="U246" i="1"/>
  <c r="P246" i="1"/>
  <c r="K246" i="1"/>
  <c r="B246" i="1"/>
  <c r="A246" i="1"/>
  <c r="AE244" i="1"/>
  <c r="Z244" i="1"/>
  <c r="U244" i="1"/>
  <c r="P244" i="1"/>
  <c r="K244" i="1"/>
  <c r="B244" i="1"/>
  <c r="A244" i="1"/>
  <c r="AE242" i="1"/>
  <c r="Z242" i="1"/>
  <c r="U242" i="1"/>
  <c r="P242" i="1"/>
  <c r="K242" i="1"/>
  <c r="B242" i="1"/>
  <c r="A242" i="1"/>
  <c r="AE240" i="1"/>
  <c r="Z240" i="1"/>
  <c r="U240" i="1"/>
  <c r="P240" i="1"/>
  <c r="K240" i="1"/>
  <c r="B240" i="1"/>
  <c r="A240" i="1"/>
  <c r="AE238" i="1"/>
  <c r="Z238" i="1"/>
  <c r="U238" i="1"/>
  <c r="P238" i="1"/>
  <c r="K238" i="1"/>
  <c r="B238" i="1"/>
  <c r="A238" i="1"/>
  <c r="AE236" i="1"/>
  <c r="Z236" i="1"/>
  <c r="U236" i="1"/>
  <c r="P236" i="1"/>
  <c r="K236" i="1"/>
  <c r="B236" i="1"/>
  <c r="A236" i="1"/>
  <c r="AE234" i="1"/>
  <c r="Z234" i="1"/>
  <c r="U234" i="1"/>
  <c r="P234" i="1"/>
  <c r="K234" i="1"/>
  <c r="B234" i="1"/>
  <c r="A234" i="1"/>
  <c r="AE232" i="1"/>
  <c r="Z232" i="1"/>
  <c r="U232" i="1"/>
  <c r="P232" i="1"/>
  <c r="K232" i="1"/>
  <c r="B232" i="1"/>
  <c r="A232" i="1"/>
  <c r="AE230" i="1"/>
  <c r="Z230" i="1"/>
  <c r="U230" i="1"/>
  <c r="P230" i="1"/>
  <c r="K230" i="1"/>
  <c r="B230" i="1"/>
  <c r="A230" i="1"/>
  <c r="AE228" i="1"/>
  <c r="Z228" i="1"/>
  <c r="U228" i="1"/>
  <c r="P228" i="1"/>
  <c r="K228" i="1"/>
  <c r="B228" i="1"/>
  <c r="A228" i="1"/>
  <c r="AE226" i="1"/>
  <c r="Z226" i="1"/>
  <c r="U226" i="1"/>
  <c r="P226" i="1"/>
  <c r="K226" i="1"/>
  <c r="B226" i="1"/>
  <c r="A226" i="1"/>
  <c r="AE224" i="1"/>
  <c r="Z224" i="1"/>
  <c r="U224" i="1"/>
  <c r="P224" i="1"/>
  <c r="K224" i="1"/>
  <c r="B224" i="1"/>
  <c r="A224" i="1"/>
  <c r="AE222" i="1"/>
  <c r="Z222" i="1"/>
  <c r="U222" i="1"/>
  <c r="P222" i="1"/>
  <c r="K222" i="1"/>
  <c r="B222" i="1"/>
  <c r="A222" i="1"/>
  <c r="AE220" i="1"/>
  <c r="Z220" i="1"/>
  <c r="U220" i="1"/>
  <c r="P220" i="1"/>
  <c r="K220" i="1"/>
  <c r="B220" i="1"/>
  <c r="A220" i="1"/>
  <c r="AE218" i="1"/>
  <c r="Z218" i="1"/>
  <c r="U218" i="1"/>
  <c r="P218" i="1"/>
  <c r="K218" i="1"/>
  <c r="B218" i="1"/>
  <c r="A218" i="1"/>
  <c r="AE216" i="1"/>
  <c r="Z216" i="1"/>
  <c r="U216" i="1"/>
  <c r="P216" i="1"/>
  <c r="K216" i="1"/>
  <c r="B216" i="1"/>
  <c r="A216" i="1"/>
  <c r="AE214" i="1"/>
  <c r="Z214" i="1"/>
  <c r="U214" i="1"/>
  <c r="P214" i="1"/>
  <c r="K214" i="1"/>
  <c r="B214" i="1"/>
  <c r="A214" i="1"/>
  <c r="AE212" i="1"/>
  <c r="Z212" i="1"/>
  <c r="U212" i="1"/>
  <c r="P212" i="1"/>
  <c r="K212" i="1"/>
  <c r="B212" i="1"/>
  <c r="A212" i="1"/>
  <c r="AE210" i="1"/>
  <c r="Z210" i="1"/>
  <c r="U210" i="1"/>
  <c r="P210" i="1"/>
  <c r="K210" i="1"/>
  <c r="B210" i="1"/>
  <c r="A210" i="1"/>
  <c r="AE208" i="1"/>
  <c r="Z208" i="1"/>
  <c r="U208" i="1"/>
  <c r="P208" i="1"/>
  <c r="K208" i="1"/>
  <c r="B208" i="1"/>
  <c r="A208" i="1"/>
  <c r="AE206" i="1"/>
  <c r="Z206" i="1"/>
  <c r="U206" i="1"/>
  <c r="P206" i="1"/>
  <c r="K206" i="1"/>
  <c r="B206" i="1"/>
  <c r="A206" i="1"/>
  <c r="AE204" i="1"/>
  <c r="Z204" i="1"/>
  <c r="U204" i="1"/>
  <c r="P204" i="1"/>
  <c r="K204" i="1"/>
  <c r="B204" i="1"/>
  <c r="A204" i="1"/>
  <c r="AE202" i="1"/>
  <c r="Z202" i="1"/>
  <c r="U202" i="1"/>
  <c r="P202" i="1"/>
  <c r="K202" i="1"/>
  <c r="B202" i="1"/>
  <c r="A202" i="1"/>
  <c r="AE200" i="1"/>
  <c r="Z200" i="1"/>
  <c r="U200" i="1"/>
  <c r="P200" i="1"/>
  <c r="K200" i="1"/>
  <c r="B200" i="1"/>
  <c r="A200" i="1"/>
  <c r="AE198" i="1"/>
  <c r="Z198" i="1"/>
  <c r="U198" i="1"/>
  <c r="P198" i="1"/>
  <c r="K198" i="1"/>
  <c r="B198" i="1"/>
  <c r="A198" i="1"/>
  <c r="AE196" i="1"/>
  <c r="Z196" i="1"/>
  <c r="U196" i="1"/>
  <c r="P196" i="1"/>
  <c r="K196" i="1"/>
  <c r="B196" i="1"/>
  <c r="A196" i="1"/>
  <c r="AE194" i="1"/>
  <c r="Z194" i="1"/>
  <c r="U194" i="1"/>
  <c r="P194" i="1"/>
  <c r="K194" i="1"/>
  <c r="B194" i="1"/>
  <c r="A194" i="1"/>
  <c r="AE192" i="1"/>
  <c r="Z192" i="1"/>
  <c r="U192" i="1"/>
  <c r="P192" i="1"/>
  <c r="K192" i="1"/>
  <c r="B192" i="1"/>
  <c r="A192" i="1"/>
  <c r="AE190" i="1"/>
  <c r="Z190" i="1"/>
  <c r="U190" i="1"/>
  <c r="P190" i="1"/>
  <c r="K190" i="1"/>
  <c r="B190" i="1"/>
  <c r="A190" i="1"/>
  <c r="AE188" i="1"/>
  <c r="Z188" i="1"/>
  <c r="U188" i="1"/>
  <c r="P188" i="1"/>
  <c r="K188" i="1"/>
  <c r="B188" i="1"/>
  <c r="A188" i="1"/>
  <c r="AE186" i="1"/>
  <c r="Z186" i="1"/>
  <c r="U186" i="1"/>
  <c r="P186" i="1"/>
  <c r="K186" i="1"/>
  <c r="B186" i="1"/>
  <c r="A186" i="1"/>
  <c r="AE184" i="1"/>
  <c r="Z184" i="1"/>
  <c r="U184" i="1"/>
  <c r="P184" i="1"/>
  <c r="K184" i="1"/>
  <c r="B184" i="1"/>
  <c r="A184" i="1"/>
  <c r="AE182" i="1"/>
  <c r="Z182" i="1"/>
  <c r="U182" i="1"/>
  <c r="P182" i="1"/>
  <c r="K182" i="1"/>
  <c r="B182" i="1"/>
  <c r="A182" i="1"/>
  <c r="AE180" i="1"/>
  <c r="Z180" i="1"/>
  <c r="U180" i="1"/>
  <c r="P180" i="1"/>
  <c r="K180" i="1"/>
  <c r="B180" i="1"/>
  <c r="A180" i="1"/>
  <c r="AE178" i="1"/>
  <c r="Z178" i="1"/>
  <c r="U178" i="1"/>
  <c r="P178" i="1"/>
  <c r="K178" i="1"/>
  <c r="B178" i="1"/>
  <c r="A178" i="1"/>
  <c r="AE176" i="1"/>
  <c r="Z176" i="1"/>
  <c r="U176" i="1"/>
  <c r="P176" i="1"/>
  <c r="K176" i="1"/>
  <c r="B176" i="1"/>
  <c r="A176" i="1"/>
  <c r="AE174" i="1"/>
  <c r="Z174" i="1"/>
  <c r="U174" i="1"/>
  <c r="P174" i="1"/>
  <c r="K174" i="1"/>
  <c r="B174" i="1"/>
  <c r="A174" i="1"/>
  <c r="AE172" i="1"/>
  <c r="Z172" i="1"/>
  <c r="U172" i="1"/>
  <c r="P172" i="1"/>
  <c r="K172" i="1"/>
  <c r="B172" i="1"/>
  <c r="A172" i="1"/>
  <c r="AE170" i="1"/>
  <c r="Z170" i="1"/>
  <c r="U170" i="1"/>
  <c r="P170" i="1"/>
  <c r="K170" i="1"/>
  <c r="B170" i="1"/>
  <c r="A170" i="1"/>
  <c r="AE168" i="1"/>
  <c r="Z168" i="1"/>
  <c r="U168" i="1"/>
  <c r="P168" i="1"/>
  <c r="K168" i="1"/>
  <c r="B168" i="1"/>
  <c r="A168" i="1"/>
  <c r="AE166" i="1"/>
  <c r="Z166" i="1"/>
  <c r="U166" i="1"/>
  <c r="P166" i="1"/>
  <c r="K166" i="1"/>
  <c r="B166" i="1"/>
  <c r="A166" i="1"/>
  <c r="AE164" i="1"/>
  <c r="Z164" i="1"/>
  <c r="U164" i="1"/>
  <c r="P164" i="1"/>
  <c r="K164" i="1"/>
  <c r="B164" i="1"/>
  <c r="A164" i="1"/>
  <c r="AE162" i="1"/>
  <c r="Z162" i="1"/>
  <c r="U162" i="1"/>
  <c r="P162" i="1"/>
  <c r="K162" i="1"/>
  <c r="B162" i="1"/>
  <c r="A162" i="1"/>
  <c r="AE160" i="1"/>
  <c r="Z160" i="1"/>
  <c r="U160" i="1"/>
  <c r="P160" i="1"/>
  <c r="K160" i="1"/>
  <c r="B160" i="1"/>
  <c r="A160" i="1"/>
  <c r="AE158" i="1"/>
  <c r="Z158" i="1"/>
  <c r="U158" i="1"/>
  <c r="P158" i="1"/>
  <c r="K158" i="1"/>
  <c r="B158" i="1"/>
  <c r="A158" i="1"/>
  <c r="AE156" i="1"/>
  <c r="Z156" i="1"/>
  <c r="U156" i="1"/>
  <c r="P156" i="1"/>
  <c r="K156" i="1"/>
  <c r="B156" i="1"/>
  <c r="A156" i="1"/>
  <c r="AE154" i="1"/>
  <c r="Z154" i="1"/>
  <c r="U154" i="1"/>
  <c r="P154" i="1"/>
  <c r="K154" i="1"/>
  <c r="B154" i="1"/>
  <c r="A154" i="1"/>
  <c r="AE152" i="1"/>
  <c r="Z152" i="1"/>
  <c r="U152" i="1"/>
  <c r="P152" i="1"/>
  <c r="K152" i="1"/>
  <c r="B152" i="1"/>
  <c r="A152" i="1"/>
  <c r="AE150" i="1"/>
  <c r="Z150" i="1"/>
  <c r="U150" i="1"/>
  <c r="P150" i="1"/>
  <c r="K150" i="1"/>
  <c r="B150" i="1"/>
  <c r="A150" i="1"/>
  <c r="AE148" i="1"/>
  <c r="Z148" i="1"/>
  <c r="U148" i="1"/>
  <c r="P148" i="1"/>
  <c r="K148" i="1"/>
  <c r="B148" i="1"/>
  <c r="A148" i="1"/>
  <c r="AE146" i="1"/>
  <c r="Z146" i="1"/>
  <c r="U146" i="1"/>
  <c r="P146" i="1"/>
  <c r="K146" i="1"/>
  <c r="B146" i="1"/>
  <c r="A146" i="1"/>
  <c r="AE144" i="1"/>
  <c r="Z144" i="1"/>
  <c r="U144" i="1"/>
  <c r="P144" i="1"/>
  <c r="K144" i="1"/>
  <c r="B144" i="1"/>
  <c r="A144" i="1"/>
  <c r="AE142" i="1"/>
  <c r="Z142" i="1"/>
  <c r="U142" i="1"/>
  <c r="P142" i="1"/>
  <c r="K142" i="1"/>
  <c r="B142" i="1"/>
  <c r="A142" i="1"/>
  <c r="AE140" i="1"/>
  <c r="Z140" i="1"/>
  <c r="U140" i="1"/>
  <c r="P140" i="1"/>
  <c r="K140" i="1"/>
  <c r="B140" i="1"/>
  <c r="A140" i="1"/>
  <c r="AE138" i="1"/>
  <c r="Z138" i="1"/>
  <c r="U138" i="1"/>
  <c r="P138" i="1"/>
  <c r="K138" i="1"/>
  <c r="B138" i="1"/>
  <c r="A138" i="1"/>
  <c r="AE136" i="1"/>
  <c r="Z136" i="1"/>
  <c r="U136" i="1"/>
  <c r="P136" i="1"/>
  <c r="K136" i="1"/>
  <c r="B136" i="1"/>
  <c r="A136" i="1"/>
  <c r="AE134" i="1"/>
  <c r="Z134" i="1"/>
  <c r="U134" i="1"/>
  <c r="P134" i="1"/>
  <c r="K134" i="1"/>
  <c r="B134" i="1"/>
  <c r="A134" i="1"/>
  <c r="AE132" i="1"/>
  <c r="Z132" i="1"/>
  <c r="U132" i="1"/>
  <c r="P132" i="1"/>
  <c r="K132" i="1"/>
  <c r="B132" i="1"/>
  <c r="A132" i="1"/>
  <c r="AE130" i="1"/>
  <c r="Z130" i="1"/>
  <c r="U130" i="1"/>
  <c r="P130" i="1"/>
  <c r="K130" i="1"/>
  <c r="B130" i="1"/>
  <c r="A130" i="1"/>
  <c r="AE128" i="1"/>
  <c r="Z128" i="1"/>
  <c r="U128" i="1"/>
  <c r="P128" i="1"/>
  <c r="K128" i="1"/>
  <c r="B128" i="1"/>
  <c r="A128" i="1"/>
  <c r="AE126" i="1"/>
  <c r="Z126" i="1"/>
  <c r="U126" i="1"/>
  <c r="P126" i="1"/>
  <c r="K126" i="1"/>
  <c r="B126" i="1"/>
  <c r="A126" i="1"/>
  <c r="AE124" i="1"/>
  <c r="Z124" i="1"/>
  <c r="U124" i="1"/>
  <c r="P124" i="1"/>
  <c r="K124" i="1"/>
  <c r="B124" i="1"/>
  <c r="A124" i="1"/>
  <c r="AE122" i="1"/>
  <c r="Z122" i="1"/>
  <c r="U122" i="1"/>
  <c r="P122" i="1"/>
  <c r="K122" i="1"/>
  <c r="B122" i="1"/>
  <c r="A122" i="1"/>
  <c r="AE120" i="1"/>
  <c r="Z120" i="1"/>
  <c r="U120" i="1"/>
  <c r="P120" i="1"/>
  <c r="K120" i="1"/>
  <c r="B120" i="1"/>
  <c r="A120" i="1"/>
  <c r="AE118" i="1"/>
  <c r="Z118" i="1"/>
  <c r="U118" i="1"/>
  <c r="P118" i="1"/>
  <c r="K118" i="1"/>
  <c r="B118" i="1"/>
  <c r="A118" i="1"/>
  <c r="AE116" i="1"/>
  <c r="Z116" i="1"/>
  <c r="U116" i="1"/>
  <c r="P116" i="1"/>
  <c r="K116" i="1"/>
  <c r="B116" i="1"/>
  <c r="A116" i="1"/>
  <c r="AE114" i="1"/>
  <c r="Z114" i="1"/>
  <c r="U114" i="1"/>
  <c r="P114" i="1"/>
  <c r="K114" i="1"/>
  <c r="B114" i="1"/>
  <c r="A114" i="1"/>
  <c r="AE112" i="1"/>
  <c r="Z112" i="1"/>
  <c r="U112" i="1"/>
  <c r="P112" i="1"/>
  <c r="K112" i="1"/>
  <c r="B112" i="1"/>
  <c r="A112" i="1"/>
  <c r="AE110" i="1"/>
  <c r="Z110" i="1"/>
  <c r="U110" i="1"/>
  <c r="P110" i="1"/>
  <c r="K110" i="1"/>
  <c r="B110" i="1"/>
  <c r="A110" i="1"/>
  <c r="AE108" i="1"/>
  <c r="Z108" i="1"/>
  <c r="U108" i="1"/>
  <c r="P108" i="1"/>
  <c r="K108" i="1"/>
  <c r="B108" i="1"/>
  <c r="A108" i="1"/>
  <c r="AE106" i="1"/>
  <c r="Z106" i="1"/>
  <c r="U106" i="1"/>
  <c r="P106" i="1"/>
  <c r="K106" i="1"/>
  <c r="B106" i="1"/>
  <c r="A106" i="1"/>
  <c r="AE104" i="1"/>
  <c r="Z104" i="1"/>
  <c r="U104" i="1"/>
  <c r="P104" i="1"/>
  <c r="K104" i="1"/>
  <c r="B104" i="1"/>
  <c r="A104" i="1"/>
  <c r="AE102" i="1"/>
  <c r="Z102" i="1"/>
  <c r="U102" i="1"/>
  <c r="P102" i="1"/>
  <c r="K102" i="1"/>
  <c r="B102" i="1"/>
  <c r="A102" i="1"/>
  <c r="AE100" i="1"/>
  <c r="Z100" i="1"/>
  <c r="U100" i="1"/>
  <c r="P100" i="1"/>
  <c r="K100" i="1"/>
  <c r="B100" i="1"/>
  <c r="A100" i="1"/>
  <c r="AE98" i="1"/>
  <c r="Z98" i="1"/>
  <c r="U98" i="1"/>
  <c r="P98" i="1"/>
  <c r="K98" i="1"/>
  <c r="B98" i="1"/>
  <c r="A98" i="1"/>
  <c r="AE96" i="1"/>
  <c r="Z96" i="1"/>
  <c r="U96" i="1"/>
  <c r="P96" i="1"/>
  <c r="K96" i="1"/>
  <c r="B96" i="1"/>
  <c r="A96" i="1"/>
  <c r="AE94" i="1"/>
  <c r="Z94" i="1"/>
  <c r="U94" i="1"/>
  <c r="P94" i="1"/>
  <c r="K94" i="1"/>
  <c r="B94" i="1"/>
  <c r="A94" i="1"/>
  <c r="AE92" i="1"/>
  <c r="Z92" i="1"/>
  <c r="U92" i="1"/>
  <c r="P92" i="1"/>
  <c r="K92" i="1"/>
  <c r="B92" i="1"/>
  <c r="A92" i="1"/>
  <c r="AE90" i="1"/>
  <c r="Z90" i="1"/>
  <c r="U90" i="1"/>
  <c r="P90" i="1"/>
  <c r="K90" i="1"/>
  <c r="B90" i="1"/>
  <c r="A90" i="1"/>
  <c r="AE88" i="1"/>
  <c r="Z88" i="1"/>
  <c r="U88" i="1"/>
  <c r="P88" i="1"/>
  <c r="K88" i="1"/>
  <c r="B88" i="1"/>
  <c r="A88" i="1"/>
  <c r="AE86" i="1"/>
  <c r="Z86" i="1"/>
  <c r="U86" i="1"/>
  <c r="P86" i="1"/>
  <c r="K86" i="1"/>
  <c r="B86" i="1"/>
  <c r="A86" i="1"/>
  <c r="AE84" i="1"/>
  <c r="Z84" i="1"/>
  <c r="U84" i="1"/>
  <c r="P84" i="1"/>
  <c r="K84" i="1"/>
  <c r="B84" i="1"/>
  <c r="A84" i="1"/>
  <c r="AE83" i="1"/>
  <c r="Z83" i="1"/>
  <c r="U83" i="1"/>
  <c r="P83" i="1"/>
  <c r="K83" i="1"/>
  <c r="B83" i="1"/>
  <c r="A83" i="1"/>
  <c r="AE81" i="1"/>
  <c r="Z81" i="1"/>
  <c r="U81" i="1"/>
  <c r="P81" i="1"/>
  <c r="K81" i="1"/>
  <c r="B81" i="1"/>
  <c r="A81" i="1"/>
  <c r="AE79" i="1"/>
  <c r="Z79" i="1"/>
  <c r="U79" i="1"/>
  <c r="P79" i="1"/>
  <c r="K79" i="1"/>
  <c r="B79" i="1"/>
  <c r="A79" i="1"/>
  <c r="AE77" i="1"/>
  <c r="Z77" i="1"/>
  <c r="U77" i="1"/>
  <c r="P77" i="1"/>
  <c r="K77" i="1"/>
  <c r="B77" i="1"/>
  <c r="A77" i="1"/>
  <c r="AE75" i="1"/>
  <c r="Z75" i="1"/>
  <c r="U75" i="1"/>
  <c r="P75" i="1"/>
  <c r="K75" i="1"/>
  <c r="B75" i="1"/>
  <c r="A75" i="1"/>
  <c r="AE73" i="1"/>
  <c r="Z73" i="1"/>
  <c r="U73" i="1"/>
  <c r="P73" i="1"/>
  <c r="K73" i="1"/>
  <c r="B73" i="1"/>
  <c r="A73" i="1"/>
  <c r="AE71" i="1"/>
  <c r="Z71" i="1"/>
  <c r="U71" i="1"/>
  <c r="P71" i="1"/>
  <c r="K71" i="1"/>
  <c r="B71" i="1"/>
  <c r="A71" i="1"/>
  <c r="AE69" i="1"/>
  <c r="Z69" i="1"/>
  <c r="U69" i="1"/>
  <c r="P69" i="1"/>
  <c r="K69" i="1"/>
  <c r="B69" i="1"/>
  <c r="A69" i="1"/>
  <c r="AE67" i="1"/>
  <c r="Z67" i="1"/>
  <c r="U67" i="1"/>
  <c r="P67" i="1"/>
  <c r="K67" i="1"/>
  <c r="B67" i="1"/>
  <c r="A67" i="1"/>
  <c r="AE65" i="1"/>
  <c r="Z65" i="1"/>
  <c r="U65" i="1"/>
  <c r="P65" i="1"/>
  <c r="K65" i="1"/>
  <c r="B65" i="1"/>
  <c r="A65" i="1"/>
  <c r="AE63" i="1"/>
  <c r="Z63" i="1"/>
  <c r="U63" i="1"/>
  <c r="P63" i="1"/>
  <c r="K63" i="1"/>
  <c r="B63" i="1"/>
  <c r="A63" i="1"/>
  <c r="AE61" i="1"/>
  <c r="Z61" i="1"/>
  <c r="U61" i="1"/>
  <c r="P61" i="1"/>
  <c r="K61" i="1"/>
  <c r="B61" i="1"/>
  <c r="A61" i="1"/>
  <c r="AE59" i="1"/>
  <c r="Z59" i="1"/>
  <c r="U59" i="1"/>
  <c r="P59" i="1"/>
  <c r="K59" i="1"/>
  <c r="B59" i="1"/>
  <c r="A59" i="1"/>
  <c r="AE57" i="1"/>
  <c r="Z57" i="1"/>
  <c r="U57" i="1"/>
  <c r="P57" i="1"/>
  <c r="K57" i="1"/>
  <c r="B57" i="1"/>
  <c r="A57" i="1"/>
  <c r="AE55" i="1"/>
  <c r="Z55" i="1"/>
  <c r="U55" i="1"/>
  <c r="P55" i="1"/>
  <c r="K55" i="1"/>
  <c r="B55" i="1"/>
  <c r="A55" i="1"/>
  <c r="AE53" i="1"/>
  <c r="Z53" i="1"/>
  <c r="U53" i="1"/>
  <c r="P53" i="1"/>
  <c r="K53" i="1"/>
  <c r="B53" i="1"/>
  <c r="A53" i="1"/>
  <c r="AE52" i="1"/>
  <c r="Z52" i="1"/>
  <c r="U52" i="1"/>
  <c r="P52" i="1"/>
  <c r="K52" i="1"/>
  <c r="B52" i="1"/>
  <c r="A52" i="1"/>
  <c r="AE50" i="1"/>
  <c r="Z50" i="1"/>
  <c r="U50" i="1"/>
  <c r="P50" i="1"/>
  <c r="K50" i="1"/>
  <c r="B50" i="1"/>
  <c r="A50" i="1"/>
  <c r="AE48" i="1"/>
  <c r="Z48" i="1"/>
  <c r="U48" i="1"/>
  <c r="P48" i="1"/>
  <c r="K48" i="1"/>
  <c r="B48" i="1"/>
  <c r="A48" i="1"/>
  <c r="AE46" i="1"/>
  <c r="Z46" i="1"/>
  <c r="U46" i="1"/>
  <c r="P46" i="1"/>
  <c r="K46" i="1"/>
  <c r="B46" i="1"/>
  <c r="A46" i="1"/>
  <c r="AE44" i="1"/>
  <c r="Z44" i="1"/>
  <c r="U44" i="1"/>
  <c r="P44" i="1"/>
  <c r="K44" i="1"/>
  <c r="B44" i="1"/>
  <c r="A44" i="1"/>
  <c r="AE42" i="1"/>
  <c r="Z42" i="1"/>
  <c r="U42" i="1"/>
  <c r="P42" i="1"/>
  <c r="K42" i="1"/>
  <c r="B42" i="1"/>
  <c r="A42" i="1"/>
  <c r="AE40" i="1"/>
  <c r="Z40" i="1"/>
  <c r="U40" i="1"/>
  <c r="P40" i="1"/>
  <c r="K40" i="1"/>
  <c r="B40" i="1"/>
  <c r="A40" i="1"/>
  <c r="AE38" i="1"/>
  <c r="Z38" i="1"/>
  <c r="U38" i="1"/>
  <c r="P38" i="1"/>
  <c r="K38" i="1"/>
  <c r="B38" i="1"/>
  <c r="A38" i="1"/>
  <c r="AE36" i="1"/>
  <c r="Z36" i="1"/>
  <c r="U36" i="1"/>
  <c r="P36" i="1"/>
  <c r="K36" i="1"/>
  <c r="B36" i="1"/>
  <c r="A36" i="1"/>
  <c r="AE34" i="1"/>
  <c r="Z34" i="1"/>
  <c r="U34" i="1"/>
  <c r="P34" i="1"/>
  <c r="K34" i="1"/>
  <c r="B34" i="1"/>
  <c r="A34" i="1"/>
  <c r="AE32" i="1"/>
  <c r="Z32" i="1"/>
  <c r="U32" i="1"/>
  <c r="P32" i="1"/>
  <c r="K32" i="1"/>
  <c r="B32" i="1"/>
  <c r="A32" i="1"/>
  <c r="AE30" i="1"/>
  <c r="Z30" i="1"/>
  <c r="U30" i="1"/>
  <c r="P30" i="1"/>
  <c r="K30" i="1"/>
  <c r="B30" i="1"/>
  <c r="A30" i="1"/>
  <c r="AE28" i="1"/>
  <c r="Z28" i="1"/>
  <c r="U28" i="1"/>
  <c r="P28" i="1"/>
  <c r="K28" i="1"/>
  <c r="B28" i="1"/>
  <c r="A28" i="1"/>
  <c r="AE26" i="1"/>
  <c r="Z26" i="1"/>
  <c r="U26" i="1"/>
  <c r="P26" i="1"/>
  <c r="K26" i="1"/>
  <c r="B26" i="1"/>
  <c r="A26" i="1"/>
  <c r="AE24" i="1"/>
  <c r="Z24" i="1"/>
  <c r="U24" i="1"/>
  <c r="P24" i="1"/>
  <c r="K24" i="1"/>
  <c r="B24" i="1"/>
  <c r="A24" i="1"/>
  <c r="AE22" i="1"/>
  <c r="Z22" i="1"/>
  <c r="U22" i="1"/>
  <c r="P22" i="1"/>
  <c r="K22" i="1"/>
  <c r="B22" i="1"/>
  <c r="A22" i="1"/>
  <c r="AE20" i="1"/>
  <c r="Z20" i="1"/>
  <c r="U20" i="1"/>
  <c r="P20" i="1"/>
  <c r="K20" i="1"/>
  <c r="B20" i="1"/>
  <c r="A20" i="1"/>
  <c r="AE18" i="1"/>
  <c r="Z18" i="1"/>
  <c r="U18" i="1"/>
  <c r="P18" i="1"/>
  <c r="K18" i="1"/>
  <c r="B18" i="1"/>
  <c r="A18" i="1"/>
  <c r="AE16" i="1"/>
  <c r="Z16" i="1"/>
  <c r="U16" i="1"/>
  <c r="P16" i="1"/>
  <c r="K16" i="1"/>
  <c r="B16" i="1"/>
  <c r="A16" i="1"/>
  <c r="AE14" i="1"/>
  <c r="Z14" i="1"/>
  <c r="U14" i="1"/>
  <c r="P14" i="1"/>
  <c r="K14" i="1"/>
  <c r="B14" i="1"/>
  <c r="A14" i="1"/>
  <c r="AE12" i="1"/>
  <c r="Z12" i="1"/>
  <c r="U12" i="1"/>
  <c r="P12" i="1"/>
  <c r="K12" i="1"/>
  <c r="B12" i="1"/>
  <c r="A12" i="1"/>
  <c r="AE10" i="1"/>
  <c r="Z10" i="1"/>
  <c r="U10" i="1"/>
  <c r="P10" i="1"/>
  <c r="K10" i="1"/>
  <c r="B10" i="1"/>
  <c r="A10" i="1"/>
  <c r="AE8" i="1"/>
  <c r="Z8" i="1"/>
  <c r="U8" i="1"/>
  <c r="P8" i="1"/>
  <c r="K8" i="1"/>
  <c r="B8" i="1"/>
  <c r="A8" i="1"/>
  <c r="AE6" i="1"/>
  <c r="Z6" i="1"/>
  <c r="U6" i="1"/>
  <c r="P6" i="1"/>
  <c r="K6" i="1"/>
  <c r="B6" i="1"/>
  <c r="A6" i="1"/>
  <c r="AE4" i="1"/>
  <c r="Z4" i="1"/>
  <c r="U4" i="1"/>
  <c r="P4" i="1"/>
  <c r="K4" i="1"/>
  <c r="B4" i="1"/>
  <c r="A4" i="1"/>
</calcChain>
</file>

<file path=xl/sharedStrings.xml><?xml version="1.0" encoding="utf-8"?>
<sst xmlns="http://schemas.openxmlformats.org/spreadsheetml/2006/main" count="2213" uniqueCount="252">
  <si>
    <t>Lemma</t>
  </si>
  <si>
    <t>Frame</t>
  </si>
  <si>
    <t>L(emma) or F(rame)</t>
  </si>
  <si>
    <t>Preffered searching</t>
  </si>
  <si>
    <t>Nr. of occurences in PDT-C2.0 (for F) and in  SYN v4.0 (for L)</t>
  </si>
  <si>
    <t>Max.value</t>
  </si>
  <si>
    <t>annotation</t>
  </si>
  <si>
    <t>restriction</t>
  </si>
  <si>
    <t>note</t>
  </si>
  <si>
    <t>class1</t>
  </si>
  <si>
    <t>val_1</t>
  </si>
  <si>
    <t>status_c1</t>
  </si>
  <si>
    <t>restriction_c1</t>
  </si>
  <si>
    <t>class2</t>
  </si>
  <si>
    <t>val_2</t>
  </si>
  <si>
    <t>status_c2</t>
  </si>
  <si>
    <t>restriction_c2</t>
  </si>
  <si>
    <t>class3</t>
  </si>
  <si>
    <t>val_3</t>
  </si>
  <si>
    <t>status_c3</t>
  </si>
  <si>
    <t>restriction_c3</t>
  </si>
  <si>
    <t>class4</t>
  </si>
  <si>
    <t>val_4</t>
  </si>
  <si>
    <t>status_c4</t>
  </si>
  <si>
    <t>restriction_c4</t>
  </si>
  <si>
    <t>class5</t>
  </si>
  <si>
    <t>val_5</t>
  </si>
  <si>
    <t>status_c5</t>
  </si>
  <si>
    <t>restriction_c5</t>
  </si>
  <si>
    <t>n</t>
  </si>
  <si>
    <t>hic_2_1_4_4_1</t>
  </si>
  <si>
    <t>y</t>
  </si>
  <si>
    <t>x</t>
  </si>
  <si>
    <t>r_y</t>
  </si>
  <si>
    <t>hic_2_4_2_2_7_1_1</t>
  </si>
  <si>
    <t>vec01550</t>
  </si>
  <si>
    <t xml:space="preserve">N: Antonym </t>
  </si>
  <si>
    <t>hic_2_4_2_4</t>
  </si>
  <si>
    <t>vec00789</t>
  </si>
  <si>
    <t>hic_2_5_1_2_3_1_2</t>
  </si>
  <si>
    <t>hic_2_6_2_2_1_1</t>
  </si>
  <si>
    <t>vec00045</t>
  </si>
  <si>
    <t xml:space="preserve">N: Idiom, DPHR is restricted. </t>
  </si>
  <si>
    <t>vec00730</t>
  </si>
  <si>
    <t>vec00764</t>
  </si>
  <si>
    <t>hic_2_2_6_1_1_1_2_1</t>
  </si>
  <si>
    <t>vec00877</t>
  </si>
  <si>
    <t>hic_2_1_2</t>
  </si>
  <si>
    <t>hic_2_2_2_3</t>
  </si>
  <si>
    <t>vec00900</t>
  </si>
  <si>
    <t>hic_2_1_1_2_1_1_2</t>
  </si>
  <si>
    <t>r_n</t>
  </si>
  <si>
    <t>vec01643</t>
  </si>
  <si>
    <t>vec00463</t>
  </si>
  <si>
    <t>vec01140</t>
  </si>
  <si>
    <t>hic_1</t>
  </si>
  <si>
    <t>hic_1_1_3_1_1_1_4</t>
  </si>
  <si>
    <t>vec00243</t>
  </si>
  <si>
    <t>hic_2_1_2_1</t>
  </si>
  <si>
    <t>hic_2_6</t>
  </si>
  <si>
    <t>N: expressive</t>
  </si>
  <si>
    <t xml:space="preserve">odstup </t>
  </si>
  <si>
    <t xml:space="preserve">N: note1:expressive; note2: Idiom, DPHR is restricted. </t>
  </si>
  <si>
    <t xml:space="preserve">jako, když, tisknout </t>
  </si>
  <si>
    <t>hic_2_6_1</t>
  </si>
  <si>
    <t>vec00394</t>
  </si>
  <si>
    <t>vec01577</t>
  </si>
  <si>
    <t>vec00048</t>
  </si>
  <si>
    <t>vec00098</t>
  </si>
  <si>
    <t>hic_2_4_2_2</t>
  </si>
  <si>
    <t>hic_2_4_2_2_4_8</t>
  </si>
  <si>
    <t>vec00502</t>
  </si>
  <si>
    <t>N: trap</t>
  </si>
  <si>
    <t>vec01728</t>
  </si>
  <si>
    <t>hic_2_5_5_1_1</t>
  </si>
  <si>
    <t>vec01323</t>
  </si>
  <si>
    <t>hic_2_3_2</t>
  </si>
  <si>
    <t>hic_2_1_1_2_1_7</t>
  </si>
  <si>
    <t>hic_2_1_4_1_2</t>
  </si>
  <si>
    <t>hic_2_4_3_1_2</t>
  </si>
  <si>
    <t xml:space="preserve">N: note1: hic_2_4_1_2_3; note2: Idiom, DPHR is restricted. </t>
  </si>
  <si>
    <t>nerv</t>
  </si>
  <si>
    <t>vec01080</t>
  </si>
  <si>
    <t>vec00589</t>
  </si>
  <si>
    <t>hic_2_5_1_6_4_3</t>
  </si>
  <si>
    <t>hic_2_4_2_2_7_2</t>
  </si>
  <si>
    <t>vec00460</t>
  </si>
  <si>
    <t>vec00886</t>
  </si>
  <si>
    <t>hic_2_2_2_1_2</t>
  </si>
  <si>
    <t>vec01784</t>
  </si>
  <si>
    <t>hic_2_4_1_1_17</t>
  </si>
  <si>
    <t>hic_2_2_5_2</t>
  </si>
  <si>
    <t>vec01490</t>
  </si>
  <si>
    <t>N: authority</t>
  </si>
  <si>
    <t>hic_2_6_2_2_1_1_2</t>
  </si>
  <si>
    <t>N: literal</t>
  </si>
  <si>
    <t>vec00351</t>
  </si>
  <si>
    <t>vec00539</t>
  </si>
  <si>
    <t>vec00740</t>
  </si>
  <si>
    <t>prst</t>
  </si>
  <si>
    <t>vec00591</t>
  </si>
  <si>
    <t>vec00470</t>
  </si>
  <si>
    <t xml:space="preserve">N: LVC, CPHR is restricted. </t>
  </si>
  <si>
    <t>hic_2_1_1_1_1_2</t>
  </si>
  <si>
    <t>nenávist, touha</t>
  </si>
  <si>
    <t>vec00382</t>
  </si>
  <si>
    <t>N: colloquial</t>
  </si>
  <si>
    <t>hic_2_1_5_1_2_1</t>
  </si>
  <si>
    <t>vec00402</t>
  </si>
  <si>
    <t>N: Mapování: PAT redundand, no mapping.</t>
  </si>
  <si>
    <t>N: by a cut</t>
  </si>
  <si>
    <t>vec00107</t>
  </si>
  <si>
    <t>vec00389</t>
  </si>
  <si>
    <t>hic_2_6_1_1</t>
  </si>
  <si>
    <t>vec00030</t>
  </si>
  <si>
    <t>vec01631</t>
  </si>
  <si>
    <t>hic_2_4_2_2_4_2_2</t>
  </si>
  <si>
    <t>vec00364</t>
  </si>
  <si>
    <t>hic_2_7_1_5_1_2</t>
  </si>
  <si>
    <t>vec00623</t>
  </si>
  <si>
    <t>N: clothes</t>
  </si>
  <si>
    <t>hic_2_1_2_3</t>
  </si>
  <si>
    <t>N: by biting</t>
  </si>
  <si>
    <t>N: poetry</t>
  </si>
  <si>
    <t xml:space="preserve">N: Iidom, DPHR is restricted. </t>
  </si>
  <si>
    <t>na, sebe</t>
  </si>
  <si>
    <t>vec00620</t>
  </si>
  <si>
    <t>hic_2_2_3_2_2</t>
  </si>
  <si>
    <t>hic_2_4_2_2_7_15</t>
  </si>
  <si>
    <t>hic_2_1_1_1_1</t>
  </si>
  <si>
    <t>hic_2_9_6_2_1</t>
  </si>
  <si>
    <t>vec01858</t>
  </si>
  <si>
    <t>hic_2_1_1_2_2_1_3</t>
  </si>
  <si>
    <t>hic_2_1_1_2_2_4_1</t>
  </si>
  <si>
    <t>hic_2_5_1_2_4_6</t>
  </si>
  <si>
    <t>N: figurative</t>
  </si>
  <si>
    <t>vec01054</t>
  </si>
  <si>
    <t>vec00671</t>
  </si>
  <si>
    <t>vec01289</t>
  </si>
  <si>
    <t>vec00791</t>
  </si>
  <si>
    <t>vec00407</t>
  </si>
  <si>
    <t>polívčička</t>
  </si>
  <si>
    <t>vec00231</t>
  </si>
  <si>
    <t>na, svůj</t>
  </si>
  <si>
    <t>vec00608</t>
  </si>
  <si>
    <t>olej, do, oheň</t>
  </si>
  <si>
    <t>hic_2_1_1_1_2_1_1</t>
  </si>
  <si>
    <t>vec01811</t>
  </si>
  <si>
    <t>vec00786</t>
  </si>
  <si>
    <t>vec00574</t>
  </si>
  <si>
    <t>vec01614</t>
  </si>
  <si>
    <t>vec00021</t>
  </si>
  <si>
    <t>vec00296</t>
  </si>
  <si>
    <t>hic_2_1_3_2_4</t>
  </si>
  <si>
    <t>hic_2_4_1_1_11_4</t>
  </si>
  <si>
    <t>hic_2_5_6_1</t>
  </si>
  <si>
    <t>hic_1_1_1_2</t>
  </si>
  <si>
    <t>hic_2_4_2_2_7_10</t>
  </si>
  <si>
    <t>hic_2_4_2_4_2_4</t>
  </si>
  <si>
    <t>N: with an outcome</t>
  </si>
  <si>
    <t>hic_2_1_3_2</t>
  </si>
  <si>
    <t>vec00261</t>
  </si>
  <si>
    <t>vec00189</t>
  </si>
  <si>
    <t>vec01188</t>
  </si>
  <si>
    <t>vec01311</t>
  </si>
  <si>
    <t>vec00230</t>
  </si>
  <si>
    <t>vec00028</t>
  </si>
  <si>
    <t>hic_2_9_2_3</t>
  </si>
  <si>
    <t>vec00118</t>
  </si>
  <si>
    <t>N: note1: hic_2_4_1_1_17; note2: Idiom, DPHR is restricted.</t>
  </si>
  <si>
    <t>hovno, Šalamounův</t>
  </si>
  <si>
    <t>vec00870</t>
  </si>
  <si>
    <t>vec01870</t>
  </si>
  <si>
    <t>vec00018</t>
  </si>
  <si>
    <t>N: volcano</t>
  </si>
  <si>
    <t>vec00120</t>
  </si>
  <si>
    <t>vec00196</t>
  </si>
  <si>
    <t>hic_2_2_5_2_2</t>
  </si>
  <si>
    <t>vec01347</t>
  </si>
  <si>
    <t>vec00307</t>
  </si>
  <si>
    <t>N: Antonym</t>
  </si>
  <si>
    <t>vec01718</t>
  </si>
  <si>
    <t>vec00127</t>
  </si>
  <si>
    <t>vec00739</t>
  </si>
  <si>
    <t>hic_2_5_3_2_2_1_2_1</t>
  </si>
  <si>
    <t>hic_2_2_1</t>
  </si>
  <si>
    <t>vec00360</t>
  </si>
  <si>
    <t>vec01974</t>
  </si>
  <si>
    <t>na, se, bič</t>
  </si>
  <si>
    <t>vec00213</t>
  </si>
  <si>
    <t>vec01456</t>
  </si>
  <si>
    <t>N: archaism</t>
  </si>
  <si>
    <t>hic_2_4_1_2_10</t>
  </si>
  <si>
    <t>vec00228</t>
  </si>
  <si>
    <t>vec01913</t>
  </si>
  <si>
    <t>opasek</t>
  </si>
  <si>
    <t>vec01534</t>
  </si>
  <si>
    <t>vec00958</t>
  </si>
  <si>
    <t>vec00311</t>
  </si>
  <si>
    <t>vec01039</t>
  </si>
  <si>
    <t>vec01936</t>
  </si>
  <si>
    <t>svůj</t>
  </si>
  <si>
    <t>vec01923</t>
  </si>
  <si>
    <t>vec01115</t>
  </si>
  <si>
    <t>N: via ship</t>
  </si>
  <si>
    <t>hic_2_4_2_2_7_13_1</t>
  </si>
  <si>
    <t>vec01148</t>
  </si>
  <si>
    <t>vec00814</t>
  </si>
  <si>
    <t>vec01352</t>
  </si>
  <si>
    <t>hic_2_5_5_10_1</t>
  </si>
  <si>
    <t>hic_2_5_3_2_2_1_1</t>
  </si>
  <si>
    <t>vec00383</t>
  </si>
  <si>
    <t>N: because of hunger</t>
  </si>
  <si>
    <t>hic_2_1_1_1_2_1_7</t>
  </si>
  <si>
    <t>vec00331</t>
  </si>
  <si>
    <t>vec00086</t>
  </si>
  <si>
    <t>hic_2_6_2_3</t>
  </si>
  <si>
    <t>N: by squeezing</t>
  </si>
  <si>
    <t>vec00884</t>
  </si>
  <si>
    <t>vec00380</t>
  </si>
  <si>
    <t>N: with money</t>
  </si>
  <si>
    <t>hic_2_4_2_2_4_1_3</t>
  </si>
  <si>
    <t>vec00491</t>
  </si>
  <si>
    <t>hic_2_1_3_2_1</t>
  </si>
  <si>
    <t>vec01200</t>
  </si>
  <si>
    <t>vec01646</t>
  </si>
  <si>
    <t>hic_2_2_5_10_4</t>
  </si>
  <si>
    <t>vec00050</t>
  </si>
  <si>
    <t>vec00082</t>
  </si>
  <si>
    <t>hic_2_3_3_1</t>
  </si>
  <si>
    <t>vec01061</t>
  </si>
  <si>
    <t>růžek</t>
  </si>
  <si>
    <t xml:space="preserve">N: note1: Antonym; note2: Idiom, DPHR is restricted. </t>
  </si>
  <si>
    <t>vec00175</t>
  </si>
  <si>
    <t>vec00872</t>
  </si>
  <si>
    <t>N: specific: wall</t>
  </si>
  <si>
    <t>hic_2_1_1_1_1_2_2_1</t>
  </si>
  <si>
    <t>vec00461</t>
  </si>
  <si>
    <t>hic_2_4_3_1_1_6</t>
  </si>
  <si>
    <t>hic_1_1_2</t>
  </si>
  <si>
    <t>hic_2_1_1_2_1_2</t>
  </si>
  <si>
    <t>vec00037</t>
  </si>
  <si>
    <t>N: repetition</t>
  </si>
  <si>
    <t>vec00106</t>
  </si>
  <si>
    <t>vec01960</t>
  </si>
  <si>
    <t>hic_2_5_5_10_4</t>
  </si>
  <si>
    <t>vec00992</t>
  </si>
  <si>
    <t>vec01250</t>
  </si>
  <si>
    <t>vec01247</t>
  </si>
  <si>
    <t>hic_2_1_5_1_2_3</t>
  </si>
  <si>
    <t>vec01572</t>
  </si>
  <si>
    <t xml:space="preserve">N: note1: hic_2_1_1_1_2_1_2; note2: archaism with accusative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</si>
</sst>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sz val="10"/>
      <color rgb="FFFF0000"/>
      <name val="Arial"/>
      <family val="2"/>
    </font>
    <font>
      <sz val="10"/>
      <color rgb="FFFF0000"/>
      <name val="Arial"/>
      <family val="2"/>
      <charset val="1"/>
    </font>
  </fonts>
  <fills count="3">
    <fill>
      <patternFill patternType="none"/>
    </fill>
    <fill>
      <patternFill patternType="gray125"/>
    </fill>
    <fill>
      <patternFill patternType="solid">
        <fgColor theme="5" tint="0.79979857783745845"/>
        <bgColor rgb="FFCCFFFF"/>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2" borderId="0" xfId="0" applyFill="1"/>
    <xf numFmtId="0" fontId="0" fillId="2" borderId="0" xfId="0" applyFill="1" applyAlignment="1">
      <alignment wrapText="1"/>
    </xf>
    <xf numFmtId="0" fontId="2" fillId="2" borderId="0" xfId="0" applyFont="1" applyFill="1"/>
  </cellXfs>
  <cellStyles count="1">
    <cellStyle name="Normální"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BBE6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00"/>
  <sheetViews>
    <sheetView tabSelected="1" topLeftCell="A617" zoomScale="85" zoomScaleNormal="85" workbookViewId="0">
      <selection activeCell="X655" sqref="X655"/>
    </sheetView>
  </sheetViews>
  <sheetFormatPr defaultColWidth="11.5703125" defaultRowHeight="12.75" customHeight="1" x14ac:dyDescent="0.2"/>
  <cols>
    <col min="1" max="1" width="14.5703125" customWidth="1"/>
    <col min="2" max="2" width="8.7109375" customWidth="1"/>
    <col min="5" max="5" width="5.42578125" customWidth="1"/>
    <col min="6" max="6" width="8" customWidth="1"/>
    <col min="7" max="7" width="11.5703125" style="1"/>
    <col min="8" max="8" width="14.28515625" style="1" customWidth="1"/>
    <col min="9" max="9" width="8" style="1" customWidth="1"/>
    <col min="10" max="10" width="2.85546875" customWidth="1"/>
    <col min="11" max="11" width="32.42578125" customWidth="1"/>
    <col min="12" max="12" width="8" customWidth="1"/>
    <col min="14" max="14" width="10.7109375" customWidth="1"/>
    <col min="15" max="15" width="8" customWidth="1"/>
    <col min="16" max="16" width="31.7109375" customWidth="1"/>
    <col min="17" max="17" width="8" customWidth="1"/>
    <col min="19" max="19" width="16" customWidth="1"/>
    <col min="21" max="21" width="32.42578125" customWidth="1"/>
    <col min="22" max="22" width="8" customWidth="1"/>
    <col min="24" max="24" width="13.7109375" customWidth="1"/>
    <col min="25" max="25" width="8" customWidth="1"/>
    <col min="26" max="26" width="34" customWidth="1"/>
    <col min="27" max="27" width="8" customWidth="1"/>
    <col min="29" max="29" width="12" customWidth="1"/>
    <col min="30" max="30" width="8" customWidth="1"/>
    <col min="31" max="31" width="32.42578125" customWidth="1"/>
    <col min="32" max="32" width="8" customWidth="1"/>
    <col min="34" max="34" width="17.140625" customWidth="1"/>
    <col min="35" max="35" width="8" customWidth="1"/>
    <col min="36" max="36" width="34" customWidth="1"/>
    <col min="37" max="37" width="8" customWidth="1"/>
    <col min="39" max="39" width="32.42578125" customWidth="1"/>
    <col min="40" max="40" width="8" customWidth="1"/>
    <col min="42" max="42" width="31" customWidth="1"/>
    <col min="43" max="43" width="8" customWidth="1"/>
    <col min="45" max="45" width="30.28515625" customWidth="1"/>
    <col min="46" max="46" width="8" customWidth="1"/>
    <col min="48" max="48" width="34" customWidth="1"/>
    <col min="49" max="49" width="8" customWidth="1"/>
  </cols>
  <sheetData>
    <row r="1" spans="1:34" ht="44.25" customHeight="1" x14ac:dyDescent="0.2">
      <c r="A1" s="2" t="s">
        <v>0</v>
      </c>
      <c r="B1" s="2" t="s">
        <v>1</v>
      </c>
      <c r="C1" s="3" t="s">
        <v>2</v>
      </c>
      <c r="D1" s="3" t="s">
        <v>3</v>
      </c>
      <c r="E1" s="3" t="s">
        <v>4</v>
      </c>
      <c r="F1" s="2" t="s">
        <v>5</v>
      </c>
      <c r="G1" s="4" t="s">
        <v>6</v>
      </c>
      <c r="H1" s="4" t="s">
        <v>7</v>
      </c>
      <c r="I1" s="4" t="s">
        <v>8</v>
      </c>
      <c r="J1" s="4"/>
      <c r="K1" s="2" t="s">
        <v>9</v>
      </c>
      <c r="L1" s="2" t="s">
        <v>10</v>
      </c>
      <c r="M1" s="4" t="s">
        <v>11</v>
      </c>
      <c r="N1" s="4" t="s">
        <v>12</v>
      </c>
      <c r="O1" s="4"/>
      <c r="P1" s="2" t="s">
        <v>13</v>
      </c>
      <c r="Q1" s="2" t="s">
        <v>14</v>
      </c>
      <c r="R1" s="4" t="s">
        <v>15</v>
      </c>
      <c r="S1" s="4" t="s">
        <v>16</v>
      </c>
      <c r="T1" s="2"/>
      <c r="U1" s="2" t="s">
        <v>17</v>
      </c>
      <c r="V1" s="2" t="s">
        <v>18</v>
      </c>
      <c r="W1" s="4" t="s">
        <v>19</v>
      </c>
      <c r="X1" s="4" t="s">
        <v>20</v>
      </c>
      <c r="Y1" s="2"/>
      <c r="Z1" s="2" t="s">
        <v>21</v>
      </c>
      <c r="AA1" s="2" t="s">
        <v>22</v>
      </c>
      <c r="AB1" s="4" t="s">
        <v>23</v>
      </c>
      <c r="AC1" s="4" t="s">
        <v>24</v>
      </c>
      <c r="AD1" s="2"/>
      <c r="AE1" s="2" t="s">
        <v>25</v>
      </c>
      <c r="AF1" s="2" t="s">
        <v>26</v>
      </c>
      <c r="AG1" s="4" t="s">
        <v>27</v>
      </c>
      <c r="AH1" s="4" t="s">
        <v>28</v>
      </c>
    </row>
    <row r="4" spans="1:34" x14ac:dyDescent="0.2">
      <c r="A4" t="str">
        <f>HYPERLINK("https://lindat.mff.cuni.cz/services/PDT-Vallex4.5/PDT-Vallex4.5.html?verb=brázdit", "brázdit")</f>
        <v>brázdit</v>
      </c>
      <c r="B4" t="str">
        <f>HYPERLINK("https://lindat.mff.cuni.cz/services/PDT-Vallex4.5/PDT-Vallex4.5.html?verb=brázdit#v41hwA", "v41hwA")</f>
        <v>v41hwA</v>
      </c>
      <c r="E4">
        <v>116</v>
      </c>
      <c r="F4">
        <v>0.12817000000000001</v>
      </c>
      <c r="G4" s="1">
        <v>0</v>
      </c>
      <c r="I4" s="1" t="s">
        <v>30</v>
      </c>
      <c r="K4" t="str">
        <f>HYPERLINK("https://lindat.mff.cuni.cz/services/SynSemClass55/SynSemClass55.html?veclass=vec00882", "vec00882 / projet (v41hfaE)")</f>
        <v>vec00882 / projet (v41hfaE)</v>
      </c>
      <c r="L4">
        <v>0.12817000000000001</v>
      </c>
      <c r="M4" t="s">
        <v>29</v>
      </c>
      <c r="P4" t="str">
        <f>HYPERLINK("https://lindat.mff.cuni.cz/services/SynSemClass55/SynSemClass55.html?veclass=vec01216", "vec01216 / hrabat se (v41aygA)")</f>
        <v>vec01216 / hrabat se (v41aygA)</v>
      </c>
      <c r="Q4">
        <v>0.11865000000000001</v>
      </c>
      <c r="R4" t="s">
        <v>29</v>
      </c>
      <c r="U4" t="str">
        <f>HYPERLINK("https://lindat.mff.cuni.cz/services/SynSemClass55/SynSemClass55.html?veclass=vec00881", "vec00881 / prohnat se (v41hdxA)")</f>
        <v>vec00881 / prohnat se (v41hdxA)</v>
      </c>
      <c r="V4">
        <v>9.6680000000000002E-2</v>
      </c>
      <c r="W4" t="s">
        <v>29</v>
      </c>
      <c r="Z4" t="str">
        <f>HYPERLINK("https://lindat.mff.cuni.cz/services/SynSemClass55/SynSemClass55.html?veclass=vec00576", "vec00576 / zaplavit (v41qflC)")</f>
        <v>vec00576 / zaplavit (v41qflC)</v>
      </c>
      <c r="AA4">
        <v>8.201E-2</v>
      </c>
      <c r="AB4" t="s">
        <v>29</v>
      </c>
      <c r="AE4" t="str">
        <f>HYPERLINK("https://lindat.mff.cuni.cz/services/SynSemClass55/SynSemClass55.html?veclass=vec01025", "vec01025 / chodit (v41bbiK)")</f>
        <v>vec01025 / chodit (v41bbiK)</v>
      </c>
      <c r="AF4">
        <v>4.7140000000000001E-2</v>
      </c>
      <c r="AG4" t="s">
        <v>29</v>
      </c>
    </row>
    <row r="6" spans="1:34" x14ac:dyDescent="0.2">
      <c r="A6" t="str">
        <f>HYPERLINK("https://lindat.mff.cuni.cz/services/PDT-Vallex4.5/PDT-Vallex4.5.html?verb=celebrovat", "celebrovat")</f>
        <v>celebrovat</v>
      </c>
      <c r="B6" t="str">
        <f>HYPERLINK("https://lindat.mff.cuni.cz/services/PDT-Vallex4.5/PDT-Vallex4.5.html?verb=celebrovat#v41kaA", "v41kaA")</f>
        <v>v41kaA</v>
      </c>
      <c r="E6">
        <v>11</v>
      </c>
      <c r="F6">
        <v>0.14365</v>
      </c>
      <c r="G6" s="1" t="s">
        <v>32</v>
      </c>
      <c r="K6" t="str">
        <f>HYPERLINK("https://lindat.mff.cuni.cz/services/SynSemClass55/SynSemClass55.html?veclass=vec00621", "vec00621 / kázat (v41bkdA)")</f>
        <v>vec00621 / kázat (v41bkdA)</v>
      </c>
      <c r="L6">
        <v>0.14365</v>
      </c>
      <c r="M6" t="s">
        <v>29</v>
      </c>
      <c r="P6" t="str">
        <f>HYPERLINK("https://lindat.mff.cuni.cz/services/SynSemClass55/SynSemClass55.html?veclass=vec00663", "vec00663 / oslavit (v41ezrA)")</f>
        <v>vec00663 / oslavit (v41ezrA)</v>
      </c>
      <c r="Q6">
        <v>0.12995000000000001</v>
      </c>
      <c r="R6" t="s">
        <v>31</v>
      </c>
      <c r="U6" t="str">
        <f>HYPERLINK("https://lindat.mff.cuni.cz/services/SynSemClass55/SynSemClass55.html?veclass=vec01114", "vec01114 / skandovat (v41kpsA)")</f>
        <v>vec01114 / skandovat (v41kpsA)</v>
      </c>
      <c r="V6">
        <v>6.7809999999999995E-2</v>
      </c>
      <c r="W6" t="s">
        <v>29</v>
      </c>
      <c r="Z6" t="str">
        <f>HYPERLINK("https://lindat.mff.cuni.cz/services/SynSemClass55/SynSemClass55.html?veclass=vec01163", "vec01163 / vytrubovat (v41pdvA)")</f>
        <v>vec01163 / vytrubovat (v41pdvA)</v>
      </c>
      <c r="AA6">
        <v>5.9220000000000002E-2</v>
      </c>
      <c r="AB6" t="s">
        <v>29</v>
      </c>
      <c r="AE6" t="str">
        <f>HYPERLINK("https://lindat.mff.cuni.cz/services/SynSemClass55/SynSemClass55.html?veclass=vec01526", "vec01526 / svatořečit (v41lpoA)")</f>
        <v>vec01526 / svatořečit (v41lpoA)</v>
      </c>
      <c r="AF6">
        <v>3.107E-2</v>
      </c>
      <c r="AG6" t="s">
        <v>29</v>
      </c>
    </row>
    <row r="8" spans="1:34" x14ac:dyDescent="0.2">
      <c r="A8" t="str">
        <f>HYPERLINK("https://lindat.mff.cuni.cz/services/PDT-Vallex4.5/PDT-Vallex4.5.html?verb=cinkat", "cinkat")</f>
        <v>cinkat</v>
      </c>
      <c r="B8" t="str">
        <f>HYPERLINK("https://lindat.mff.cuni.cz/services/PDT-Vallex4.5/PDT-Vallex4.5.html?verb=cinkat#v41ktB", "v41ktB")</f>
        <v>v41ktB</v>
      </c>
      <c r="E8">
        <v>290</v>
      </c>
      <c r="F8">
        <v>0.25187999999999999</v>
      </c>
      <c r="G8" s="1" t="s">
        <v>32</v>
      </c>
      <c r="K8" t="str">
        <f>HYPERLINK("https://lindat.mff.cuni.cz/services/SynSemClass55/SynSemClass55.html?veclass=vec01196", "vec01196 / zvonit (v41sclA)")</f>
        <v>vec01196 / zvonit (v41sclA)</v>
      </c>
      <c r="L8">
        <v>0.25187999999999999</v>
      </c>
      <c r="M8" t="s">
        <v>29</v>
      </c>
      <c r="P8" t="str">
        <f>HYPERLINK("https://lindat.mff.cuni.cz/services/SynSemClass55/SynSemClass55.html?veclass=vec01348", "vec01348 / vrčet (v41nqjC)")</f>
        <v>vec01348 / vrčet (v41nqjC)</v>
      </c>
      <c r="Q8">
        <v>0.19991</v>
      </c>
      <c r="R8" t="s">
        <v>29</v>
      </c>
      <c r="U8" t="str">
        <f>HYPERLINK("https://lindat.mff.cuni.cz/services/SynSemClass55/SynSemClass55.html?veclass=vec00592", "vec00592 / znít (v41rppD)")</f>
        <v>vec00592 / znít (v41rppD)</v>
      </c>
      <c r="V8">
        <v>7.6569999999999999E-2</v>
      </c>
      <c r="W8" t="s">
        <v>31</v>
      </c>
      <c r="Z8" t="str">
        <f>HYPERLINK("https://lindat.mff.cuni.cz/services/SynSemClass55/SynSemClass55.html?veclass=vec00631", "vec00631 / mávat (v41cetA)")</f>
        <v>vec00631 / mávat (v41cetA)</v>
      </c>
      <c r="AA8">
        <v>5.0139999999999997E-2</v>
      </c>
      <c r="AB8" t="s">
        <v>29</v>
      </c>
      <c r="AE8" t="str">
        <f>HYPERLINK("https://lindat.mff.cuni.cz/services/SynSemClass55/SynSemClass55.html?veclass=vec01195", "vec01195 / zvonit (v41sclB)")</f>
        <v>vec01195 / zvonit (v41sclB)</v>
      </c>
      <c r="AF8">
        <v>4.9430000000000002E-2</v>
      </c>
      <c r="AG8" t="s">
        <v>29</v>
      </c>
    </row>
    <row r="10" spans="1:34" x14ac:dyDescent="0.2">
      <c r="A10" t="str">
        <f>HYPERLINK("https://lindat.mff.cuni.cz/services/PDT-Vallex4.5/PDT-Vallex4.5.html?verb=cirkulovat", "cirkulovat")</f>
        <v>cirkulovat</v>
      </c>
      <c r="B10" t="str">
        <f>HYPERLINK("https://lindat.mff.cuni.cz/services/PDT-Vallex4.5/PDT-Vallex4.5.html?verb=cirkulovat#v41kwA", "v41kwA")</f>
        <v>v41kwA</v>
      </c>
      <c r="E10">
        <v>15</v>
      </c>
      <c r="F10">
        <v>0.10953</v>
      </c>
      <c r="G10" s="1" t="s">
        <v>32</v>
      </c>
      <c r="K10" t="str">
        <f>HYPERLINK("https://lindat.mff.cuni.cz/services/SynSemClass55/SynSemClass55.html?veclass=vec01566", "vec01566 / míhat se (v41cgbA)")</f>
        <v>vec01566 / míhat se (v41cgbA)</v>
      </c>
      <c r="L10">
        <v>0.10953</v>
      </c>
      <c r="M10" t="s">
        <v>29</v>
      </c>
      <c r="P10" t="str">
        <f>HYPERLINK("https://lindat.mff.cuni.cz/services/SynSemClass55/SynSemClass55.html?veclass=vec00882", "vec00882 / projet (v41hfaE)")</f>
        <v>vec00882 / projet (v41hfaE)</v>
      </c>
      <c r="Q10">
        <v>9.8110000000000003E-2</v>
      </c>
      <c r="R10" t="s">
        <v>29</v>
      </c>
      <c r="U10" t="str">
        <f>HYPERLINK("https://lindat.mff.cuni.cz/services/SynSemClass55/SynSemClass55.html?veclass=vec00831", "vec00831 / kroužit (v41bvnA)")</f>
        <v>vec00831 / kroužit (v41bvnA)</v>
      </c>
      <c r="V10">
        <v>8.6730000000000002E-2</v>
      </c>
      <c r="W10" t="s">
        <v>33</v>
      </c>
      <c r="Z10" t="str">
        <f>HYPERLINK("https://lindat.mff.cuni.cz/services/SynSemClass55/SynSemClass55.html?veclass=vec01665", "vec01665 / přenášet se (v41ifcA)")</f>
        <v>vec01665 / přenášet se (v41ifcA)</v>
      </c>
      <c r="AA10">
        <v>8.3790000000000003E-2</v>
      </c>
      <c r="AB10" t="s">
        <v>29</v>
      </c>
      <c r="AE10" t="str">
        <f>HYPERLINK("https://lindat.mff.cuni.cz/services/SynSemClass55/SynSemClass55.html?veclass=vec00209", "vec00209 / distribuovat (v41uwB)")</f>
        <v>vec00209 / distribuovat (v41uwB)</v>
      </c>
      <c r="AF10">
        <v>6.2560000000000004E-2</v>
      </c>
      <c r="AG10" t="s">
        <v>29</v>
      </c>
    </row>
    <row r="12" spans="1:34" x14ac:dyDescent="0.2">
      <c r="A12" t="str">
        <f>HYPERLINK("https://lindat.mff.cuni.cz/services/PDT-Vallex4.5/PDT-Vallex4.5.html?verb=civilizovat", "civilizovat")</f>
        <v>civilizovat</v>
      </c>
      <c r="B12" t="str">
        <f>HYPERLINK("https://lindat.mff.cuni.cz/services/PDT-Vallex4.5/PDT-Vallex4.5.html?verb=civilizovat#v41ljA", "v41ljA")</f>
        <v>v41ljA</v>
      </c>
      <c r="E12">
        <v>8</v>
      </c>
      <c r="F12">
        <v>3.2779999999999997E-2</v>
      </c>
      <c r="G12" s="1">
        <v>0</v>
      </c>
      <c r="I12" s="1" t="s">
        <v>34</v>
      </c>
      <c r="K12" t="str">
        <f>HYPERLINK("https://lindat.mff.cuni.cz/services/SynSemClass55/SynSemClass55.html?veclass=vec01178", "vec01178 / znárodnit (v41rmvA)")</f>
        <v>vec01178 / znárodnit (v41rmvA)</v>
      </c>
      <c r="L12">
        <v>3.2779999999999997E-2</v>
      </c>
      <c r="M12" t="s">
        <v>29</v>
      </c>
      <c r="P12" t="str">
        <f>HYPERLINK("https://lindat.mff.cuni.cz/services/SynSemClass55/SynSemClass55.html?veclass=vec00468", "vec00468 / pěstovat (v41fkwB)")</f>
        <v>vec00468 / pěstovat (v41fkwB)</v>
      </c>
      <c r="Q12">
        <v>2.7230000000000001E-2</v>
      </c>
      <c r="R12" t="s">
        <v>29</v>
      </c>
      <c r="U12" t="str">
        <f>HYPERLINK("https://lindat.mff.cuni.cz/services/SynSemClass55/SynSemClass55.html?veclass=vec00536", "vec00536 / uklidnit (v41mmaA)")</f>
        <v>vec00536 / uklidnit (v41mmaA)</v>
      </c>
      <c r="V12">
        <v>2.5950000000000001E-2</v>
      </c>
      <c r="W12" t="s">
        <v>29</v>
      </c>
      <c r="Z12" t="str">
        <f>HYPERLINK("https://lindat.mff.cuni.cz/services/SynSemClass55/SynSemClass55.html?veclass=vec00808", "vec00808 / diskriminovat (v41ujA)")</f>
        <v>vec00808 / diskriminovat (v41ujA)</v>
      </c>
      <c r="AA12">
        <v>2.5930000000000002E-2</v>
      </c>
      <c r="AB12" t="s">
        <v>29</v>
      </c>
      <c r="AE12" t="str">
        <f>HYPERLINK("https://lindat.mff.cuni.cz/services/SynSemClass55/SynSemClass55.html?veclass=vec01988", "vec01988 / zúročit (v41saaA)")</f>
        <v>vec01988 / zúročit (v41saaA)</v>
      </c>
      <c r="AF12">
        <v>2.4879999999999999E-2</v>
      </c>
      <c r="AG12" t="s">
        <v>29</v>
      </c>
    </row>
    <row r="14" spans="1:34" x14ac:dyDescent="0.2">
      <c r="A14" t="str">
        <f>HYPERLINK("https://lindat.mff.cuni.cz/services/PDT-Vallex4.5/PDT-Vallex4.5.html?verb=cupovat", "cupovat")</f>
        <v>cupovat</v>
      </c>
      <c r="B14" t="str">
        <f>HYPERLINK("https://lindat.mff.cuni.cz/services/PDT-Vallex4.5/PDT-Vallex4.5.html?verb=cupovat#v41mbA", "v41mbA")</f>
        <v>v41mbA</v>
      </c>
      <c r="E14">
        <v>47</v>
      </c>
      <c r="F14">
        <v>0.16577</v>
      </c>
      <c r="G14" s="1" t="s">
        <v>32</v>
      </c>
      <c r="K14" t="str">
        <f>HYPERLINK("https://lindat.mff.cuni.cz/services/SynSemClass55/SynSemClass55.html?veclass=vec00903", "vec00903 / rozcupovat (v41jmmA)")</f>
        <v>vec00903 / rozcupovat (v41jmmA)</v>
      </c>
      <c r="L14">
        <v>0.16577</v>
      </c>
      <c r="M14" t="s">
        <v>31</v>
      </c>
      <c r="P14" t="str">
        <f>HYPERLINK("https://lindat.mff.cuni.cz/services/SynSemClass55/SynSemClass55.html?veclass=vec01727", "vec01727 / clít (v41lnA)")</f>
        <v>vec01727 / clít (v41lnA)</v>
      </c>
      <c r="Q14">
        <v>5.9279999999999999E-2</v>
      </c>
      <c r="R14" t="s">
        <v>29</v>
      </c>
      <c r="U14" t="str">
        <f>HYPERLINK("https://lindat.mff.cuni.cz/services/SynSemClass55/SynSemClass55.html?veclass=vec00296", "vec00296 / rozdělit (v41jniC)")</f>
        <v>vec00296 / rozdělit (v41jniC)</v>
      </c>
      <c r="V14">
        <v>4.8439999999999997E-2</v>
      </c>
      <c r="W14" t="s">
        <v>29</v>
      </c>
      <c r="Z14" t="str">
        <f>HYPERLINK("https://lindat.mff.cuni.cz/services/SynSemClass55/SynSemClass55.html?veclass=vec01491", "vec01491 / fasovat (v41appA)")</f>
        <v>vec01491 / fasovat (v41appA)</v>
      </c>
      <c r="AA14">
        <v>3.9829999999999997E-2</v>
      </c>
      <c r="AB14" t="s">
        <v>29</v>
      </c>
      <c r="AE14" t="str">
        <f>HYPERLINK("https://lindat.mff.cuni.cz/services/SynSemClass55/SynSemClass55.html?veclass=vec01216", "vec01216 / hrabat se (v41aygA)")</f>
        <v>vec01216 / hrabat se (v41aygA)</v>
      </c>
      <c r="AF14">
        <v>3.1719999999999998E-2</v>
      </c>
      <c r="AG14" t="s">
        <v>29</v>
      </c>
    </row>
    <row r="16" spans="1:34" x14ac:dyDescent="0.2">
      <c r="A16" t="str">
        <f>HYPERLINK("https://lindat.mff.cuni.cz/services/PDT-Vallex4.5/PDT-Vallex4.5.html?verb=čišet", "čišet")</f>
        <v>čišet</v>
      </c>
      <c r="B16" t="str">
        <f>HYPERLINK("https://lindat.mff.cuni.cz/services/PDT-Vallex4.5/PDT-Vallex4.5.html?verb=čišet#v41nzB", "v41nzB")</f>
        <v>v41nzB</v>
      </c>
      <c r="E16">
        <v>270</v>
      </c>
      <c r="F16">
        <v>0.74258000000000002</v>
      </c>
      <c r="G16" s="1" t="s">
        <v>35</v>
      </c>
      <c r="K16" t="str">
        <f>HYPERLINK("https://lindat.mff.cuni.cz/services/SynSemClass55/SynSemClass55.html?veclass=vec00258", "vec00258 / pocházet (v41fyjA)")</f>
        <v>vec00258 / pocházet (v41fyjA)</v>
      </c>
      <c r="L16">
        <v>0.74258000000000002</v>
      </c>
      <c r="M16" t="s">
        <v>29</v>
      </c>
      <c r="P16" t="str">
        <f>HYPERLINK("https://lindat.mff.cuni.cz/services/SynSemClass55/SynSemClass55.html?veclass=vec00893", "vec00893 / překypovat (v41ideA)")</f>
        <v>vec00893 / překypovat (v41ideA)</v>
      </c>
      <c r="Q16">
        <v>3.884E-2</v>
      </c>
      <c r="R16" t="s">
        <v>29</v>
      </c>
      <c r="U16" t="str">
        <f>HYPERLINK("https://lindat.mff.cuni.cz/services/SynSemClass55/SynSemClass55.html?veclass=vec01621", "vec01621 / vykukovat (v41ohbB)")</f>
        <v>vec01621 / vykukovat (v41ohbB)</v>
      </c>
      <c r="V16">
        <v>3.0929999999999999E-2</v>
      </c>
      <c r="W16" t="s">
        <v>29</v>
      </c>
      <c r="Z16" t="str">
        <f>HYPERLINK("https://lindat.mff.cuni.cz/services/SynSemClass55/SynSemClass55.html?veclass=vec00614", "vec00614 / chrlit (v41bbzA)")</f>
        <v>vec00614 / chrlit (v41bbzA)</v>
      </c>
      <c r="AA16">
        <v>2.0129999999999999E-2</v>
      </c>
      <c r="AB16" t="s">
        <v>29</v>
      </c>
      <c r="AE16" t="str">
        <f>HYPERLINK("https://lindat.mff.cuni.cz/services/SynSemClass55/SynSemClass55.html?veclass=vec00071", "vec00071 / pocházet (v41fyjB)")</f>
        <v>vec00071 / pocházet (v41fyjB)</v>
      </c>
      <c r="AF16">
        <v>1.7600000000000001E-2</v>
      </c>
      <c r="AG16" t="s">
        <v>29</v>
      </c>
    </row>
    <row r="18" spans="1:33" x14ac:dyDescent="0.2">
      <c r="A18" t="str">
        <f>HYPERLINK("https://lindat.mff.cuni.cz/services/PDT-Vallex4.5/PDT-Vallex4.5.html?verb=datovat se", "datovat se")</f>
        <v>datovat se</v>
      </c>
      <c r="B18" t="str">
        <f>HYPERLINK("https://lindat.mff.cuni.cz/services/PDT-Vallex4.5/PDT-Vallex4.5.html?verb=datovat se#v41poA", "v41poA")</f>
        <v>v41poA</v>
      </c>
      <c r="E18">
        <v>45</v>
      </c>
      <c r="F18">
        <v>0.64868000000000003</v>
      </c>
      <c r="G18" s="1" t="s">
        <v>32</v>
      </c>
      <c r="K18" t="str">
        <f>HYPERLINK("https://lindat.mff.cuni.cz/services/SynSemClass55/SynSemClass55.html?veclass=vec00005", "vec00005 / datovat se (v41poB)")</f>
        <v>vec00005 / datovat se (v41poB)</v>
      </c>
      <c r="L18">
        <v>0.64868000000000003</v>
      </c>
      <c r="M18" t="s">
        <v>31</v>
      </c>
      <c r="P18" t="str">
        <f>HYPERLINK("https://lindat.mff.cuni.cz/services/SynSemClass55/SynSemClass55.html?veclass=vec00806", "vec00806 / datovat (v41pnA)")</f>
        <v>vec00806 / datovat (v41pnA)</v>
      </c>
      <c r="Q18">
        <v>0.25992999999999999</v>
      </c>
      <c r="R18" t="s">
        <v>29</v>
      </c>
      <c r="U18" t="str">
        <f>HYPERLINK("https://lindat.mff.cuni.cz/services/SynSemClass55/SynSemClass55.html?veclass=vec00488", "vec00488 / prohlásit (v41hddA)")</f>
        <v>vec00488 / prohlásit (v41hddA)</v>
      </c>
      <c r="V18">
        <v>1.6289999999999999E-2</v>
      </c>
      <c r="W18" t="s">
        <v>29</v>
      </c>
      <c r="Z18" t="str">
        <f>HYPERLINK("https://lindat.mff.cuni.cz/services/SynSemClass55/SynSemClass55.html?veclass=vec01169", "vec01169 / zachytit (v41pveE)")</f>
        <v>vec01169 / zachytit (v41pveE)</v>
      </c>
      <c r="AA18">
        <v>1.6080000000000001E-2</v>
      </c>
      <c r="AB18" t="s">
        <v>29</v>
      </c>
      <c r="AE18" t="str">
        <f>HYPERLINK("https://lindat.mff.cuni.cz/services/SynSemClass55/SynSemClass55.html?veclass=vec01401", "vec01401 / jít (v41bikBY)")</f>
        <v>vec01401 / jít (v41bikBY)</v>
      </c>
      <c r="AF18">
        <v>1.3599999999999999E-2</v>
      </c>
      <c r="AG18" t="s">
        <v>29</v>
      </c>
    </row>
    <row r="20" spans="1:33" x14ac:dyDescent="0.2">
      <c r="A20" t="str">
        <f>HYPERLINK("https://lindat.mff.cuni.cz/services/PDT-Vallex4.5/PDT-Vallex4.5.html?verb=decentralizovat", "decentralizovat")</f>
        <v>decentralizovat</v>
      </c>
      <c r="B20" t="str">
        <f>HYPERLINK("https://lindat.mff.cuni.cz/services/PDT-Vallex4.5/PDT-Vallex4.5.html?verb=decentralizovat#v41qhA", "v41qhA")</f>
        <v>v41qhA</v>
      </c>
      <c r="E20">
        <v>1</v>
      </c>
      <c r="F20">
        <v>0.68296000000000001</v>
      </c>
      <c r="G20" s="1" t="s">
        <v>32</v>
      </c>
      <c r="K20" t="str">
        <f>HYPERLINK("https://lindat.mff.cuni.cz/services/SynSemClass55/SynSemClass55.html?veclass=vec00804", "vec00804 / centralizovat (v41kiA)")</f>
        <v>vec00804 / centralizovat (v41kiA)</v>
      </c>
      <c r="L20">
        <v>0.68296000000000001</v>
      </c>
      <c r="M20" t="s">
        <v>31</v>
      </c>
      <c r="N20" t="s">
        <v>36</v>
      </c>
      <c r="P20" t="str">
        <f>HYPERLINK("https://lindat.mff.cuni.cz/services/SynSemClass55/SynSemClass55.html?veclass=vec00302", "vec00302 / řídit (v41kegA)")</f>
        <v>vec00302 / řídit (v41kegA)</v>
      </c>
      <c r="Q20">
        <v>3.8179999999999999E-2</v>
      </c>
      <c r="R20" t="s">
        <v>29</v>
      </c>
      <c r="U20" t="str">
        <f>HYPERLINK("https://lindat.mff.cuni.cz/services/SynSemClass55/SynSemClass55.html?veclass=vec00735", "vec00735 / umístit (v41motA)")</f>
        <v>vec00735 / umístit (v41motA)</v>
      </c>
      <c r="V20">
        <v>3.2329999999999998E-2</v>
      </c>
      <c r="W20" t="s">
        <v>29</v>
      </c>
      <c r="Z20" t="str">
        <f>HYPERLINK("https://lindat.mff.cuni.cz/services/SynSemClass55/SynSemClass55.html?veclass=vec01864", "vec01864 / reorganizovat (v41jioA)")</f>
        <v>vec01864 / reorganizovat (v41jioA)</v>
      </c>
      <c r="AA20">
        <v>2.9350000000000001E-2</v>
      </c>
      <c r="AB20" t="s">
        <v>29</v>
      </c>
      <c r="AE20" t="str">
        <f>HYPERLINK("https://lindat.mff.cuni.cz/services/SynSemClass55/SynSemClass55.html?veclass=vec00710", "vec00710 / shromáždit se (v41kndA)")</f>
        <v>vec00710 / shromáždit se (v41kndA)</v>
      </c>
      <c r="AF20">
        <v>2.9340000000000001E-2</v>
      </c>
      <c r="AG20" t="s">
        <v>29</v>
      </c>
    </row>
    <row r="22" spans="1:33" x14ac:dyDescent="0.2">
      <c r="A22" t="str">
        <f>HYPERLINK("https://lindat.mff.cuni.cz/services/PDT-Vallex4.5/PDT-Vallex4.5.html?verb=demokratizovat", "demokratizovat")</f>
        <v>demokratizovat</v>
      </c>
      <c r="B22" t="str">
        <f>HYPERLINK("https://lindat.mff.cuni.cz/services/PDT-Vallex4.5/PDT-Vallex4.5.html?verb=demokratizovat#v41ryA", "v41ryA")</f>
        <v>v41ryA</v>
      </c>
      <c r="E22">
        <v>2</v>
      </c>
      <c r="F22">
        <v>0.10212</v>
      </c>
      <c r="G22" s="1">
        <v>0</v>
      </c>
      <c r="I22" s="1" t="s">
        <v>37</v>
      </c>
      <c r="K22" t="str">
        <f>HYPERLINK("https://lindat.mff.cuni.cz/services/SynSemClass55/SynSemClass55.html?veclass=vec01178", "vec01178 / znárodnit (v41rmvA)")</f>
        <v>vec01178 / znárodnit (v41rmvA)</v>
      </c>
      <c r="L22">
        <v>0.10212</v>
      </c>
      <c r="M22" t="s">
        <v>29</v>
      </c>
      <c r="P22" t="str">
        <f>HYPERLINK("https://lindat.mff.cuni.cz/services/SynSemClass55/SynSemClass55.html?veclass=vec00683", "vec00683 / privatizovat (v41gztA)")</f>
        <v>vec00683 / privatizovat (v41gztA)</v>
      </c>
      <c r="Q22">
        <v>9.5409999999999995E-2</v>
      </c>
      <c r="R22" t="s">
        <v>29</v>
      </c>
      <c r="U22" t="str">
        <f>HYPERLINK("https://lindat.mff.cuni.cz/services/SynSemClass55/SynSemClass55.html?veclass=vec00545", "vec00545 / uvolnit (v41ndvG)")</f>
        <v>vec00545 / uvolnit (v41ndvG)</v>
      </c>
      <c r="V22">
        <v>5.9630000000000002E-2</v>
      </c>
      <c r="W22" t="s">
        <v>29</v>
      </c>
      <c r="Z22" t="str">
        <f>HYPERLINK("https://lindat.mff.cuni.cz/services/SynSemClass55/SynSemClass55.html?veclass=vec01132", "vec01132 / transformovat se (v41mavA)")</f>
        <v>vec01132 / transformovat se (v41mavA)</v>
      </c>
      <c r="AA22">
        <v>5.3359999999999998E-2</v>
      </c>
      <c r="AB22" t="s">
        <v>29</v>
      </c>
      <c r="AE22" t="str">
        <f>HYPERLINK("https://lindat.mff.cuni.cz/services/SynSemClass55/SynSemClass55.html?veclass=vec01871", "vec01871 / rozhýbat (v41jrcA)")</f>
        <v>vec01871 / rozhýbat (v41jrcA)</v>
      </c>
      <c r="AF22">
        <v>1.8970000000000001E-2</v>
      </c>
      <c r="AG22" t="s">
        <v>29</v>
      </c>
    </row>
    <row r="24" spans="1:33" x14ac:dyDescent="0.2">
      <c r="A24" t="str">
        <f>HYPERLINK("https://lindat.mff.cuni.cz/services/PDT-Vallex4.5/PDT-Vallex4.5.html?verb=demoralizovat", "demoralizovat")</f>
        <v>demoralizovat</v>
      </c>
      <c r="B24" t="str">
        <f>HYPERLINK("https://lindat.mff.cuni.cz/services/PDT-Vallex4.5/PDT-Vallex4.5.html?verb=demoralizovat#v41siA", "v41siA")</f>
        <v>v41siA</v>
      </c>
      <c r="E24">
        <v>24</v>
      </c>
      <c r="F24">
        <v>0.13297999999999999</v>
      </c>
      <c r="G24" s="1" t="s">
        <v>38</v>
      </c>
      <c r="K24" t="str">
        <f>HYPERLINK("https://lindat.mff.cuni.cz/services/SynSemClass55/SynSemClass55.html?veclass=vec01385", "vec01385 / znejistět (v41rnyA)")</f>
        <v>vec01385 / znejistět (v41rnyA)</v>
      </c>
      <c r="L24">
        <v>0.13297999999999999</v>
      </c>
      <c r="M24" t="s">
        <v>29</v>
      </c>
      <c r="P24" t="str">
        <f>HYPERLINK("https://lindat.mff.cuni.cz/services/SynSemClass55/SynSemClass55.html?veclass=vec00608", "vec00608 / dráždit (v41akkB)")</f>
        <v>vec00608 / dráždit (v41akkB)</v>
      </c>
      <c r="Q24">
        <v>0.10287</v>
      </c>
      <c r="R24" t="s">
        <v>29</v>
      </c>
      <c r="U24" t="str">
        <f>HYPERLINK("https://lindat.mff.cuni.cz/services/SynSemClass55/SynSemClass55.html?veclass=vec00055", "vec00055 / oslabit (v41ezlC)")</f>
        <v>vec00055 / oslabit (v41ezlC)</v>
      </c>
      <c r="V24">
        <v>0.10183</v>
      </c>
      <c r="W24" t="s">
        <v>29</v>
      </c>
      <c r="Z24" t="str">
        <f>HYPERLINK("https://lindat.mff.cuni.cz/services/SynSemClass55/SynSemClass55.html?veclass=vec01192", "vec01192 / ztrapnit (v41rzaA)")</f>
        <v>vec01192 / ztrapnit (v41rzaA)</v>
      </c>
      <c r="AA24">
        <v>6.3630000000000006E-2</v>
      </c>
      <c r="AB24" t="s">
        <v>29</v>
      </c>
      <c r="AE24" t="str">
        <f>HYPERLINK("https://lindat.mff.cuni.cz/services/SynSemClass55/SynSemClass55.html?veclass=vec00656", "vec00656 / ochromit (v41ergA)")</f>
        <v>vec00656 / ochromit (v41ergA)</v>
      </c>
      <c r="AF24">
        <v>5.4870000000000002E-2</v>
      </c>
      <c r="AG24" t="s">
        <v>29</v>
      </c>
    </row>
    <row r="26" spans="1:33" x14ac:dyDescent="0.2">
      <c r="A26" t="str">
        <f>HYPERLINK("https://lindat.mff.cuni.cz/services/PDT-Vallex4.5/PDT-Vallex4.5.html?verb=doléčit", "doléčit")</f>
        <v>doléčit</v>
      </c>
      <c r="B26" t="str">
        <f>HYPERLINK("https://lindat.mff.cuni.cz/services/PDT-Vallex4.5/PDT-Vallex4.5.html?verb=doléčit#v41aapA", "v41aapA")</f>
        <v>v41aapA</v>
      </c>
      <c r="E26">
        <v>5</v>
      </c>
      <c r="F26">
        <v>0.18015999999999999</v>
      </c>
      <c r="G26" s="1">
        <v>0</v>
      </c>
      <c r="I26" s="1" t="s">
        <v>39</v>
      </c>
      <c r="K26" t="str">
        <f>HYPERLINK("https://lindat.mff.cuni.cz/services/SynSemClass55/SynSemClass55.html?veclass=vec00628", "vec00628 / léčit (v41byqB)")</f>
        <v>vec00628 / léčit (v41byqB)</v>
      </c>
      <c r="L26">
        <v>0.18015999999999999</v>
      </c>
      <c r="M26" t="s">
        <v>29</v>
      </c>
      <c r="P26" t="str">
        <f>HYPERLINK("https://lindat.mff.cuni.cz/services/SynSemClass55/SynSemClass55.html?veclass=vec01915", "vec01915 / uzdravit (v41nepA)")</f>
        <v>vec01915 / uzdravit (v41nepA)</v>
      </c>
      <c r="Q26">
        <v>0.16063</v>
      </c>
      <c r="R26" t="s">
        <v>29</v>
      </c>
      <c r="U26" t="str">
        <f>HYPERLINK("https://lindat.mff.cuni.cz/services/SynSemClass55/SynSemClass55.html?veclass=vec00664", "vec00664 / ošetřovat (v41fbwA)")</f>
        <v>vec00664 / ošetřovat (v41fbwA)</v>
      </c>
      <c r="V26">
        <v>0.10276</v>
      </c>
      <c r="W26" t="s">
        <v>29</v>
      </c>
      <c r="Z26" t="str">
        <f>HYPERLINK("https://lindat.mff.cuni.cz/services/SynSemClass55/SynSemClass55.html?veclass=vec00390", "vec00390 / zotavit se (v41rrtA)")</f>
        <v>vec00390 / zotavit se (v41rrtA)</v>
      </c>
      <c r="AA26">
        <v>5.3949999999999998E-2</v>
      </c>
      <c r="AB26" t="s">
        <v>29</v>
      </c>
      <c r="AE26" t="str">
        <f>HYPERLINK("https://lindat.mff.cuni.cz/services/SynSemClass55/SynSemClass55.html?veclass=vec00743", "vec00743 / vnutit (v41nokA)")</f>
        <v>vec00743 / vnutit (v41nokA)</v>
      </c>
      <c r="AF26">
        <v>3.7199999999999997E-2</v>
      </c>
      <c r="AG26" t="s">
        <v>29</v>
      </c>
    </row>
    <row r="28" spans="1:33" x14ac:dyDescent="0.2">
      <c r="A28" t="str">
        <f>HYPERLINK("https://lindat.mff.cuni.cz/services/PDT-Vallex4.5/PDT-Vallex4.5.html?verb=domýšlet se", "domýšlet se")</f>
        <v>domýšlet se</v>
      </c>
      <c r="B28" t="str">
        <f>HYPERLINK("https://lindat.mff.cuni.cz/services/PDT-Vallex4.5/PDT-Vallex4.5.html?verb=domýšlet se#v41abmA", "v41abmA")</f>
        <v>v41abmA</v>
      </c>
      <c r="E28">
        <v>237</v>
      </c>
      <c r="F28">
        <v>0.15529000000000001</v>
      </c>
      <c r="G28" s="1" t="s">
        <v>32</v>
      </c>
      <c r="K28" t="str">
        <f>HYPERLINK("https://lindat.mff.cuni.cz/services/SynSemClass55/SynSemClass55.html?veclass=vec00092", "vec00092 / předpokládat (v41hxpB)")</f>
        <v>vec00092 / předpokládat (v41hxpB)</v>
      </c>
      <c r="L28">
        <v>0.15529000000000001</v>
      </c>
      <c r="M28" t="s">
        <v>31</v>
      </c>
      <c r="P28" t="str">
        <f>HYPERLINK("https://lindat.mff.cuni.cz/services/SynSemClass55/SynSemClass55.html?veclass=vec00149", "vec00149 / uvážit (v41ncpA)")</f>
        <v>vec00149 / uvážit (v41ncpA)</v>
      </c>
      <c r="Q28">
        <v>0.13755999999999999</v>
      </c>
      <c r="R28" t="s">
        <v>29</v>
      </c>
      <c r="U28" t="str">
        <f>HYPERLINK("https://lindat.mff.cuni.cz/services/SynSemClass55/SynSemClass55.html?veclass=vec00032", "vec00032 / myslet si (v41ckkA)")</f>
        <v>vec00032 / myslet si (v41ckkA)</v>
      </c>
      <c r="V28">
        <v>0.10761</v>
      </c>
      <c r="W28" t="s">
        <v>29</v>
      </c>
      <c r="Z28" t="str">
        <f>HYPERLINK("https://lindat.mff.cuni.cz/services/SynSemClass55/SynSemClass55.html?veclass=vec00493", "vec00493 / představit si (v41hyjC)")</f>
        <v>vec00493 / představit si (v41hyjC)</v>
      </c>
      <c r="AA28">
        <v>7.9229999999999995E-2</v>
      </c>
      <c r="AB28" t="s">
        <v>29</v>
      </c>
      <c r="AE28" t="str">
        <f>HYPERLINK("https://lindat.mff.cuni.cz/services/SynSemClass55/SynSemClass55.html?veclass=vec00040", "vec00040 / navrhnout (v41dgxD)")</f>
        <v>vec00040 / navrhnout (v41dgxD)</v>
      </c>
      <c r="AF28">
        <v>7.3679999999999995E-2</v>
      </c>
      <c r="AG28" t="s">
        <v>29</v>
      </c>
    </row>
    <row r="30" spans="1:33" x14ac:dyDescent="0.2">
      <c r="A30" t="str">
        <f>HYPERLINK("https://lindat.mff.cuni.cz/services/PDT-Vallex4.5/PDT-Vallex4.5.html?verb=doobědvat", "doobědvat")</f>
        <v>doobědvat</v>
      </c>
      <c r="B30" t="str">
        <f>HYPERLINK("https://lindat.mff.cuni.cz/services/PDT-Vallex4.5/PDT-Vallex4.5.html?verb=doobědvat#v41abtA", "v41abtA")</f>
        <v>v41abtA</v>
      </c>
      <c r="E30">
        <v>6</v>
      </c>
      <c r="F30">
        <v>0.26012000000000002</v>
      </c>
      <c r="G30" s="1">
        <v>0</v>
      </c>
      <c r="I30" s="1" t="s">
        <v>40</v>
      </c>
      <c r="K30" t="str">
        <f>HYPERLINK("https://lindat.mff.cuni.cz/services/SynSemClass55/SynSemClass55.html?veclass=vec00828", "vec00828 / jíst (v41bifB)")</f>
        <v>vec00828 / jíst (v41bifB)</v>
      </c>
      <c r="L30">
        <v>0.26012000000000002</v>
      </c>
      <c r="M30" t="s">
        <v>29</v>
      </c>
      <c r="P30" t="str">
        <f>HYPERLINK("https://lindat.mff.cuni.cz/services/SynSemClass55/SynSemClass55.html?veclass=vec00950", "vec00950 / večeřet (v41nidA)")</f>
        <v>vec00950 / večeřet (v41nidA)</v>
      </c>
      <c r="Q30">
        <v>0.19721</v>
      </c>
      <c r="R30" t="s">
        <v>29</v>
      </c>
      <c r="U30" t="str">
        <f>HYPERLINK("https://lindat.mff.cuni.cz/services/SynSemClass55/SynSemClass55.html?veclass=vec01067", "vec01067 / pást se (v41fjmB)")</f>
        <v>vec01067 / pást se (v41fjmB)</v>
      </c>
      <c r="V30">
        <v>3.6900000000000002E-2</v>
      </c>
      <c r="W30" t="s">
        <v>29</v>
      </c>
      <c r="Z30" t="str">
        <f>HYPERLINK("https://lindat.mff.cuni.cz/services/SynSemClass55/SynSemClass55.html?veclass=vec00624", "vec00624 / krmit (v41bvfA)")</f>
        <v>vec00624 / krmit (v41bvfA)</v>
      </c>
      <c r="AA30">
        <v>3.4279999999999998E-2</v>
      </c>
      <c r="AB30" t="s">
        <v>29</v>
      </c>
      <c r="AE30" t="str">
        <f>HYPERLINK("https://lindat.mff.cuni.cz/services/SynSemClass55/SynSemClass55.html?veclass=vec00822", "vec00822 / hostit (v41axoA)")</f>
        <v>vec00822 / hostit (v41axoA)</v>
      </c>
      <c r="AF30">
        <v>3.2140000000000002E-2</v>
      </c>
      <c r="AG30" t="s">
        <v>29</v>
      </c>
    </row>
    <row r="32" spans="1:33" x14ac:dyDescent="0.2">
      <c r="A32" t="str">
        <f>HYPERLINK("https://lindat.mff.cuni.cz/services/PDT-Vallex4.5/PDT-Vallex4.5.html?verb=dopravit", "dopravit")</f>
        <v>dopravit</v>
      </c>
      <c r="B32" t="str">
        <f>HYPERLINK("https://lindat.mff.cuni.cz/services/PDT-Vallex4.5/PDT-Vallex4.5.html?verb=dopravit#v41adnA", "v41adnA")</f>
        <v>v41adnA</v>
      </c>
      <c r="E32">
        <v>858</v>
      </c>
      <c r="F32">
        <v>0.27506000000000003</v>
      </c>
      <c r="G32" s="1" t="s">
        <v>32</v>
      </c>
      <c r="K32" t="str">
        <f>HYPERLINK("https://lindat.mff.cuni.cz/services/SynSemClass55/SynSemClass55.html?veclass=vec00011", "vec00011 / dovézt (v41ailB)")</f>
        <v>vec00011 / dovézt (v41ailB)</v>
      </c>
      <c r="L32">
        <v>0.27506000000000003</v>
      </c>
      <c r="M32" t="s">
        <v>31</v>
      </c>
      <c r="P32" t="str">
        <f>HYPERLINK("https://lindat.mff.cuni.cz/services/SynSemClass55/SynSemClass55.html?veclass=vec01377", "vec01377 / zavést (v41qsnC)")</f>
        <v>vec01377 / zavést (v41qsnC)</v>
      </c>
      <c r="Q32">
        <v>0.23274</v>
      </c>
      <c r="R32" t="s">
        <v>29</v>
      </c>
      <c r="U32" t="str">
        <f>HYPERLINK("https://lindat.mff.cuni.cz/services/SynSemClass55/SynSemClass55.html?veclass=vec00209", "vec00209 / distribuovat (v41uwB)")</f>
        <v>vec00209 / distribuovat (v41uwB)</v>
      </c>
      <c r="V32">
        <v>0.18451000000000001</v>
      </c>
      <c r="W32" t="s">
        <v>29</v>
      </c>
      <c r="Z32" t="str">
        <f>HYPERLINK("https://lindat.mff.cuni.cz/services/SynSemClass55/SynSemClass55.html?veclass=vec00283", "vec00283 / převést (v41imqC)")</f>
        <v>vec00283 / převést (v41imqC)</v>
      </c>
      <c r="AA32">
        <v>0.12573999999999999</v>
      </c>
      <c r="AB32" t="s">
        <v>29</v>
      </c>
      <c r="AE32" t="str">
        <f>HYPERLINK("https://lindat.mff.cuni.cz/services/SynSemClass55/SynSemClass55.html?veclass=vec00218", "vec00218 / dostat se (v41afyI)")</f>
        <v>vec00218 / dostat se (v41afyI)</v>
      </c>
      <c r="AF32">
        <v>3.0360000000000002E-2</v>
      </c>
      <c r="AG32" t="s">
        <v>29</v>
      </c>
    </row>
    <row r="34" spans="1:33" x14ac:dyDescent="0.2">
      <c r="A34" t="str">
        <f>HYPERLINK("https://lindat.mff.cuni.cz/services/PDT-Vallex4.5/PDT-Vallex4.5.html?verb=držet si", "držet si")</f>
        <v>držet si</v>
      </c>
      <c r="B34" t="str">
        <f>HYPERLINK("https://lindat.mff.cuni.cz/services/PDT-Vallex4.5/PDT-Vallex4.5.html?verb=držet si#v41aleA", "v41aleA")</f>
        <v>v41aleA</v>
      </c>
      <c r="E34">
        <v>5000</v>
      </c>
      <c r="F34">
        <v>0.46572000000000002</v>
      </c>
      <c r="G34" s="1" t="s">
        <v>41</v>
      </c>
      <c r="H34" s="1" t="s">
        <v>61</v>
      </c>
      <c r="I34" s="1" t="s">
        <v>42</v>
      </c>
      <c r="K34" t="str">
        <f>HYPERLINK("https://lindat.mff.cuni.cz/services/SynSemClass55/SynSemClass55.html?veclass=vec01396", "vec01396 / držet (v41alcE)")</f>
        <v>vec01396 / držet (v41alcE)</v>
      </c>
      <c r="L34">
        <v>0.46572000000000002</v>
      </c>
      <c r="M34" t="s">
        <v>29</v>
      </c>
      <c r="P34" t="str">
        <f>HYPERLINK("https://lindat.mff.cuni.cz/services/SynSemClass55/SynSemClass55.html?veclass=vec00014", "vec00014 / držet (v41alcD)")</f>
        <v>vec00014 / držet (v41alcD)</v>
      </c>
      <c r="Q34">
        <v>0.11359</v>
      </c>
      <c r="R34" t="s">
        <v>29</v>
      </c>
      <c r="U34" t="str">
        <f>HYPERLINK("https://lindat.mff.cuni.cz/services/SynSemClass55/SynSemClass55.html?veclass=vec00199", "vec00199 / zůstat (v41sadA)")</f>
        <v>vec00199 / zůstat (v41sadA)</v>
      </c>
      <c r="V34">
        <v>6.0019999999999997E-2</v>
      </c>
      <c r="W34" t="s">
        <v>29</v>
      </c>
      <c r="Z34" t="str">
        <f>HYPERLINK("https://lindat.mff.cuni.cz/services/SynSemClass55/SynSemClass55.html?veclass=vec00394", "vec00394 / zůstat (v41sadF)")</f>
        <v>vec00394 / zůstat (v41sadF)</v>
      </c>
      <c r="AA34">
        <v>5.5079999999999997E-2</v>
      </c>
      <c r="AB34" t="s">
        <v>29</v>
      </c>
      <c r="AE34" t="str">
        <f>HYPERLINK("https://lindat.mff.cuni.cz/services/SynSemClass55/SynSemClass55.html?veclass=vec00813", "vec00813 / držet (v41alcC)")</f>
        <v>vec00813 / držet (v41alcC)</v>
      </c>
      <c r="AF34">
        <v>4.5199999999999997E-2</v>
      </c>
      <c r="AG34" t="s">
        <v>29</v>
      </c>
    </row>
    <row r="36" spans="1:33" x14ac:dyDescent="0.2">
      <c r="A36" t="str">
        <f>HYPERLINK("https://lindat.mff.cuni.cz/services/PDT-Vallex4.5/PDT-Vallex4.5.html?verb=eskalovat", "eskalovat")</f>
        <v>eskalovat</v>
      </c>
      <c r="B36" t="str">
        <f>HYPERLINK("https://lindat.mff.cuni.cz/services/PDT-Vallex4.5/PDT-Vallex4.5.html?verb=eskalovat#v41aniA", "v41aniA")</f>
        <v>v41aniA</v>
      </c>
      <c r="E36">
        <v>2</v>
      </c>
      <c r="F36">
        <v>7.4709999999999999E-2</v>
      </c>
      <c r="G36" s="1" t="s">
        <v>43</v>
      </c>
      <c r="K36" t="str">
        <f>HYPERLINK("https://lindat.mff.cuni.cz/services/SynSemClass55/SynSemClass55.html?veclass=vec01198", "vec01198 / zvrhnout se (v41scsA)")</f>
        <v>vec01198 / zvrhnout se (v41scsA)</v>
      </c>
      <c r="L36">
        <v>7.4709999999999999E-2</v>
      </c>
      <c r="M36" t="s">
        <v>29</v>
      </c>
      <c r="P36" t="str">
        <f>HYPERLINK("https://lindat.mff.cuni.cz/services/SynSemClass55/SynSemClass55.html?veclass=vec01498", "vec01498 / napnout se (v41cxgA)")</f>
        <v>vec01498 / napnout se (v41cxgA)</v>
      </c>
      <c r="Q36">
        <v>5.8110000000000002E-2</v>
      </c>
      <c r="R36" t="s">
        <v>29</v>
      </c>
      <c r="U36" t="str">
        <f>HYPERLINK("https://lindat.mff.cuni.cz/services/SynSemClass55/SynSemClass55.html?veclass=vec00977", "vec00977 / vyvrcholit (v41phtA)")</f>
        <v>vec00977 / vyvrcholit (v41phtA)</v>
      </c>
      <c r="V36">
        <v>5.1869999999999999E-2</v>
      </c>
      <c r="W36" t="s">
        <v>29</v>
      </c>
      <c r="Z36" t="str">
        <f>HYPERLINK("https://lindat.mff.cuni.cz/services/SynSemClass55/SynSemClass55.html?veclass=vec01518", "vec01518 / rozhostit se (v41jqvA)")</f>
        <v>vec01518 / rozhostit se (v41jqvA)</v>
      </c>
      <c r="AA36">
        <v>3.5569999999999997E-2</v>
      </c>
      <c r="AB36" t="s">
        <v>29</v>
      </c>
      <c r="AE36" t="str">
        <f>HYPERLINK("https://lindat.mff.cuni.cz/services/SynSemClass55/SynSemClass55.html?veclass=vec00748", "vec00748 / vřít (v41nreB)")</f>
        <v>vec00748 / vřít (v41nreB)</v>
      </c>
      <c r="AF36">
        <v>2.5950000000000001E-2</v>
      </c>
      <c r="AG36" t="s">
        <v>29</v>
      </c>
    </row>
    <row r="38" spans="1:33" x14ac:dyDescent="0.2">
      <c r="A38" t="str">
        <f>HYPERLINK("https://lindat.mff.cuni.cz/services/PDT-Vallex4.5/PDT-Vallex4.5.html?verb=evidovat", "evidovat")</f>
        <v>evidovat</v>
      </c>
      <c r="B38" t="str">
        <f>HYPERLINK("https://lindat.mff.cuni.cz/services/PDT-Vallex4.5/PDT-Vallex4.5.html?verb=evidovat#v41anuA", "v41anuA")</f>
        <v>v41anuA</v>
      </c>
      <c r="E38">
        <v>33</v>
      </c>
      <c r="F38">
        <v>0.81923999999999997</v>
      </c>
      <c r="G38" s="1" t="s">
        <v>32</v>
      </c>
      <c r="K38" t="str">
        <f>HYPERLINK("https://lindat.mff.cuni.cz/services/SynSemClass55/SynSemClass55.html?veclass=vec00507", "vec00507 / registrovat (v41jheB)")</f>
        <v>vec00507 / registrovat (v41jheB)</v>
      </c>
      <c r="L38">
        <v>0.81923999999999997</v>
      </c>
      <c r="M38" t="s">
        <v>31</v>
      </c>
      <c r="P38" t="str">
        <f>HYPERLINK("https://lindat.mff.cuni.cz/services/SynSemClass55/SynSemClass55.html?veclass=vec01345", "vec01345 / vepsat (v41njiA)")</f>
        <v>vec01345 / vepsat (v41njiA)</v>
      </c>
      <c r="Q38">
        <v>2.019E-2</v>
      </c>
      <c r="R38" t="s">
        <v>29</v>
      </c>
      <c r="U38" t="str">
        <f>HYPERLINK("https://lindat.mff.cuni.cz/services/SynSemClass55/SynSemClass55.html?veclass=vec00778", "vec00778 / zaúčtovat (v41qrdA)")</f>
        <v>vec00778 / zaúčtovat (v41qrdA)</v>
      </c>
      <c r="V38">
        <v>1.427E-2</v>
      </c>
      <c r="W38" t="s">
        <v>29</v>
      </c>
      <c r="Z38" t="str">
        <f>HYPERLINK("https://lindat.mff.cuni.cz/services/SynSemClass55/SynSemClass55.html?veclass=vec00166", "vec00166 / vypočítávat (v41opsB)")</f>
        <v>vec00166 / vypočítávat (v41opsB)</v>
      </c>
      <c r="AA38">
        <v>1.4069999999999999E-2</v>
      </c>
      <c r="AB38" t="s">
        <v>29</v>
      </c>
      <c r="AE38" t="str">
        <f>HYPERLINK("https://lindat.mff.cuni.cz/services/SynSemClass55/SynSemClass55.html?veclass=vec00163", "vec00163 / vykázat (v41oeoA)")</f>
        <v>vec00163 / vykázat (v41oeoA)</v>
      </c>
      <c r="AF38">
        <v>1.389E-2</v>
      </c>
      <c r="AG38" t="s">
        <v>29</v>
      </c>
    </row>
    <row r="40" spans="1:33" x14ac:dyDescent="0.2">
      <c r="A40" t="str">
        <f>HYPERLINK("https://lindat.mff.cuni.cz/services/PDT-Vallex4.5/PDT-Vallex4.5.html?verb=extrahovat", "extrahovat")</f>
        <v>extrahovat</v>
      </c>
      <c r="B40" t="str">
        <f>HYPERLINK("https://lindat.mff.cuni.cz/services/PDT-Vallex4.5/PDT-Vallex4.5.html?verb=extrahovat#v41aowB", "v41aowB")</f>
        <v>v41aowB</v>
      </c>
      <c r="E40">
        <v>13</v>
      </c>
      <c r="F40">
        <v>0.49624000000000001</v>
      </c>
      <c r="G40" s="1" t="s">
        <v>44</v>
      </c>
      <c r="K40" t="str">
        <f>HYPERLINK("https://lindat.mff.cuni.cz/services/SynSemClass55/SynSemClass55.html?veclass=vec00816", "vec00816 / extrahovat (v41aowA)")</f>
        <v>vec00816 / extrahovat (v41aowA)</v>
      </c>
      <c r="L40">
        <v>0.49624000000000001</v>
      </c>
      <c r="M40" t="s">
        <v>29</v>
      </c>
      <c r="P40" t="str">
        <f>HYPERLINK("https://lindat.mff.cuni.cz/services/SynSemClass55/SynSemClass55.html?veclass=vec00648", "vec00648 / odebrat (v41dygC)")</f>
        <v>vec00648 / odebrat (v41dygC)</v>
      </c>
      <c r="Q40">
        <v>0.22406000000000001</v>
      </c>
      <c r="R40" t="s">
        <v>29</v>
      </c>
      <c r="U40" t="str">
        <f>HYPERLINK("https://lindat.mff.cuni.cz/services/SynSemClass55/SynSemClass55.html?veclass=vec01538", "vec01538 / vyloupnout (v41ojcA)")</f>
        <v>vec01538 / vyloupnout (v41ojcA)</v>
      </c>
      <c r="V40">
        <v>2.8340000000000001E-2</v>
      </c>
      <c r="W40" t="s">
        <v>29</v>
      </c>
      <c r="Z40" t="str">
        <f>HYPERLINK("https://lindat.mff.cuni.cz/services/SynSemClass55/SynSemClass55.html?veclass=vec00539", "vec00539 / upevnit (v41mquD)")</f>
        <v>vec00539 / upevnit (v41mquD)</v>
      </c>
      <c r="AA40">
        <v>2.6579999999999999E-2</v>
      </c>
      <c r="AB40" t="s">
        <v>29</v>
      </c>
      <c r="AE40" t="str">
        <f>HYPERLINK("https://lindat.mff.cuni.cz/services/SynSemClass55/SynSemClass55.html?veclass=vec00024", "vec00024 / chránit (v41bbwA)")</f>
        <v>vec00024 / chránit (v41bbwA)</v>
      </c>
      <c r="AF40">
        <v>1.8270000000000002E-2</v>
      </c>
      <c r="AG40" t="s">
        <v>29</v>
      </c>
    </row>
    <row r="42" spans="1:33" x14ac:dyDescent="0.2">
      <c r="A42" t="str">
        <f>HYPERLINK("https://lindat.mff.cuni.cz/services/PDT-Vallex4.5/PDT-Vallex4.5.html?verb=flirtovat", "flirtovat")</f>
        <v>flirtovat</v>
      </c>
      <c r="B42" t="str">
        <f>HYPERLINK("https://lindat.mff.cuni.cz/services/PDT-Vallex4.5/PDT-Vallex4.5.html?verb=flirtovat#v41aqwA", "v41aqwA")</f>
        <v>v41aqwA</v>
      </c>
      <c r="E42">
        <v>135</v>
      </c>
      <c r="F42">
        <v>0.76710999999999996</v>
      </c>
      <c r="G42" s="1" t="s">
        <v>32</v>
      </c>
      <c r="K42" t="str">
        <f>HYPERLINK("https://lindat.mff.cuni.cz/services/SynSemClass55/SynSemClass55.html?veclass=vec00817", "vec00817 / flirtovat (v41aqwB)")</f>
        <v>vec00817 / flirtovat (v41aqwB)</v>
      </c>
      <c r="L42">
        <v>0.76710999999999996</v>
      </c>
      <c r="M42" t="s">
        <v>31</v>
      </c>
      <c r="P42" t="str">
        <f>HYPERLINK("https://lindat.mff.cuni.cz/services/SynSemClass55/SynSemClass55.html?veclass=vec01653", "vec01653 / pomilovat se (v41gegA)")</f>
        <v>vec01653 / pomilovat se (v41gegA)</v>
      </c>
      <c r="Q42">
        <v>6.633E-2</v>
      </c>
      <c r="R42" t="s">
        <v>29</v>
      </c>
      <c r="U42" t="str">
        <f>HYPERLINK("https://lindat.mff.cuni.cz/services/SynSemClass55/SynSemClass55.html?veclass=vec01562", "vec01562 / líbat (v41caiB)")</f>
        <v>vec01562 / líbat (v41caiB)</v>
      </c>
      <c r="V42">
        <v>2.1010000000000001E-2</v>
      </c>
      <c r="W42" t="s">
        <v>29</v>
      </c>
      <c r="Z42" t="str">
        <f>HYPERLINK("https://lindat.mff.cuni.cz/services/SynSemClass55/SynSemClass55.html?veclass=vec00030", "vec00030 / měnit (v41cflA)")</f>
        <v>vec00030 / měnit (v41cflA)</v>
      </c>
      <c r="AA42">
        <v>2.0119999999999999E-2</v>
      </c>
      <c r="AB42" t="s">
        <v>29</v>
      </c>
      <c r="AE42" t="str">
        <f>HYPERLINK("https://lindat.mff.cuni.cz/services/SynSemClass55/SynSemClass55.html?veclass=vec00623", "vec00623 / kombinovat (v41bntA)")</f>
        <v>vec00623 / kombinovat (v41bntA)</v>
      </c>
      <c r="AF42">
        <v>1.7299999999999999E-2</v>
      </c>
      <c r="AG42" t="s">
        <v>29</v>
      </c>
    </row>
    <row r="44" spans="1:33" x14ac:dyDescent="0.2">
      <c r="A44" t="str">
        <f>HYPERLINK("https://lindat.mff.cuni.cz/services/PDT-Vallex4.5/PDT-Vallex4.5.html?verb=habilitovat", "habilitovat")</f>
        <v>habilitovat</v>
      </c>
      <c r="B44" t="str">
        <f>HYPERLINK("https://lindat.mff.cuni.cz/services/PDT-Vallex4.5/PDT-Vallex4.5.html?verb=habilitovat#v41athA", "v41athA")</f>
        <v>v41athA</v>
      </c>
      <c r="E44">
        <v>5</v>
      </c>
      <c r="F44">
        <v>4.9860000000000002E-2</v>
      </c>
      <c r="G44" s="1">
        <v>0</v>
      </c>
      <c r="I44" s="1" t="s">
        <v>45</v>
      </c>
      <c r="K44" t="str">
        <f>HYPERLINK("https://lindat.mff.cuni.cz/services/SynSemClass55/SynSemClass55.html?veclass=vec01491", "vec01491 / fasovat (v41appA)")</f>
        <v>vec01491 / fasovat (v41appA)</v>
      </c>
      <c r="L44">
        <v>4.9860000000000002E-2</v>
      </c>
      <c r="M44" t="s">
        <v>29</v>
      </c>
      <c r="P44" t="str">
        <f>HYPERLINK("https://lindat.mff.cuni.cz/services/SynSemClass55/SynSemClass55.html?veclass=vec00316", "vec00316 / splnit (v41lcdA)")</f>
        <v>vec00316 / splnit (v41lcdA)</v>
      </c>
      <c r="Q44">
        <v>4.8550000000000003E-2</v>
      </c>
      <c r="R44" t="s">
        <v>29</v>
      </c>
      <c r="U44" t="str">
        <f>HYPERLINK("https://lindat.mff.cuni.cz/services/SynSemClass55/SynSemClass55.html?veclass=vec00069", "vec00069 / podpořit (v41fuiB)")</f>
        <v>vec00069 / podpořit (v41fuiB)</v>
      </c>
      <c r="V44">
        <v>4.2520000000000002E-2</v>
      </c>
      <c r="W44" t="s">
        <v>29</v>
      </c>
      <c r="Z44" t="str">
        <f>HYPERLINK("https://lindat.mff.cuni.cz/services/SynSemClass55/SynSemClass55.html?veclass=vec01221", "vec01221 / kvalifikovat (v41bxdA)")</f>
        <v>vec01221 / kvalifikovat (v41bxdA)</v>
      </c>
      <c r="AA44">
        <v>4.1140000000000003E-2</v>
      </c>
      <c r="AB44" t="s">
        <v>29</v>
      </c>
      <c r="AE44" t="str">
        <f>HYPERLINK("https://lindat.mff.cuni.cz/services/SynSemClass55/SynSemClass55.html?veclass=vec00373", "vec00373 / zastávat (v41qlzB)")</f>
        <v>vec00373 / zastávat (v41qlzB)</v>
      </c>
      <c r="AF44">
        <v>3.5409999999999997E-2</v>
      </c>
      <c r="AG44" t="s">
        <v>29</v>
      </c>
    </row>
    <row r="46" spans="1:33" x14ac:dyDescent="0.2">
      <c r="A46" t="str">
        <f>HYPERLINK("https://lindat.mff.cuni.cz/services/PDT-Vallex4.5/PDT-Vallex4.5.html?verb=habilitovat se", "habilitovat se")</f>
        <v>habilitovat se</v>
      </c>
      <c r="B46" t="str">
        <f>HYPERLINK("https://lindat.mff.cuni.cz/services/PDT-Vallex4.5/PDT-Vallex4.5.html?verb=habilitovat se#v41atiA", "v41atiA")</f>
        <v>v41atiA</v>
      </c>
      <c r="E46">
        <v>5</v>
      </c>
      <c r="F46">
        <v>4.9860000000000002E-2</v>
      </c>
      <c r="G46" s="1">
        <v>0</v>
      </c>
      <c r="I46" s="1" t="s">
        <v>45</v>
      </c>
      <c r="K46" t="str">
        <f>HYPERLINK("https://lindat.mff.cuni.cz/services/SynSemClass55/SynSemClass55.html?veclass=vec01491", "vec01491 / fasovat (v41appA)")</f>
        <v>vec01491 / fasovat (v41appA)</v>
      </c>
      <c r="L46">
        <v>4.9860000000000002E-2</v>
      </c>
      <c r="M46" t="s">
        <v>29</v>
      </c>
      <c r="P46" t="str">
        <f>HYPERLINK("https://lindat.mff.cuni.cz/services/SynSemClass55/SynSemClass55.html?veclass=vec00316", "vec00316 / splnit (v41lcdA)")</f>
        <v>vec00316 / splnit (v41lcdA)</v>
      </c>
      <c r="Q46">
        <v>4.8550000000000003E-2</v>
      </c>
      <c r="R46" t="s">
        <v>29</v>
      </c>
      <c r="U46" t="str">
        <f>HYPERLINK("https://lindat.mff.cuni.cz/services/SynSemClass55/SynSemClass55.html?veclass=vec00069", "vec00069 / podpořit (v41fuiB)")</f>
        <v>vec00069 / podpořit (v41fuiB)</v>
      </c>
      <c r="V46">
        <v>4.2520000000000002E-2</v>
      </c>
      <c r="W46" t="s">
        <v>29</v>
      </c>
      <c r="Z46" t="str">
        <f>HYPERLINK("https://lindat.mff.cuni.cz/services/SynSemClass55/SynSemClass55.html?veclass=vec01221", "vec01221 / kvalifikovat (v41bxdA)")</f>
        <v>vec01221 / kvalifikovat (v41bxdA)</v>
      </c>
      <c r="AA46">
        <v>4.1140000000000003E-2</v>
      </c>
      <c r="AB46" t="s">
        <v>29</v>
      </c>
      <c r="AE46" t="str">
        <f>HYPERLINK("https://lindat.mff.cuni.cz/services/SynSemClass55/SynSemClass55.html?veclass=vec00373", "vec00373 / zastávat (v41qlzB)")</f>
        <v>vec00373 / zastávat (v41qlzB)</v>
      </c>
      <c r="AF46">
        <v>3.5409999999999997E-2</v>
      </c>
      <c r="AG46" t="s">
        <v>29</v>
      </c>
    </row>
    <row r="48" spans="1:33" x14ac:dyDescent="0.2">
      <c r="A48" t="str">
        <f>HYPERLINK("https://lindat.mff.cuni.cz/services/PDT-Vallex4.5/PDT-Vallex4.5.html?verb=horovat", "horovat")</f>
        <v>horovat</v>
      </c>
      <c r="B48" t="str">
        <f>HYPERLINK("https://lindat.mff.cuni.cz/services/PDT-Vallex4.5/PDT-Vallex4.5.html?verb=horovat#v41axhA", "v41axhA")</f>
        <v>v41axhA</v>
      </c>
      <c r="E48">
        <v>53</v>
      </c>
      <c r="F48">
        <v>0.10377</v>
      </c>
      <c r="G48" s="1" t="s">
        <v>46</v>
      </c>
      <c r="K48" t="str">
        <f>HYPERLINK("https://lindat.mff.cuni.cz/services/SynSemClass55/SynSemClass55.html?veclass=vec01310", "vec01310 / rozplývat se (v41jvrA)")</f>
        <v>vec01310 / rozplývat se (v41jvrA)</v>
      </c>
      <c r="L48">
        <v>0.10377</v>
      </c>
      <c r="M48" t="s">
        <v>29</v>
      </c>
      <c r="P48" t="str">
        <f>HYPERLINK("https://lindat.mff.cuni.cz/services/SynSemClass55/SynSemClass55.html?veclass=vec01200", "vec01200 / žebrat (v41seaA)")</f>
        <v>vec01200 / žebrat (v41seaA)</v>
      </c>
      <c r="Q48">
        <v>4.5350000000000001E-2</v>
      </c>
      <c r="R48" t="s">
        <v>29</v>
      </c>
      <c r="U48" t="str">
        <f>HYPERLINK("https://lindat.mff.cuni.cz/services/SynSemClass55/SynSemClass55.html?veclass=vec01367", "vec01367 / vznášet se (v41pmmB)")</f>
        <v>vec01367 / vznášet se (v41pmmB)</v>
      </c>
      <c r="V48">
        <v>4.1959999999999997E-2</v>
      </c>
      <c r="W48" t="s">
        <v>29</v>
      </c>
      <c r="Z48" t="str">
        <f>HYPERLINK("https://lindat.mff.cuni.cz/services/SynSemClass55/SynSemClass55.html?veclass=vec01547", "vec01547 / brát se (v41htB)")</f>
        <v>vec01547 / brát se (v41htB)</v>
      </c>
      <c r="AA48">
        <v>3.4790000000000001E-2</v>
      </c>
      <c r="AB48" t="s">
        <v>29</v>
      </c>
      <c r="AE48" t="str">
        <f>HYPERLINK("https://lindat.mff.cuni.cz/services/SynSemClass55/SynSemClass55.html?veclass=vec01489", "vec01489 / bručet (v41inA)")</f>
        <v>vec01489 / bručet (v41inA)</v>
      </c>
      <c r="AF48">
        <v>3.347E-2</v>
      </c>
      <c r="AG48" t="s">
        <v>29</v>
      </c>
    </row>
    <row r="50" spans="1:33" x14ac:dyDescent="0.2">
      <c r="A50" t="str">
        <f>HYPERLINK("https://lindat.mff.cuni.cz/services/PDT-Vallex4.5/PDT-Vallex4.5.html?verb=hradit", "hradit")</f>
        <v>hradit</v>
      </c>
      <c r="B50" t="str">
        <f>HYPERLINK("https://lindat.mff.cuni.cz/services/PDT-Vallex4.5/PDT-Vallex4.5.html?verb=hradit#v41ayjB", "v41ayjB")</f>
        <v>v41ayjB</v>
      </c>
      <c r="E50">
        <v>64</v>
      </c>
      <c r="F50">
        <v>0.89975000000000005</v>
      </c>
      <c r="G50" s="1" t="s">
        <v>32</v>
      </c>
      <c r="K50" t="str">
        <f>HYPERLINK("https://lindat.mff.cuni.cz/services/SynSemClass55/SynSemClass55.html?veclass=vec00125", "vec00125 / splatit (v41lbvA)")</f>
        <v>vec00125 / splatit (v41lbvA)</v>
      </c>
      <c r="L50">
        <v>0.89975000000000005</v>
      </c>
      <c r="M50" t="s">
        <v>31</v>
      </c>
      <c r="P50" t="str">
        <f>HYPERLINK("https://lindat.mff.cuni.cz/services/SynSemClass55/SynSemClass55.html?veclass=vec01356", "vec01356 / vysázet (v41ovmA)")</f>
        <v>vec01356 / vysázet (v41ovmA)</v>
      </c>
      <c r="Q50">
        <v>1.6930000000000001E-2</v>
      </c>
      <c r="R50" t="s">
        <v>29</v>
      </c>
      <c r="U50" t="str">
        <f>HYPERLINK("https://lindat.mff.cuni.cz/services/SynSemClass55/SynSemClass55.html?veclass=vec01800", "vec01800 / odskákat (v41ejcA)")</f>
        <v>vec01800 / odskákat (v41ejcA)</v>
      </c>
      <c r="V50">
        <v>1.026E-2</v>
      </c>
      <c r="W50" t="s">
        <v>29</v>
      </c>
      <c r="Z50" t="str">
        <f>HYPERLINK("https://lindat.mff.cuni.cz/services/SynSemClass55/SynSemClass55.html?veclass=vec01159", "vec01159 / vyplatit (v41oonD)")</f>
        <v>vec01159 / vyplatit (v41oonD)</v>
      </c>
      <c r="AA50">
        <v>9.1599999999999997E-3</v>
      </c>
      <c r="AB50" t="s">
        <v>29</v>
      </c>
      <c r="AE50" t="str">
        <f>HYPERLINK("https://lindat.mff.cuni.cz/services/SynSemClass55/SynSemClass55.html?veclass=vec01840", "vec01840 / proplácet (v41hkcA)")</f>
        <v>vec01840 / proplácet (v41hkcA)</v>
      </c>
      <c r="AF50">
        <v>9.0699999999999999E-3</v>
      </c>
      <c r="AG50" t="s">
        <v>29</v>
      </c>
    </row>
    <row r="52" spans="1:33" x14ac:dyDescent="0.2">
      <c r="A52" t="str">
        <f>HYPERLINK("https://lindat.mff.cuni.cz/services/PDT-Vallex4.5/PDT-Vallex4.5.html?verb=hrknout", "hrknout")</f>
        <v>hrknout</v>
      </c>
      <c r="B52" t="str">
        <f>HYPERLINK("https://lindat.mff.cuni.cz/services/PDT-Vallex4.5/PDT-Vallex4.5.html?verb=hrknout#v41ayyA", "v41ayyA")</f>
        <v>v41ayyA</v>
      </c>
      <c r="E52">
        <v>97</v>
      </c>
      <c r="F52">
        <v>8.412E-2</v>
      </c>
      <c r="G52" s="1">
        <v>0</v>
      </c>
      <c r="I52" s="1" t="s">
        <v>47</v>
      </c>
      <c r="K52" t="str">
        <f>HYPERLINK("https://lindat.mff.cuni.cz/services/SynSemClass55/SynSemClass55.html?veclass=vec01348", "vec01348 / vrčet (v41nqjC)")</f>
        <v>vec01348 / vrčet (v41nqjC)</v>
      </c>
      <c r="L52">
        <v>8.412E-2</v>
      </c>
      <c r="M52" t="s">
        <v>29</v>
      </c>
      <c r="P52" t="str">
        <f>HYPERLINK("https://lindat.mff.cuni.cz/services/SynSemClass55/SynSemClass55.html?veclass=vec01110", "vec01110 / sípat (v41koqA)")</f>
        <v>vec01110 / sípat (v41koqA)</v>
      </c>
      <c r="Q52">
        <v>5.5579999999999997E-2</v>
      </c>
      <c r="R52" t="s">
        <v>29</v>
      </c>
      <c r="U52" t="str">
        <f>HYPERLINK("https://lindat.mff.cuni.cz/services/SynSemClass55/SynSemClass55.html?veclass=vec00503", "vec00503 / přiznat se (v41jcjA)")</f>
        <v>vec00503 / přiznat se (v41jcjA)</v>
      </c>
      <c r="V52">
        <v>3.2559999999999999E-2</v>
      </c>
      <c r="W52" t="s">
        <v>29</v>
      </c>
      <c r="Z52" t="str">
        <f>HYPERLINK("https://lindat.mff.cuni.cz/services/SynSemClass55/SynSemClass55.html?veclass=vec01371", "vec01371 / zalapat (v41pzfA)")</f>
        <v>vec01371 / zalapat (v41pzfA)</v>
      </c>
      <c r="AA52">
        <v>3.2250000000000001E-2</v>
      </c>
      <c r="AB52" t="s">
        <v>29</v>
      </c>
      <c r="AE52" t="str">
        <f>HYPERLINK("https://lindat.mff.cuni.cz/services/SynSemClass55/SynSemClass55.html?veclass=vec00145", "vec00145 / ušklíbnout se (v41myzA)")</f>
        <v>vec00145 / ušklíbnout se (v41myzA)</v>
      </c>
      <c r="AF52">
        <v>3.065E-2</v>
      </c>
      <c r="AG52" t="s">
        <v>29</v>
      </c>
    </row>
    <row r="53" spans="1:33" x14ac:dyDescent="0.2">
      <c r="A53" t="str">
        <f>HYPERLINK("https://lindat.mff.cuni.cz/services/PDT-Vallex4.5/PDT-Vallex4.5.html?verb=hrknout", "hrknout")</f>
        <v>hrknout</v>
      </c>
      <c r="B53" t="str">
        <f>HYPERLINK("https://lindat.mff.cuni.cz/services/PDT-Vallex4.5/PDT-Vallex4.5.html?verb=hrknout#v41ayyB", "v41ayyB")</f>
        <v>v41ayyB</v>
      </c>
      <c r="E53">
        <v>97</v>
      </c>
      <c r="F53">
        <v>8.412E-2</v>
      </c>
      <c r="G53" s="1">
        <v>0</v>
      </c>
      <c r="I53" s="1" t="s">
        <v>47</v>
      </c>
      <c r="K53" t="str">
        <f>HYPERLINK("https://lindat.mff.cuni.cz/services/SynSemClass55/SynSemClass55.html?veclass=vec01348", "vec01348 / vrčet (v41nqjC)")</f>
        <v>vec01348 / vrčet (v41nqjC)</v>
      </c>
      <c r="L53">
        <v>8.412E-2</v>
      </c>
      <c r="M53" t="s">
        <v>29</v>
      </c>
      <c r="P53" t="str">
        <f>HYPERLINK("https://lindat.mff.cuni.cz/services/SynSemClass55/SynSemClass55.html?veclass=vec01110", "vec01110 / sípat (v41koqA)")</f>
        <v>vec01110 / sípat (v41koqA)</v>
      </c>
      <c r="Q53">
        <v>5.5579999999999997E-2</v>
      </c>
      <c r="R53" t="s">
        <v>29</v>
      </c>
      <c r="U53" t="str">
        <f>HYPERLINK("https://lindat.mff.cuni.cz/services/SynSemClass55/SynSemClass55.html?veclass=vec00503", "vec00503 / přiznat se (v41jcjA)")</f>
        <v>vec00503 / přiznat se (v41jcjA)</v>
      </c>
      <c r="V53">
        <v>3.2559999999999999E-2</v>
      </c>
      <c r="W53" t="s">
        <v>29</v>
      </c>
      <c r="Z53" t="str">
        <f>HYPERLINK("https://lindat.mff.cuni.cz/services/SynSemClass55/SynSemClass55.html?veclass=vec01371", "vec01371 / zalapat (v41pzfA)")</f>
        <v>vec01371 / zalapat (v41pzfA)</v>
      </c>
      <c r="AA53">
        <v>3.2250000000000001E-2</v>
      </c>
      <c r="AB53" t="s">
        <v>29</v>
      </c>
      <c r="AE53" t="str">
        <f>HYPERLINK("https://lindat.mff.cuni.cz/services/SynSemClass55/SynSemClass55.html?veclass=vec00145", "vec00145 / ušklíbnout se (v41myzA)")</f>
        <v>vec00145 / ušklíbnout se (v41myzA)</v>
      </c>
      <c r="AF53">
        <v>3.065E-2</v>
      </c>
      <c r="AG53" t="s">
        <v>29</v>
      </c>
    </row>
    <row r="55" spans="1:33" x14ac:dyDescent="0.2">
      <c r="A55" t="str">
        <f>HYPERLINK("https://lindat.mff.cuni.cz/services/PDT-Vallex4.5/PDT-Vallex4.5.html?verb=hroutit se", "hroutit se")</f>
        <v>hroutit se</v>
      </c>
      <c r="B55" t="str">
        <f>HYPERLINK("https://lindat.mff.cuni.cz/services/PDT-Vallex4.5/PDT-Vallex4.5.html?verb=hroutit se#v41azdB", "v41azdB")</f>
        <v>v41azdB</v>
      </c>
      <c r="E55">
        <v>322</v>
      </c>
      <c r="F55">
        <v>0.35542000000000001</v>
      </c>
      <c r="G55" s="1" t="s">
        <v>32</v>
      </c>
      <c r="K55" t="str">
        <f>HYPERLINK("https://lindat.mff.cuni.cz/services/SynSemClass55/SynSemClass55.html?veclass=vec00599", "vec00599 / ztroskotat (v41rzkB)")</f>
        <v>vec00599 / ztroskotat (v41rzkB)</v>
      </c>
      <c r="L55">
        <v>0.35542000000000001</v>
      </c>
      <c r="M55" t="s">
        <v>29</v>
      </c>
      <c r="P55" t="str">
        <f>HYPERLINK("https://lindat.mff.cuni.cz/services/SynSemClass55/SynSemClass55.html?veclass=vec00597", "vec00597 / zřítit se (v41rxxB)")</f>
        <v>vec00597 / zřítit se (v41rxxB)</v>
      </c>
      <c r="Q55">
        <v>0.11551</v>
      </c>
      <c r="R55" t="s">
        <v>29</v>
      </c>
      <c r="U55" t="str">
        <f>HYPERLINK("https://lindat.mff.cuni.cz/services/SynSemClass55/SynSemClass55.html?veclass=vec01587", "vec01587 / omdlít (v41etaA)")</f>
        <v>vec01587 / omdlít (v41etaA)</v>
      </c>
      <c r="V55">
        <v>8.7209999999999996E-2</v>
      </c>
      <c r="W55" t="s">
        <v>29</v>
      </c>
      <c r="Z55" t="str">
        <f>HYPERLINK("https://lindat.mff.cuni.cz/services/SynSemClass55/SynSemClass55.html?veclass=vec01608", "vec01608 / sypat se (v41lsaA)")</f>
        <v>vec01608 / sypat se (v41lsaA)</v>
      </c>
      <c r="AA55">
        <v>5.4100000000000002E-2</v>
      </c>
      <c r="AB55" t="s">
        <v>31</v>
      </c>
      <c r="AE55" t="str">
        <f>HYPERLINK("https://lindat.mff.cuni.cz/services/SynSemClass55/SynSemClass55.html?veclass=vec00626", "vec00626 / kymácet se (v41bxpA)")</f>
        <v>vec00626 / kymácet se (v41bxpA)</v>
      </c>
      <c r="AF55">
        <v>4.573E-2</v>
      </c>
      <c r="AG55" t="s">
        <v>29</v>
      </c>
    </row>
    <row r="57" spans="1:33" x14ac:dyDescent="0.2">
      <c r="A57" t="str">
        <f>HYPERLINK("https://lindat.mff.cuni.cz/services/PDT-Vallex4.5/PDT-Vallex4.5.html?verb=hypnotizovat", "hypnotizovat")</f>
        <v>hypnotizovat</v>
      </c>
      <c r="B57" t="str">
        <f>HYPERLINK("https://lindat.mff.cuni.cz/services/PDT-Vallex4.5/PDT-Vallex4.5.html?verb=hypnotizovat#v41bagA", "v41bagA")</f>
        <v>v41bagA</v>
      </c>
      <c r="E57">
        <v>96</v>
      </c>
      <c r="F57">
        <v>0.50609000000000004</v>
      </c>
      <c r="G57" s="1" t="s">
        <v>32</v>
      </c>
      <c r="K57" t="str">
        <f>HYPERLINK("https://lindat.mff.cuni.cz/services/SynSemClass55/SynSemClass55.html?veclass=vec00609", "vec00609 / fascinovat (v41apoA)")</f>
        <v>vec00609 / fascinovat (v41apoA)</v>
      </c>
      <c r="L57">
        <v>0.50609000000000004</v>
      </c>
      <c r="M57" t="s">
        <v>29</v>
      </c>
      <c r="P57" t="str">
        <f>HYPERLINK("https://lindat.mff.cuni.cz/services/SynSemClass55/SynSemClass55.html?veclass=vec00860", "vec00860 / ošálit (v41fbsA)")</f>
        <v>vec00860 / ošálit (v41fbsA)</v>
      </c>
      <c r="Q57">
        <v>6.4579999999999999E-2</v>
      </c>
      <c r="R57" t="s">
        <v>31</v>
      </c>
      <c r="U57" t="str">
        <f>HYPERLINK("https://lindat.mff.cuni.cz/services/SynSemClass55/SynSemClass55.html?veclass=vec00188", "vec00188 / získat (v41reiD)")</f>
        <v>vec00188 / získat (v41reiD)</v>
      </c>
      <c r="V57">
        <v>6.071E-2</v>
      </c>
      <c r="W57" t="s">
        <v>29</v>
      </c>
      <c r="Z57" t="str">
        <f>HYPERLINK("https://lindat.mff.cuni.cz/services/SynSemClass55/SynSemClass55.html?veclass=vec00341", "vec00341 / uvědomit si (v41ncwA)")</f>
        <v>vec00341 / uvědomit si (v41ncwA)</v>
      </c>
      <c r="AA57">
        <v>3.065E-2</v>
      </c>
      <c r="AB57" t="s">
        <v>29</v>
      </c>
      <c r="AE57" t="str">
        <f>HYPERLINK("https://lindat.mff.cuni.cz/services/SynSemClass55/SynSemClass55.html?veclass=vec00040", "vec00040 / navrhnout (v41dgxD)")</f>
        <v>vec00040 / navrhnout (v41dgxD)</v>
      </c>
      <c r="AF57">
        <v>2.9100000000000001E-2</v>
      </c>
      <c r="AG57" t="s">
        <v>29</v>
      </c>
    </row>
    <row r="59" spans="1:33" x14ac:dyDescent="0.2">
      <c r="A59" t="str">
        <f>HYPERLINK("https://lindat.mff.cuni.cz/services/PDT-Vallex4.5/PDT-Vallex4.5.html?verb=identifikovat", "identifikovat")</f>
        <v>identifikovat</v>
      </c>
      <c r="B59" t="str">
        <f>HYPERLINK("https://lindat.mff.cuni.cz/services/PDT-Vallex4.5/PDT-Vallex4.5.html?verb=identifikovat#v41bdgA", "v41bdgA")</f>
        <v>v41bdgA</v>
      </c>
      <c r="E59">
        <v>559</v>
      </c>
      <c r="F59">
        <v>0.83748999999999996</v>
      </c>
      <c r="G59" s="1">
        <v>0</v>
      </c>
      <c r="I59" s="1" t="s">
        <v>48</v>
      </c>
      <c r="K59" t="str">
        <f>HYPERLINK("https://lindat.mff.cuni.cz/services/SynSemClass55/SynSemClass55.html?veclass=vec00909", "vec00909 / rozpoznat (v41jwmB)")</f>
        <v>vec00909 / rozpoznat (v41jwmB)</v>
      </c>
      <c r="L59">
        <v>0.83748999999999996</v>
      </c>
      <c r="M59" t="s">
        <v>29</v>
      </c>
      <c r="P59" t="str">
        <f>HYPERLINK("https://lindat.mff.cuni.cz/services/SynSemClass55/SynSemClass55.html?veclass=vec00127", "vec00127 / stanovit (v41lhzD)")</f>
        <v>vec00127 / stanovit (v41lhzD)</v>
      </c>
      <c r="Q59">
        <v>2.1839999999999998E-2</v>
      </c>
      <c r="R59" t="s">
        <v>29</v>
      </c>
      <c r="U59" t="str">
        <f>HYPERLINK("https://lindat.mff.cuni.cz/services/SynSemClass55/SynSemClass55.html?veclass=vec01102", "vec01102 / rozlišovat (v41jstA)")</f>
        <v>vec01102 / rozlišovat (v41jstA)</v>
      </c>
      <c r="V59">
        <v>2.1350000000000001E-2</v>
      </c>
      <c r="W59" t="s">
        <v>29</v>
      </c>
      <c r="Z59" t="str">
        <f>HYPERLINK("https://lindat.mff.cuni.cz/services/SynSemClass55/SynSemClass55.html?veclass=vec00115", "vec00115 / sledovat (v41kslD)")</f>
        <v>vec00115 / sledovat (v41kslD)</v>
      </c>
      <c r="AA59">
        <v>1.881E-2</v>
      </c>
      <c r="AB59" t="s">
        <v>29</v>
      </c>
      <c r="AE59" t="str">
        <f>HYPERLINK("https://lindat.mff.cuni.cz/services/SynSemClass55/SynSemClass55.html?veclass=vec01953", "vec01953 / vztáhnout (v41pnqA)")</f>
        <v>vec01953 / vztáhnout (v41pnqA)</v>
      </c>
      <c r="AF59">
        <v>1.5480000000000001E-2</v>
      </c>
      <c r="AG59" t="s">
        <v>29</v>
      </c>
    </row>
    <row r="61" spans="1:33" x14ac:dyDescent="0.2">
      <c r="A61" t="str">
        <f>HYPERLINK("https://lindat.mff.cuni.cz/services/PDT-Vallex4.5/PDT-Vallex4.5.html?verb=inscenovat", "inscenovat")</f>
        <v>inscenovat</v>
      </c>
      <c r="B61" t="str">
        <f>HYPERLINK("https://lindat.mff.cuni.cz/services/PDT-Vallex4.5/PDT-Vallex4.5.html?verb=inscenovat#v41bfiA", "v41bfiA")</f>
        <v>v41bfiA</v>
      </c>
      <c r="E61">
        <v>40</v>
      </c>
      <c r="F61">
        <v>0.81322000000000005</v>
      </c>
      <c r="G61" s="1" t="s">
        <v>49</v>
      </c>
      <c r="K61" t="str">
        <f>HYPERLINK("https://lindat.mff.cuni.cz/services/SynSemClass55/SynSemClass55.html?veclass=vec00611", "vec00611 / hrát (v41aypD)")</f>
        <v>vec00611 / hrát (v41aypD)</v>
      </c>
      <c r="L61">
        <v>0.81322000000000005</v>
      </c>
      <c r="M61" t="s">
        <v>29</v>
      </c>
      <c r="P61" t="str">
        <f>HYPERLINK("https://lindat.mff.cuni.cz/services/SynSemClass55/SynSemClass55.html?veclass=vec01868", "vec01868 / rozehrát (v41johA)")</f>
        <v>vec01868 / rozehrát (v41johA)</v>
      </c>
      <c r="Q61">
        <v>5.1589999999999997E-2</v>
      </c>
      <c r="R61" t="s">
        <v>29</v>
      </c>
      <c r="U61" t="str">
        <f>HYPERLINK("https://lindat.mff.cuni.cz/services/SynSemClass55/SynSemClass55.html?veclass=vec00742", "vec00742 / užívat si (v41nfrA)")</f>
        <v>vec00742 / užívat si (v41nfrA)</v>
      </c>
      <c r="V61">
        <v>1.934E-2</v>
      </c>
      <c r="W61" t="s">
        <v>29</v>
      </c>
      <c r="Z61" t="str">
        <f>HYPERLINK("https://lindat.mff.cuni.cz/services/SynSemClass55/SynSemClass55.html?veclass=vec00407", "vec00407 / doplnit (v41acpC)")</f>
        <v>vec00407 / doplnit (v41acpC)</v>
      </c>
      <c r="AA61">
        <v>1.8929999999999999E-2</v>
      </c>
      <c r="AB61" t="s">
        <v>29</v>
      </c>
      <c r="AE61" t="str">
        <f>HYPERLINK("https://lindat.mff.cuni.cz/services/SynSemClass55/SynSemClass55.html?veclass=vec00890", "vec00890 / předvádět se (v41hzbA)")</f>
        <v>vec00890 / předvádět se (v41hzbA)</v>
      </c>
      <c r="AF61">
        <v>1.61E-2</v>
      </c>
      <c r="AG61" t="s">
        <v>29</v>
      </c>
    </row>
    <row r="63" spans="1:33" x14ac:dyDescent="0.2">
      <c r="A63" t="str">
        <f>HYPERLINK("https://lindat.mff.cuni.cz/services/PDT-Vallex4.5/PDT-Vallex4.5.html?verb=kandidovat", "kandidovat")</f>
        <v>kandidovat</v>
      </c>
      <c r="B63" t="str">
        <f>HYPERLINK("https://lindat.mff.cuni.cz/services/PDT-Vallex4.5/PDT-Vallex4.5.html?verb=kandidovat#v41bjgA", "v41bjgA")</f>
        <v>v41bjgA</v>
      </c>
      <c r="E63">
        <v>83</v>
      </c>
      <c r="F63">
        <v>0.94364999999999999</v>
      </c>
      <c r="G63" s="1" t="s">
        <v>32</v>
      </c>
      <c r="K63" t="str">
        <f>HYPERLINK("https://lindat.mff.cuni.cz/services/SynSemClass55/SynSemClass55.html?veclass=vec00423", "vec00423 / kandidovat (v41bjgB)")</f>
        <v>vec00423 / kandidovat (v41bjgB)</v>
      </c>
      <c r="L63">
        <v>0.94364999999999999</v>
      </c>
      <c r="M63" t="s">
        <v>29</v>
      </c>
      <c r="P63" t="str">
        <f>HYPERLINK("https://lindat.mff.cuni.cz/services/SynSemClass55/SynSemClass55.html?veclass=vec01047", "vec01047 / navrhnout (v41dgxC)")</f>
        <v>vec01047 / navrhnout (v41dgxC)</v>
      </c>
      <c r="Q63">
        <v>1.866E-2</v>
      </c>
      <c r="R63" t="s">
        <v>31</v>
      </c>
      <c r="U63" t="str">
        <f>HYPERLINK("https://lindat.mff.cuni.cz/services/SynSemClass55/SynSemClass55.html?veclass=vec00188", "vec00188 / získat (v41reiD)")</f>
        <v>vec00188 / získat (v41reiD)</v>
      </c>
      <c r="V63">
        <v>1.601E-2</v>
      </c>
      <c r="W63" t="s">
        <v>29</v>
      </c>
      <c r="Z63" t="str">
        <f>HYPERLINK("https://lindat.mff.cuni.cz/services/SynSemClass55/SynSemClass55.html?veclass=vec00212", "vec00212 / dokázat (v41zhC)")</f>
        <v>vec00212 / dokázat (v41zhC)</v>
      </c>
      <c r="AA63">
        <v>1.436E-2</v>
      </c>
      <c r="AB63" t="s">
        <v>29</v>
      </c>
      <c r="AE63" t="str">
        <f>HYPERLINK("https://lindat.mff.cuni.cz/services/SynSemClass55/SynSemClass55.html?veclass=vec00619", "vec00619 / jít (v41bikY)")</f>
        <v>vec00619 / jít (v41bikY)</v>
      </c>
      <c r="AF63">
        <v>1.4279999999999999E-2</v>
      </c>
      <c r="AG63" t="s">
        <v>29</v>
      </c>
    </row>
    <row r="65" spans="1:33" x14ac:dyDescent="0.2">
      <c r="A65" t="str">
        <f>HYPERLINK("https://lindat.mff.cuni.cz/services/PDT-Vallex4.5/PDT-Vallex4.5.html?verb=katapultovat se", "katapultovat se")</f>
        <v>katapultovat se</v>
      </c>
      <c r="B65" t="str">
        <f>HYPERLINK("https://lindat.mff.cuni.cz/services/PDT-Vallex4.5/PDT-Vallex4.5.html?verb=katapultovat se#v41bjzA", "v41bjzA")</f>
        <v>v41bjzA</v>
      </c>
      <c r="E65">
        <v>12</v>
      </c>
      <c r="F65">
        <v>0.19044</v>
      </c>
      <c r="G65" s="1">
        <v>0</v>
      </c>
      <c r="I65" s="1" t="s">
        <v>50</v>
      </c>
      <c r="K65" t="str">
        <f>HYPERLINK("https://lindat.mff.cuni.cz/services/SynSemClass55/SynSemClass55.html?veclass=vec01032", "vec01032 / katapultovat (v41bjyA)")</f>
        <v>vec01032 / katapultovat (v41bjyA)</v>
      </c>
      <c r="L65">
        <v>0.19044</v>
      </c>
      <c r="M65" t="s">
        <v>51</v>
      </c>
      <c r="P65" t="str">
        <f>HYPERLINK("https://lindat.mff.cuni.cz/services/SynSemClass55/SynSemClass55.html?veclass=vec01699", "vec01699 / veslovat (v41njuA)")</f>
        <v>vec01699 / veslovat (v41njuA)</v>
      </c>
      <c r="Q65">
        <v>3.823E-2</v>
      </c>
      <c r="R65" t="s">
        <v>29</v>
      </c>
      <c r="U65" t="str">
        <f>HYPERLINK("https://lindat.mff.cuni.cz/services/SynSemClass55/SynSemClass55.html?veclass=vec00735", "vec00735 / umístit (v41motA)")</f>
        <v>vec00735 / umístit (v41motA)</v>
      </c>
      <c r="V65">
        <v>3.7819999999999999E-2</v>
      </c>
      <c r="W65" t="s">
        <v>29</v>
      </c>
      <c r="Z65" t="str">
        <f>HYPERLINK("https://lindat.mff.cuni.cz/services/SynSemClass55/SynSemClass55.html?veclass=vec01068", "vec01068 / plácnout (v41fmcB)")</f>
        <v>vec01068 / plácnout (v41fmcB)</v>
      </c>
      <c r="AA65">
        <v>3.5709999999999999E-2</v>
      </c>
      <c r="AB65" t="s">
        <v>29</v>
      </c>
      <c r="AE65" t="str">
        <f>HYPERLINK("https://lindat.mff.cuni.cz/services/SynSemClass55/SynSemClass55.html?veclass=vec01778", "vec01778 / nalodit (v41cugA)")</f>
        <v>vec01778 / nalodit (v41cugA)</v>
      </c>
      <c r="AF65">
        <v>3.0329999999999999E-2</v>
      </c>
      <c r="AG65" t="s">
        <v>29</v>
      </c>
    </row>
    <row r="67" spans="1:33" x14ac:dyDescent="0.2">
      <c r="A67" t="str">
        <f>HYPERLINK("https://lindat.mff.cuni.cz/services/PDT-Vallex4.5/PDT-Vallex4.5.html?verb=klátit", "klátit")</f>
        <v>klátit</v>
      </c>
      <c r="B67" t="str">
        <f>HYPERLINK("https://lindat.mff.cuni.cz/services/PDT-Vallex4.5/PDT-Vallex4.5.html?verb=klátit#v41bkyB", "v41bkyB")</f>
        <v>v41bkyB</v>
      </c>
      <c r="E67">
        <v>240</v>
      </c>
      <c r="F67">
        <v>0.10101</v>
      </c>
      <c r="G67" s="1" t="s">
        <v>52</v>
      </c>
      <c r="K67" t="str">
        <f>HYPERLINK("https://lindat.mff.cuni.cz/services/SynSemClass55/SynSemClass55.html?veclass=vec00626", "vec00626 / kymácet se (v41bxpA)")</f>
        <v>vec00626 / kymácet se (v41bxpA)</v>
      </c>
      <c r="L67">
        <v>0.10101</v>
      </c>
      <c r="M67" t="s">
        <v>29</v>
      </c>
      <c r="P67" t="str">
        <f>HYPERLINK("https://lindat.mff.cuni.cz/services/SynSemClass55/SynSemClass55.html?veclass=vec00991", "vec00991 / zavrtět (v41qubA)")</f>
        <v>vec00991 / zavrtět (v41qubA)</v>
      </c>
      <c r="Q67">
        <v>8.0159999999999995E-2</v>
      </c>
      <c r="R67" t="s">
        <v>29</v>
      </c>
      <c r="U67" t="str">
        <f>HYPERLINK("https://lindat.mff.cuni.cz/services/SynSemClass55/SynSemClass55.html?veclass=vec00637", "vec00637 / naklonit se (v41csfB)")</f>
        <v>vec00637 / naklonit se (v41csfB)</v>
      </c>
      <c r="V67">
        <v>4.4670000000000001E-2</v>
      </c>
      <c r="W67" t="s">
        <v>29</v>
      </c>
      <c r="Z67" t="str">
        <f>HYPERLINK("https://lindat.mff.cuni.cz/services/SynSemClass55/SynSemClass55.html?veclass=vec01216", "vec01216 / hrabat se (v41aygA)")</f>
        <v>vec01216 / hrabat se (v41aygA)</v>
      </c>
      <c r="AA67">
        <v>3.9239999999999997E-2</v>
      </c>
      <c r="AB67" t="s">
        <v>29</v>
      </c>
      <c r="AE67" t="str">
        <f>HYPERLINK("https://lindat.mff.cuni.cz/services/SynSemClass55/SynSemClass55.html?veclass=vec01219", "vec01219 / klouzat (v41bmaA)")</f>
        <v>vec01219 / klouzat (v41bmaA)</v>
      </c>
      <c r="AF67">
        <v>3.6119999999999999E-2</v>
      </c>
      <c r="AG67" t="s">
        <v>29</v>
      </c>
    </row>
    <row r="69" spans="1:33" x14ac:dyDescent="0.2">
      <c r="A69" t="str">
        <f>HYPERLINK("https://lindat.mff.cuni.cz/services/PDT-Vallex4.5/PDT-Vallex4.5.html?verb=klesnout", "klesnout")</f>
        <v>klesnout</v>
      </c>
      <c r="B69" t="str">
        <f>HYPERLINK("https://lindat.mff.cuni.cz/services/PDT-Vallex4.5/PDT-Vallex4.5.html?verb=klesnout#v41blkB", "v41blkB")</f>
        <v>v41blkB</v>
      </c>
      <c r="E69">
        <v>1722</v>
      </c>
      <c r="F69">
        <v>0.21198</v>
      </c>
      <c r="G69" s="1" t="s">
        <v>53</v>
      </c>
      <c r="K69" t="str">
        <f>HYPERLINK("https://lindat.mff.cuni.cz/services/SynSemClass55/SynSemClass55.html?veclass=vec00028", "vec00028 / klesnout (v41blkA)")</f>
        <v>vec00028 / klesnout (v41blkA)</v>
      </c>
      <c r="L69">
        <v>0.21198</v>
      </c>
      <c r="M69" t="s">
        <v>29</v>
      </c>
      <c r="P69" t="str">
        <f>HYPERLINK("https://lindat.mff.cuni.cz/services/SynSemClass55/SynSemClass55.html?veclass=vec00467", "vec00467 / padat (v41fhgG)")</f>
        <v>vec00467 / padat (v41fhgG)</v>
      </c>
      <c r="Q69">
        <v>0.19170999999999999</v>
      </c>
      <c r="R69" t="s">
        <v>29</v>
      </c>
      <c r="U69" t="str">
        <f>HYPERLINK("https://lindat.mff.cuni.cz/services/SynSemClass55/SynSemClass55.html?veclass=vec00707", "vec00707 / shazovat (v41kmeC)")</f>
        <v>vec00707 / shazovat (v41kmeC)</v>
      </c>
      <c r="V69">
        <v>3.7010000000000001E-2</v>
      </c>
      <c r="W69" t="s">
        <v>29</v>
      </c>
      <c r="Z69" t="str">
        <f>HYPERLINK("https://lindat.mff.cuni.cz/services/SynSemClass55/SynSemClass55.html?veclass=vec01512", "vec01512 / potápět se (v41gqeB)")</f>
        <v>vec01512 / potápět se (v41gqeB)</v>
      </c>
      <c r="AA69">
        <v>2.9729999999999999E-2</v>
      </c>
      <c r="AB69" t="s">
        <v>29</v>
      </c>
      <c r="AE69" t="str">
        <f>HYPERLINK("https://lindat.mff.cuni.cz/services/SynSemClass55/SynSemClass55.html?veclass=vec00597", "vec00597 / zřítit se (v41rxxB)")</f>
        <v>vec00597 / zřítit se (v41rxxB)</v>
      </c>
      <c r="AF69">
        <v>2.7949999999999999E-2</v>
      </c>
      <c r="AG69" t="s">
        <v>29</v>
      </c>
    </row>
    <row r="71" spans="1:33" x14ac:dyDescent="0.2">
      <c r="A71" t="str">
        <f>HYPERLINK("https://lindat.mff.cuni.cz/services/PDT-Vallex4.5/PDT-Vallex4.5.html?verb=klidit", "klidit")</f>
        <v>klidit</v>
      </c>
      <c r="B71" t="str">
        <f>HYPERLINK("https://lindat.mff.cuni.cz/services/PDT-Vallex4.5/PDT-Vallex4.5.html?verb=klidit#v41blpA", "v41blpA")</f>
        <v>v41blpA</v>
      </c>
      <c r="E71">
        <v>110</v>
      </c>
      <c r="F71">
        <v>0.12543000000000001</v>
      </c>
      <c r="G71" s="1" t="s">
        <v>54</v>
      </c>
      <c r="K71" t="str">
        <f>HYPERLINK("https://lindat.mff.cuni.cz/services/SynSemClass55/SynSemClass55.html?veclass=vec00733", "vec00733 / uklidnit se (v41mmbA)")</f>
        <v>vec00733 / uklidnit se (v41mmbA)</v>
      </c>
      <c r="L71">
        <v>0.12543000000000001</v>
      </c>
      <c r="M71" t="s">
        <v>29</v>
      </c>
      <c r="P71" t="str">
        <f>HYPERLINK("https://lindat.mff.cuni.cz/services/SynSemClass55/SynSemClass55.html?veclass=vec01718", "vec01718 / ztichnout (v41rymA)")</f>
        <v>vec01718 / ztichnout (v41rymA)</v>
      </c>
      <c r="Q71">
        <v>9.4219999999999998E-2</v>
      </c>
      <c r="R71" t="s">
        <v>29</v>
      </c>
      <c r="U71" t="str">
        <f>HYPERLINK("https://lindat.mff.cuni.cz/services/SynSemClass55/SynSemClass55.html?veclass=vec00958", "vec00958 / vyčinit (v41nvxA)")</f>
        <v>vec00958 / vyčinit (v41nvxA)</v>
      </c>
      <c r="V71">
        <v>2.7900000000000001E-2</v>
      </c>
      <c r="W71" t="s">
        <v>29</v>
      </c>
      <c r="Z71" t="str">
        <f>HYPERLINK("https://lindat.mff.cuni.cz/services/SynSemClass55/SynSemClass55.html?veclass=vec01914", "vec01914 / uvolnit se (v41ndwA)")</f>
        <v>vec01914 / uvolnit se (v41ndwA)</v>
      </c>
      <c r="AA71">
        <v>2.0830000000000001E-2</v>
      </c>
      <c r="AB71" t="s">
        <v>29</v>
      </c>
      <c r="AE71" t="str">
        <f>HYPERLINK("https://lindat.mff.cuni.cz/services/SynSemClass55/SynSemClass55.html?veclass=vec00536", "vec00536 / uklidnit (v41mmaA)")</f>
        <v>vec00536 / uklidnit (v41mmaA)</v>
      </c>
      <c r="AF71">
        <v>2.078E-2</v>
      </c>
      <c r="AG71" t="s">
        <v>29</v>
      </c>
    </row>
    <row r="73" spans="1:33" x14ac:dyDescent="0.2">
      <c r="A73" t="str">
        <f>HYPERLINK("https://lindat.mff.cuni.cz/services/PDT-Vallex4.5/PDT-Vallex4.5.html?verb=koexistovat", "koexistovat")</f>
        <v>koexistovat</v>
      </c>
      <c r="B73" t="str">
        <f>HYPERLINK("https://lindat.mff.cuni.cz/services/PDT-Vallex4.5/PDT-Vallex4.5.html?verb=koexistovat#v41bmsA", "v41bmsA")</f>
        <v>v41bmsA</v>
      </c>
      <c r="E73">
        <v>10</v>
      </c>
      <c r="F73">
        <v>0.10902000000000001</v>
      </c>
      <c r="G73" s="1">
        <v>0</v>
      </c>
      <c r="I73" s="1" t="s">
        <v>55</v>
      </c>
      <c r="K73" t="str">
        <f>HYPERLINK("https://lindat.mff.cuni.cz/services/SynSemClass55/SynSemClass55.html?veclass=vec00017", "vec00017 / existovat (v41aobA)")</f>
        <v>vec00017 / existovat (v41aobA)</v>
      </c>
      <c r="L73">
        <v>0.10902000000000001</v>
      </c>
      <c r="M73" t="s">
        <v>29</v>
      </c>
      <c r="P73" t="str">
        <f>HYPERLINK("https://lindat.mff.cuni.cz/services/SynSemClass55/SynSemClass55.html?veclass=vec00975", "vec00975 / vytrvat (v41pdxB)")</f>
        <v>vec00975 / vytrvat (v41pdxB)</v>
      </c>
      <c r="Q73">
        <v>9.8720000000000002E-2</v>
      </c>
      <c r="R73" t="s">
        <v>29</v>
      </c>
      <c r="U73" t="str">
        <f>HYPERLINK("https://lindat.mff.cuni.cz/services/SynSemClass55/SynSemClass55.html?veclass=vec00491", "vec00491 / přečkat (v41huyA)")</f>
        <v>vec00491 / přečkat (v41huyA)</v>
      </c>
      <c r="V73">
        <v>5.4469999999999998E-2</v>
      </c>
      <c r="W73" t="s">
        <v>29</v>
      </c>
      <c r="Z73" t="str">
        <f>HYPERLINK("https://lindat.mff.cuni.cz/services/SynSemClass55/SynSemClass55.html?veclass=vec00400", "vec00400 / žít (v41sekE)")</f>
        <v>vec00400 / žít (v41sekE)</v>
      </c>
      <c r="AA73">
        <v>4.0649999999999999E-2</v>
      </c>
      <c r="AB73" t="s">
        <v>29</v>
      </c>
      <c r="AE73" t="str">
        <f>HYPERLINK("https://lindat.mff.cuni.cz/services/SynSemClass55/SynSemClass55.html?veclass=vec00097", "vec00097 / přicházet (v41irqL)")</f>
        <v>vec00097 / přicházet (v41irqL)</v>
      </c>
      <c r="AF73">
        <v>3.6979999999999999E-2</v>
      </c>
      <c r="AG73" t="s">
        <v>29</v>
      </c>
    </row>
    <row r="75" spans="1:33" x14ac:dyDescent="0.2">
      <c r="A75" t="str">
        <f>HYPERLINK("https://lindat.mff.cuni.cz/services/PDT-Vallex4.5/PDT-Vallex4.5.html?verb=kondolovat", "kondolovat")</f>
        <v>kondolovat</v>
      </c>
      <c r="B75" t="str">
        <f>HYPERLINK("https://lindat.mff.cuni.cz/services/PDT-Vallex4.5/PDT-Vallex4.5.html?verb=kondolovat#v41bpoA", "v41bpoA")</f>
        <v>v41bpoA</v>
      </c>
      <c r="E75">
        <v>25</v>
      </c>
      <c r="F75">
        <v>0.10097</v>
      </c>
      <c r="G75" s="1">
        <v>0</v>
      </c>
      <c r="I75" s="1" t="s">
        <v>56</v>
      </c>
      <c r="K75" t="str">
        <f>HYPERLINK("https://lindat.mff.cuni.cz/services/SynSemClass55/SynSemClass55.html?veclass=vec00958", "vec00958 / vyčinit (v41nvxA)")</f>
        <v>vec00958 / vyčinit (v41nvxA)</v>
      </c>
      <c r="L75">
        <v>0.10097</v>
      </c>
      <c r="M75" t="s">
        <v>29</v>
      </c>
      <c r="P75" t="str">
        <f>HYPERLINK("https://lindat.mff.cuni.cz/services/SynSemClass55/SynSemClass55.html?veclass=vec00633", "vec00633 / nadávat (v41cnkB)")</f>
        <v>vec00633 / nadávat (v41cnkB)</v>
      </c>
      <c r="Q75">
        <v>7.4510000000000007E-2</v>
      </c>
      <c r="R75" t="s">
        <v>29</v>
      </c>
      <c r="U75" t="str">
        <f>HYPERLINK("https://lindat.mff.cuni.cz/services/SynSemClass55/SynSemClass55.html?veclass=vec00135", "vec00135 / tleskat (v41lziA)")</f>
        <v>vec00135 / tleskat (v41lziA)</v>
      </c>
      <c r="V75">
        <v>5.7880000000000001E-2</v>
      </c>
      <c r="W75" t="s">
        <v>29</v>
      </c>
      <c r="Z75" t="str">
        <f>HYPERLINK("https://lindat.mff.cuni.cz/services/SynSemClass55/SynSemClass55.html?veclass=vec00668", "vec00668 / podlézat (v41fspA)")</f>
        <v>vec00668 / podlézat (v41fspA)</v>
      </c>
      <c r="AA75">
        <v>5.1450000000000003E-2</v>
      </c>
      <c r="AB75" t="s">
        <v>29</v>
      </c>
      <c r="AE75" t="str">
        <f>HYPERLINK("https://lindat.mff.cuni.cz/services/SynSemClass55/SynSemClass55.html?veclass=vec01023", "vec01023 / gratulovat (v41ateA)")</f>
        <v>vec01023 / gratulovat (v41ateA)</v>
      </c>
      <c r="AF75">
        <v>3.8420000000000003E-2</v>
      </c>
      <c r="AG75" t="s">
        <v>29</v>
      </c>
    </row>
    <row r="77" spans="1:33" x14ac:dyDescent="0.2">
      <c r="A77" t="str">
        <f>HYPERLINK("https://lindat.mff.cuni.cz/services/PDT-Vallex4.5/PDT-Vallex4.5.html?verb=kontaminovat", "kontaminovat")</f>
        <v>kontaminovat</v>
      </c>
      <c r="B77" t="str">
        <f>HYPERLINK("https://lindat.mff.cuni.cz/services/PDT-Vallex4.5/PDT-Vallex4.5.html?verb=kontaminovat#v41brbA", "v41brbA")</f>
        <v>v41brbA</v>
      </c>
      <c r="E77">
        <v>11</v>
      </c>
      <c r="F77">
        <v>0.47737000000000002</v>
      </c>
      <c r="G77" s="1" t="s">
        <v>32</v>
      </c>
      <c r="K77" t="str">
        <f>HYPERLINK("https://lindat.mff.cuni.cz/services/SynSemClass55/SynSemClass55.html?veclass=vec01182", "vec01182 / znečišťovat (v41rnoA)")</f>
        <v>vec01182 / znečišťovat (v41rnoA)</v>
      </c>
      <c r="L77">
        <v>0.47737000000000002</v>
      </c>
      <c r="M77" t="s">
        <v>31</v>
      </c>
      <c r="P77" t="str">
        <f>HYPERLINK("https://lindat.mff.cuni.cz/services/SynSemClass55/SynSemClass55.html?veclass=vec00635", "vec00635 / nakazit (v41cruA)")</f>
        <v>vec00635 / nakazit (v41cruA)</v>
      </c>
      <c r="Q77">
        <v>0.23568</v>
      </c>
      <c r="R77" t="s">
        <v>29</v>
      </c>
      <c r="U77" t="str">
        <f>HYPERLINK("https://lindat.mff.cuni.cz/services/SynSemClass55/SynSemClass55.html?veclass=vec00789", "vec00789 / zkazit (v41rfjA)")</f>
        <v>vec00789 / zkazit (v41rfjA)</v>
      </c>
      <c r="V77">
        <v>0.14965000000000001</v>
      </c>
      <c r="W77" t="s">
        <v>29</v>
      </c>
      <c r="Z77" t="str">
        <f>HYPERLINK("https://lindat.mff.cuni.cz/services/SynSemClass55/SynSemClass55.html?veclass=vec00576", "vec00576 / zaplavit (v41qflC)")</f>
        <v>vec00576 / zaplavit (v41qflC)</v>
      </c>
      <c r="AA77">
        <v>5.0139999999999997E-2</v>
      </c>
      <c r="AB77" t="s">
        <v>29</v>
      </c>
      <c r="AE77" t="str">
        <f>HYPERLINK("https://lindat.mff.cuni.cz/services/SynSemClass55/SynSemClass55.html?veclass=vec00552", "vec00552 / vyčistit (v41nwbA)")</f>
        <v>vec00552 / vyčistit (v41nwbA)</v>
      </c>
      <c r="AF77">
        <v>4.7980000000000002E-2</v>
      </c>
      <c r="AG77" t="s">
        <v>29</v>
      </c>
    </row>
    <row r="79" spans="1:33" x14ac:dyDescent="0.2">
      <c r="A79" t="str">
        <f>HYPERLINK("https://lindat.mff.cuni.cz/services/PDT-Vallex4.5/PDT-Vallex4.5.html?verb=kousnout", "kousnout")</f>
        <v>kousnout</v>
      </c>
      <c r="B79" t="str">
        <f>HYPERLINK("https://lindat.mff.cuni.cz/services/PDT-Vallex4.5/PDT-Vallex4.5.html?verb=kousnout#v41btxB", "v41btxB")</f>
        <v>v41btxB</v>
      </c>
      <c r="E79">
        <v>802</v>
      </c>
      <c r="F79">
        <v>0.18328</v>
      </c>
      <c r="G79" s="1" t="s">
        <v>32</v>
      </c>
      <c r="K79" t="str">
        <f>HYPERLINK("https://lindat.mff.cuni.cz/services/SynSemClass55/SynSemClass55.html?veclass=vec01038", "vec01038 / kousnout (v41btxA)")</f>
        <v>vec01038 / kousnout (v41btxA)</v>
      </c>
      <c r="L79">
        <v>0.18328</v>
      </c>
      <c r="M79" t="s">
        <v>29</v>
      </c>
      <c r="P79" t="str">
        <f>HYPERLINK("https://lindat.mff.cuni.cz/services/SynSemClass55/SynSemClass55.html?veclass=vec01039", "vec01039 / kousnout si (v41btzA)")</f>
        <v>vec01039 / kousnout si (v41btzA)</v>
      </c>
      <c r="Q79">
        <v>0.15032999999999999</v>
      </c>
      <c r="R79" t="s">
        <v>31</v>
      </c>
      <c r="U79" t="str">
        <f>HYPERLINK("https://lindat.mff.cuni.cz/services/SynSemClass55/SynSemClass55.html?veclass=vec00918", "vec00918 / sáhnout (v41kevC)")</f>
        <v>vec00918 / sáhnout (v41kevC)</v>
      </c>
      <c r="V79">
        <v>8.5430000000000006E-2</v>
      </c>
      <c r="W79" t="s">
        <v>29</v>
      </c>
      <c r="Z79" t="str">
        <f>HYPERLINK("https://lindat.mff.cuni.cz/services/SynSemClass55/SynSemClass55.html?veclass=vec01551", "vec01551 / hladit (v41auzA)")</f>
        <v>vec01551 / hladit (v41auzA)</v>
      </c>
      <c r="AA79">
        <v>6.3600000000000004E-2</v>
      </c>
      <c r="AB79" t="s">
        <v>29</v>
      </c>
      <c r="AE79" t="str">
        <f>HYPERLINK("https://lindat.mff.cuni.cz/services/SynSemClass55/SynSemClass55.html?veclass=vec01810", "vec01810 / osahávat (v41eyrA)")</f>
        <v>vec01810 / osahávat (v41eyrA)</v>
      </c>
      <c r="AF79">
        <v>5.8880000000000002E-2</v>
      </c>
      <c r="AG79" t="s">
        <v>29</v>
      </c>
    </row>
    <row r="81" spans="1:33" x14ac:dyDescent="0.2">
      <c r="A81" t="str">
        <f>HYPERLINK("https://lindat.mff.cuni.cz/services/PDT-Vallex4.5/PDT-Vallex4.5.html?verb=krčit se", "krčit se")</f>
        <v>krčit se</v>
      </c>
      <c r="B81" t="str">
        <f>HYPERLINK("https://lindat.mff.cuni.cz/services/PDT-Vallex4.5/PDT-Vallex4.5.html?verb=krčit se#v41buqA", "v41buqA")</f>
        <v>v41buqA</v>
      </c>
      <c r="E81">
        <v>692</v>
      </c>
      <c r="F81">
        <v>0.11465</v>
      </c>
      <c r="G81" s="1" t="s">
        <v>57</v>
      </c>
      <c r="K81" t="str">
        <f>HYPERLINK("https://lindat.mff.cuni.cz/services/SynSemClass55/SynSemClass55.html?veclass=vec00833", "vec00833 / mačkat se (v41cdaA)")</f>
        <v>vec00833 / mačkat se (v41cdaA)</v>
      </c>
      <c r="L81">
        <v>0.11465</v>
      </c>
      <c r="M81" t="s">
        <v>29</v>
      </c>
      <c r="P81" t="str">
        <f>HYPERLINK("https://lindat.mff.cuni.cz/services/SynSemClass55/SynSemClass55.html?veclass=vec00991", "vec00991 / zavrtět (v41qubA)")</f>
        <v>vec00991 / zavrtět (v41qubA)</v>
      </c>
      <c r="Q81">
        <v>0.10607999999999999</v>
      </c>
      <c r="R81" t="s">
        <v>29</v>
      </c>
      <c r="U81" t="str">
        <f>HYPERLINK("https://lindat.mff.cuni.cz/services/SynSemClass55/SynSemClass55.html?veclass=vec00626", "vec00626 / kymácet se (v41bxpA)")</f>
        <v>vec00626 / kymácet se (v41bxpA)</v>
      </c>
      <c r="V81">
        <v>8.548E-2</v>
      </c>
      <c r="W81" t="s">
        <v>29</v>
      </c>
      <c r="Z81" t="str">
        <f>HYPERLINK("https://lindat.mff.cuni.cz/services/SynSemClass55/SynSemClass55.html?veclass=vec00637", "vec00637 / naklonit se (v41csfB)")</f>
        <v>vec00637 / naklonit se (v41csfB)</v>
      </c>
      <c r="AA81">
        <v>7.5139999999999998E-2</v>
      </c>
      <c r="AB81" t="s">
        <v>29</v>
      </c>
      <c r="AE81" t="str">
        <f>HYPERLINK("https://lindat.mff.cuni.cz/services/SynSemClass55/SynSemClass55.html?veclass=vec01336", "vec01336 / tyčit se (v41meuA)")</f>
        <v>vec01336 / tyčit se (v41meuA)</v>
      </c>
      <c r="AF81">
        <v>6.2359999999999999E-2</v>
      </c>
      <c r="AG81" t="s">
        <v>29</v>
      </c>
    </row>
    <row r="83" spans="1:33" x14ac:dyDescent="0.2">
      <c r="A83" t="str">
        <f>HYPERLINK("https://lindat.mff.cuni.cz/services/PDT-Vallex4.5/PDT-Vallex4.5.html?verb=kručet", "kručet")</f>
        <v>kručet</v>
      </c>
      <c r="B83" t="str">
        <f>HYPERLINK("https://lindat.mff.cuni.cz/services/PDT-Vallex4.5/PDT-Vallex4.5.html?verb=kručet#v41bvoA", "v41bvoA")</f>
        <v>v41bvoA</v>
      </c>
      <c r="E83">
        <v>64</v>
      </c>
      <c r="F83">
        <v>6.583E-2</v>
      </c>
      <c r="G83" s="1">
        <v>0</v>
      </c>
      <c r="I83" s="1" t="s">
        <v>58</v>
      </c>
      <c r="K83" t="str">
        <f>HYPERLINK("https://lindat.mff.cuni.cz/services/SynSemClass55/SynSemClass55.html?veclass=vec01110", "vec01110 / sípat (v41koqA)")</f>
        <v>vec01110 / sípat (v41koqA)</v>
      </c>
      <c r="L83">
        <v>6.583E-2</v>
      </c>
      <c r="M83" t="s">
        <v>29</v>
      </c>
      <c r="P83" t="str">
        <f>HYPERLINK("https://lindat.mff.cuni.cz/services/SynSemClass55/SynSemClass55.html?veclass=vec01645", "vec01645 / mrznout (v41cjwA)")</f>
        <v>vec01645 / mrznout (v41cjwA)</v>
      </c>
      <c r="Q83">
        <v>4.4600000000000001E-2</v>
      </c>
      <c r="R83" t="s">
        <v>29</v>
      </c>
      <c r="U83" t="str">
        <f>HYPERLINK("https://lindat.mff.cuni.cz/services/SynSemClass55/SynSemClass55.html?veclass=vec00937", "vec00937 / třást se (v41mdgB)")</f>
        <v>vec00937 / třást se (v41mdgB)</v>
      </c>
      <c r="V83">
        <v>3.8600000000000002E-2</v>
      </c>
      <c r="W83" t="s">
        <v>29</v>
      </c>
      <c r="Z83" t="str">
        <f>HYPERLINK("https://lindat.mff.cuni.cz/services/SynSemClass55/SynSemClass55.html?veclass=vec01531", "vec01531 / tepat (v41lxvB)")</f>
        <v>vec01531 / tepat (v41lxvB)</v>
      </c>
      <c r="AA83">
        <v>3.7569999999999999E-2</v>
      </c>
      <c r="AB83" t="s">
        <v>29</v>
      </c>
      <c r="AE83" t="str">
        <f>HYPERLINK("https://lindat.mff.cuni.cz/services/SynSemClass55/SynSemClass55.html?veclass=vec00875", "vec00875 / potácet se (v41gpyA)")</f>
        <v>vec00875 / potácet se (v41gpyA)</v>
      </c>
      <c r="AF83">
        <v>3.0839999999999999E-2</v>
      </c>
      <c r="AG83" t="s">
        <v>29</v>
      </c>
    </row>
    <row r="84" spans="1:33" x14ac:dyDescent="0.2">
      <c r="A84" t="str">
        <f>HYPERLINK("https://lindat.mff.cuni.cz/services/PDT-Vallex4.5/PDT-Vallex4.5.html?verb=kručet", "kručet")</f>
        <v>kručet</v>
      </c>
      <c r="B84" t="str">
        <f>HYPERLINK("https://lindat.mff.cuni.cz/services/PDT-Vallex4.5/PDT-Vallex4.5.html?verb=kručet#v41bvoB", "v41bvoB")</f>
        <v>v41bvoB</v>
      </c>
      <c r="E84">
        <v>64</v>
      </c>
      <c r="F84">
        <v>6.583E-2</v>
      </c>
      <c r="G84" s="1">
        <v>0</v>
      </c>
      <c r="I84" s="1" t="s">
        <v>58</v>
      </c>
      <c r="K84" t="str">
        <f>HYPERLINK("https://lindat.mff.cuni.cz/services/SynSemClass55/SynSemClass55.html?veclass=vec01110", "vec01110 / sípat (v41koqA)")</f>
        <v>vec01110 / sípat (v41koqA)</v>
      </c>
      <c r="L84">
        <v>6.583E-2</v>
      </c>
      <c r="M84" t="s">
        <v>29</v>
      </c>
      <c r="P84" t="str">
        <f>HYPERLINK("https://lindat.mff.cuni.cz/services/SynSemClass55/SynSemClass55.html?veclass=vec01645", "vec01645 / mrznout (v41cjwA)")</f>
        <v>vec01645 / mrznout (v41cjwA)</v>
      </c>
      <c r="Q84">
        <v>4.4600000000000001E-2</v>
      </c>
      <c r="R84" t="s">
        <v>29</v>
      </c>
      <c r="U84" t="str">
        <f>HYPERLINK("https://lindat.mff.cuni.cz/services/SynSemClass55/SynSemClass55.html?veclass=vec00937", "vec00937 / třást se (v41mdgB)")</f>
        <v>vec00937 / třást se (v41mdgB)</v>
      </c>
      <c r="V84">
        <v>3.8600000000000002E-2</v>
      </c>
      <c r="W84" t="s">
        <v>29</v>
      </c>
      <c r="Z84" t="str">
        <f>HYPERLINK("https://lindat.mff.cuni.cz/services/SynSemClass55/SynSemClass55.html?veclass=vec01531", "vec01531 / tepat (v41lxvB)")</f>
        <v>vec01531 / tepat (v41lxvB)</v>
      </c>
      <c r="AA84">
        <v>3.7569999999999999E-2</v>
      </c>
      <c r="AB84" t="s">
        <v>29</v>
      </c>
      <c r="AE84" t="str">
        <f>HYPERLINK("https://lindat.mff.cuni.cz/services/SynSemClass55/SynSemClass55.html?veclass=vec00875", "vec00875 / potácet se (v41gpyA)")</f>
        <v>vec00875 / potácet se (v41gpyA)</v>
      </c>
      <c r="AF84">
        <v>3.0839999999999999E-2</v>
      </c>
      <c r="AG84" t="s">
        <v>29</v>
      </c>
    </row>
    <row r="86" spans="1:33" x14ac:dyDescent="0.2">
      <c r="A86" t="str">
        <f>HYPERLINK("https://lindat.mff.cuni.cz/services/PDT-Vallex4.5/PDT-Vallex4.5.html?verb=krvácet", "krvácet")</f>
        <v>krvácet</v>
      </c>
      <c r="B86" t="str">
        <f>HYPERLINK("https://lindat.mff.cuni.cz/services/PDT-Vallex4.5/PDT-Vallex4.5.html?verb=krvácet#v41bvqA", "v41bvqA")</f>
        <v>v41bvqA</v>
      </c>
      <c r="E86">
        <v>624</v>
      </c>
      <c r="F86">
        <v>0.89639000000000002</v>
      </c>
      <c r="G86" s="1">
        <v>0</v>
      </c>
      <c r="I86" s="1" t="s">
        <v>59</v>
      </c>
      <c r="K86" t="str">
        <f>HYPERLINK("https://lindat.mff.cuni.cz/services/SynSemClass55/SynSemClass55.html?veclass=vec00625", "vec00625 / krvácet (v41bvqB)")</f>
        <v>vec00625 / krvácet (v41bvqB)</v>
      </c>
      <c r="L86">
        <v>0.89639000000000002</v>
      </c>
      <c r="M86" t="s">
        <v>29</v>
      </c>
      <c r="P86" t="str">
        <f>HYPERLINK("https://lindat.mff.cuni.cz/services/SynSemClass55/SynSemClass55.html?veclass=vec01533", "vec01533 / ukapávat (v41mliA)")</f>
        <v>vec01533 / ukapávat (v41mliA)</v>
      </c>
      <c r="Q86">
        <v>5.5539999999999999E-2</v>
      </c>
      <c r="R86" t="s">
        <v>29</v>
      </c>
      <c r="U86" t="str">
        <f>HYPERLINK("https://lindat.mff.cuni.cz/services/SynSemClass55/SynSemClass55.html?veclass=vec00614", "vec00614 / chrlit (v41bbzA)")</f>
        <v>vec00614 / chrlit (v41bbzA)</v>
      </c>
      <c r="V86">
        <v>1.559E-2</v>
      </c>
      <c r="W86" t="s">
        <v>29</v>
      </c>
      <c r="Z86" t="str">
        <f>HYPERLINK("https://lindat.mff.cuni.cz/services/SynSemClass55/SynSemClass55.html?veclass=vec00390", "vec00390 / zotavit se (v41rrtA)")</f>
        <v>vec00390 / zotavit se (v41rrtA)</v>
      </c>
      <c r="AA86">
        <v>1.503E-2</v>
      </c>
      <c r="AB86" t="s">
        <v>29</v>
      </c>
      <c r="AE86" t="str">
        <f>HYPERLINK("https://lindat.mff.cuni.cz/services/SynSemClass55/SynSemClass55.html?veclass=vec00419", "vec00419 / chybět (v41bcpB)")</f>
        <v>vec00419 / chybět (v41bcpB)</v>
      </c>
      <c r="AF86">
        <v>1.2699999999999999E-2</v>
      </c>
      <c r="AG86" t="s">
        <v>29</v>
      </c>
    </row>
    <row r="88" spans="1:33" x14ac:dyDescent="0.2">
      <c r="A88" t="str">
        <f>HYPERLINK("https://lindat.mff.cuni.cz/services/PDT-Vallex4.5/PDT-Vallex4.5.html?verb=kývat se", "kývat se")</f>
        <v>kývat se</v>
      </c>
      <c r="B88" t="str">
        <f>HYPERLINK("https://lindat.mff.cuni.cz/services/PDT-Vallex4.5/PDT-Vallex4.5.html?verb=kývat se#v41bxsA", "v41bxsA")</f>
        <v>v41bxsA</v>
      </c>
      <c r="E88">
        <v>498</v>
      </c>
      <c r="F88">
        <v>0.18088000000000001</v>
      </c>
      <c r="G88" s="1" t="s">
        <v>32</v>
      </c>
      <c r="K88" t="str">
        <f>HYPERLINK("https://lindat.mff.cuni.cz/services/SynSemClass55/SynSemClass55.html?veclass=vec00991", "vec00991 / zavrtět (v41qubA)")</f>
        <v>vec00991 / zavrtět (v41qubA)</v>
      </c>
      <c r="L88">
        <v>0.18088000000000001</v>
      </c>
      <c r="M88" t="s">
        <v>29</v>
      </c>
      <c r="P88" t="str">
        <f>HYPERLINK("https://lindat.mff.cuni.cz/services/SynSemClass55/SynSemClass55.html?veclass=vec00631", "vec00631 / mávat (v41cetA)")</f>
        <v>vec00631 / mávat (v41cetA)</v>
      </c>
      <c r="Q88">
        <v>8.8260000000000005E-2</v>
      </c>
      <c r="R88" t="s">
        <v>29</v>
      </c>
      <c r="U88" t="str">
        <f>HYPERLINK("https://lindat.mff.cuni.cz/services/SynSemClass55/SynSemClass55.html?veclass=vec00637", "vec00637 / naklonit se (v41csfB)")</f>
        <v>vec00637 / naklonit se (v41csfB)</v>
      </c>
      <c r="V88">
        <v>4.2810000000000001E-2</v>
      </c>
      <c r="W88" t="s">
        <v>29</v>
      </c>
      <c r="Z88" t="str">
        <f>HYPERLINK("https://lindat.mff.cuni.cz/services/SynSemClass55/SynSemClass55.html?veclass=vec00995", "vec00995 / zmítat (v41rlcA)")</f>
        <v>vec00995 / zmítat (v41rlcA)</v>
      </c>
      <c r="AA88">
        <v>4.1880000000000001E-2</v>
      </c>
      <c r="AB88" t="s">
        <v>29</v>
      </c>
      <c r="AE88" t="str">
        <f>HYPERLINK("https://lindat.mff.cuni.cz/services/SynSemClass55/SynSemClass55.html?veclass=vec00626", "vec00626 / kymácet se (v41bxpA)")</f>
        <v>vec00626 / kymácet se (v41bxpA)</v>
      </c>
      <c r="AF88">
        <v>3.9170000000000003E-2</v>
      </c>
      <c r="AG88" t="s">
        <v>31</v>
      </c>
    </row>
    <row r="90" spans="1:33" x14ac:dyDescent="0.2">
      <c r="A90" t="str">
        <f>HYPERLINK("https://lindat.mff.cuni.cz/services/PDT-Vallex4.5/PDT-Vallex4.5.html?verb=laškovat", "laškovat")</f>
        <v>laškovat</v>
      </c>
      <c r="B90" t="str">
        <f>HYPERLINK("https://lindat.mff.cuni.cz/services/PDT-Vallex4.5/PDT-Vallex4.5.html?verb=laškovat#v41bylA", "v41bylA")</f>
        <v>v41bylA</v>
      </c>
      <c r="E90">
        <v>48</v>
      </c>
      <c r="F90">
        <v>0.20064000000000001</v>
      </c>
      <c r="G90" s="1" t="s">
        <v>32</v>
      </c>
      <c r="K90" t="str">
        <f>HYPERLINK("https://lindat.mff.cuni.cz/services/SynSemClass55/SynSemClass55.html?veclass=vec00817", "vec00817 / flirtovat (v41aqwB)")</f>
        <v>vec00817 / flirtovat (v41aqwB)</v>
      </c>
      <c r="L90">
        <v>0.20064000000000001</v>
      </c>
      <c r="M90" t="s">
        <v>31</v>
      </c>
      <c r="P90" t="str">
        <f>HYPERLINK("https://lindat.mff.cuni.cz/services/SynSemClass55/SynSemClass55.html?veclass=vec00922", "vec00922 / skotačit (v41kriA)")</f>
        <v>vec00922 / skotačit (v41kriA)</v>
      </c>
      <c r="Q90">
        <v>9.8519999999999996E-2</v>
      </c>
      <c r="R90" t="s">
        <v>29</v>
      </c>
      <c r="U90" t="str">
        <f>HYPERLINK("https://lindat.mff.cuni.cz/services/SynSemClass55/SynSemClass55.html?veclass=vec01653", "vec01653 / pomilovat se (v41gegA)")</f>
        <v>vec01653 / pomilovat se (v41gegA)</v>
      </c>
      <c r="V90">
        <v>8.3650000000000002E-2</v>
      </c>
      <c r="W90" t="s">
        <v>29</v>
      </c>
      <c r="Z90" t="str">
        <f>HYPERLINK("https://lindat.mff.cuni.cz/services/SynSemClass55/SynSemClass55.html?veclass=vec01216", "vec01216 / hrabat se (v41aygA)")</f>
        <v>vec01216 / hrabat se (v41aygA)</v>
      </c>
      <c r="AA90">
        <v>5.1069999999999997E-2</v>
      </c>
      <c r="AB90" t="s">
        <v>29</v>
      </c>
      <c r="AE90" t="str">
        <f>HYPERLINK("https://lindat.mff.cuni.cz/services/SynSemClass55/SynSemClass55.html?veclass=vec00886", "vec00886 / promrhat (v41hikA)")</f>
        <v>vec00886 / promrhat (v41hikA)</v>
      </c>
      <c r="AF90">
        <v>3.9969999999999999E-2</v>
      </c>
      <c r="AG90" t="s">
        <v>29</v>
      </c>
    </row>
    <row r="92" spans="1:33" x14ac:dyDescent="0.2">
      <c r="A92" t="str">
        <f>HYPERLINK("https://lindat.mff.cuni.cz/services/PDT-Vallex4.5/PDT-Vallex4.5.html?verb=lhát", "lhát")</f>
        <v>lhát</v>
      </c>
      <c r="B92" t="str">
        <f>HYPERLINK("https://lindat.mff.cuni.cz/services/PDT-Vallex4.5/PDT-Vallex4.5.html?verb=lhát#v41cafB", "v41cafB")</f>
        <v>v41cafB</v>
      </c>
      <c r="E92">
        <v>2979</v>
      </c>
      <c r="F92">
        <v>0.74804999999999999</v>
      </c>
      <c r="G92" s="1" t="s">
        <v>32</v>
      </c>
      <c r="I92" s="1" t="s">
        <v>62</v>
      </c>
      <c r="K92" t="str">
        <f>HYPERLINK("https://lindat.mff.cuni.cz/services/SynSemClass55/SynSemClass55.html?veclass=vec00832", "vec00832 / lhát (v41cafA)")</f>
        <v>vec00832 / lhát (v41cafA)</v>
      </c>
      <c r="L92">
        <v>0.74804999999999999</v>
      </c>
      <c r="M92" t="s">
        <v>33</v>
      </c>
      <c r="N92" t="s">
        <v>63</v>
      </c>
      <c r="P92" t="str">
        <f>HYPERLINK("https://lindat.mff.cuni.cz/services/SynSemClass55/SynSemClass55.html?veclass=vec00671", "vec00671 / podvést (v41fwbB)")</f>
        <v>vec00671 / podvést (v41fwbB)</v>
      </c>
      <c r="Q92">
        <v>4.2500000000000003E-2</v>
      </c>
      <c r="R92" t="s">
        <v>29</v>
      </c>
      <c r="U92" t="str">
        <f>HYPERLINK("https://lindat.mff.cuni.cz/services/SynSemClass55/SynSemClass55.html?veclass=vec00589", "vec00589 / zmást (v41rjtA)")</f>
        <v>vec00589 / zmást (v41rjtA)</v>
      </c>
      <c r="V92">
        <v>3.3189999999999997E-2</v>
      </c>
      <c r="W92" t="s">
        <v>29</v>
      </c>
      <c r="Z92" t="str">
        <f>HYPERLINK("https://lindat.mff.cuni.cz/services/SynSemClass55/SynSemClass55.html?veclass=vec00958", "vec00958 / vyčinit (v41nvxA)")</f>
        <v>vec00958 / vyčinit (v41nvxA)</v>
      </c>
      <c r="AA92">
        <v>1.8319999999999999E-2</v>
      </c>
      <c r="AB92" t="s">
        <v>29</v>
      </c>
      <c r="AE92" t="str">
        <f>HYPERLINK("https://lindat.mff.cuni.cz/services/SynSemClass55/SynSemClass55.html?veclass=vec00633", "vec00633 / nadávat (v41cnkB)")</f>
        <v>vec00633 / nadávat (v41cnkB)</v>
      </c>
      <c r="AF92">
        <v>1.46E-2</v>
      </c>
      <c r="AG92" t="s">
        <v>29</v>
      </c>
    </row>
    <row r="94" spans="1:33" x14ac:dyDescent="0.2">
      <c r="A94" t="str">
        <f>HYPERLINK("https://lindat.mff.cuni.cz/services/PDT-Vallex4.5/PDT-Vallex4.5.html?verb=líčit", "líčit")</f>
        <v>líčit</v>
      </c>
      <c r="B94" t="str">
        <f>HYPERLINK("https://lindat.mff.cuni.cz/services/PDT-Vallex4.5/PDT-Vallex4.5.html?verb=líčit#v41casB", "v41casB")</f>
        <v>v41casB</v>
      </c>
      <c r="E94">
        <v>927</v>
      </c>
      <c r="F94">
        <v>0.62938000000000005</v>
      </c>
      <c r="G94" s="1">
        <v>0</v>
      </c>
      <c r="I94" s="1" t="s">
        <v>64</v>
      </c>
      <c r="K94" t="str">
        <f>HYPERLINK("https://lindat.mff.cuni.cz/services/SynSemClass55/SynSemClass55.html?veclass=vec01353", "vec01353 / vyprávět (v41orhA)")</f>
        <v>vec01353 / vyprávět (v41orhA)</v>
      </c>
      <c r="L94">
        <v>0.62938000000000005</v>
      </c>
      <c r="M94" t="s">
        <v>29</v>
      </c>
      <c r="P94" t="str">
        <f>HYPERLINK("https://lindat.mff.cuni.cz/services/SynSemClass55/SynSemClass55.html?veclass=vec00417", "vec00417 / charakterizovat (v41barA)")</f>
        <v>vec00417 / charakterizovat (v41barA)</v>
      </c>
      <c r="Q94">
        <v>0.10907</v>
      </c>
      <c r="R94" t="s">
        <v>29</v>
      </c>
      <c r="U94" t="str">
        <f>HYPERLINK("https://lindat.mff.cuni.cz/services/SynSemClass55/SynSemClass55.html?veclass=vec00032", "vec00032 / myslet si (v41ckkA)")</f>
        <v>vec00032 / myslet si (v41ckkA)</v>
      </c>
      <c r="V94">
        <v>2.622E-2</v>
      </c>
      <c r="W94" t="s">
        <v>29</v>
      </c>
      <c r="Z94" t="str">
        <f>HYPERLINK("https://lindat.mff.cuni.cz/services/SynSemClass55/SynSemClass55.html?veclass=vec00031", "vec00031 / mluvit (v41chxD)")</f>
        <v>vec00031 / mluvit (v41chxD)</v>
      </c>
      <c r="AA94">
        <v>2.069E-2</v>
      </c>
      <c r="AB94" t="s">
        <v>29</v>
      </c>
      <c r="AE94" t="str">
        <f>HYPERLINK("https://lindat.mff.cuni.cz/services/SynSemClass55/SynSemClass55.html?veclass=vec00690", "vec00690 / předčítat (v41hvqA)")</f>
        <v>vec00690 / předčítat (v41hvqA)</v>
      </c>
      <c r="AF94">
        <v>2.0619999999999999E-2</v>
      </c>
      <c r="AG94" t="s">
        <v>29</v>
      </c>
    </row>
    <row r="96" spans="1:33" x14ac:dyDescent="0.2">
      <c r="A96" t="str">
        <f>HYPERLINK("https://lindat.mff.cuni.cz/services/PDT-Vallex4.5/PDT-Vallex4.5.html?verb=loupit", "loupit")</f>
        <v>loupit</v>
      </c>
      <c r="B96" t="str">
        <f>HYPERLINK("https://lindat.mff.cuni.cz/services/PDT-Vallex4.5/PDT-Vallex4.5.html?verb=loupit#v41cciA", "v41cciA")</f>
        <v>v41cciA</v>
      </c>
      <c r="E96">
        <v>110</v>
      </c>
      <c r="F96">
        <v>0.11922000000000001</v>
      </c>
      <c r="G96" s="1" t="s">
        <v>32</v>
      </c>
      <c r="K96" t="str">
        <f>HYPERLINK("https://lindat.mff.cuni.cz/services/SynSemClass55/SynSemClass55.html?veclass=vec01303", "vec01303 / rabovat (v41jemB)")</f>
        <v>vec01303 / rabovat (v41jemB)</v>
      </c>
      <c r="L96">
        <v>0.11922000000000001</v>
      </c>
      <c r="M96" t="s">
        <v>31</v>
      </c>
      <c r="P96" t="str">
        <f>HYPERLINK("https://lindat.mff.cuni.cz/services/SynSemClass55/SynSemClass55.html?veclass=vec00657", "vec00657 / okrást (v41eskA)")</f>
        <v>vec00657 / okrást (v41eskA)</v>
      </c>
      <c r="Q96">
        <v>0.10952000000000001</v>
      </c>
      <c r="R96" t="s">
        <v>29</v>
      </c>
      <c r="U96" t="str">
        <f>HYPERLINK("https://lindat.mff.cuni.cz/services/SynSemClass55/SynSemClass55.html?veclass=vec01727", "vec01727 / clít (v41lnA)")</f>
        <v>vec01727 / clít (v41lnA)</v>
      </c>
      <c r="V96">
        <v>6.0560000000000003E-2</v>
      </c>
      <c r="W96" t="s">
        <v>29</v>
      </c>
      <c r="Z96" t="str">
        <f>HYPERLINK("https://lindat.mff.cuni.cz/services/SynSemClass55/SynSemClass55.html?veclass=vec01585", "vec01585 / oholit (v41eplA)")</f>
        <v>vec01585 / oholit (v41eplA)</v>
      </c>
      <c r="AA96">
        <v>4.1919999999999999E-2</v>
      </c>
      <c r="AB96" t="s">
        <v>29</v>
      </c>
      <c r="AE96" t="str">
        <f>HYPERLINK("https://lindat.mff.cuni.cz/services/SynSemClass55/SynSemClass55.html?veclass=vec00704", "vec00704 / sebrat (v41khhA)")</f>
        <v>vec00704 / sebrat (v41khhA)</v>
      </c>
      <c r="AF96">
        <v>3.1460000000000002E-2</v>
      </c>
      <c r="AG96" t="s">
        <v>29</v>
      </c>
    </row>
    <row r="98" spans="1:33" x14ac:dyDescent="0.2">
      <c r="A98" t="str">
        <f>HYPERLINK("https://lindat.mff.cuni.cz/services/PDT-Vallex4.5/PDT-Vallex4.5.html?verb=lpět", "lpět")</f>
        <v>lpět</v>
      </c>
      <c r="B98" t="str">
        <f>HYPERLINK("https://lindat.mff.cuni.cz/services/PDT-Vallex4.5/PDT-Vallex4.5.html?verb=lpět#v41ccnB", "v41ccnB")</f>
        <v>v41ccnB</v>
      </c>
      <c r="E98">
        <v>329</v>
      </c>
      <c r="F98">
        <v>0.13722999999999999</v>
      </c>
      <c r="G98" s="1" t="s">
        <v>65</v>
      </c>
      <c r="K98" t="str">
        <f>HYPERLINK("https://lindat.mff.cuni.cz/services/SynSemClass55/SynSemClass55.html?veclass=vec01040", "vec01040 / lpět (v41ccnA)")</f>
        <v>vec01040 / lpět (v41ccnA)</v>
      </c>
      <c r="L98">
        <v>0.13722999999999999</v>
      </c>
      <c r="M98" t="s">
        <v>29</v>
      </c>
      <c r="P98" t="str">
        <f>HYPERLINK("https://lindat.mff.cuni.cz/services/SynSemClass55/SynSemClass55.html?veclass=vec00742", "vec00742 / užívat si (v41nfrA)")</f>
        <v>vec00742 / užívat si (v41nfrA)</v>
      </c>
      <c r="Q98">
        <v>4.1779999999999998E-2</v>
      </c>
      <c r="R98" t="s">
        <v>29</v>
      </c>
      <c r="U98" t="str">
        <f>HYPERLINK("https://lindat.mff.cuni.cz/services/SynSemClass55/SynSemClass55.html?veclass=vec01200", "vec01200 / žebrat (v41seaA)")</f>
        <v>vec01200 / žebrat (v41seaA)</v>
      </c>
      <c r="V98">
        <v>4.1239999999999999E-2</v>
      </c>
      <c r="W98" t="s">
        <v>29</v>
      </c>
      <c r="Z98" t="str">
        <f>HYPERLINK("https://lindat.mff.cuni.cz/services/SynSemClass55/SynSemClass55.html?veclass=vec00520", "vec00520 / spoléhat (v41ldnA)")</f>
        <v>vec00520 / spoléhat (v41ldnA)</v>
      </c>
      <c r="AA98">
        <v>3.9660000000000001E-2</v>
      </c>
      <c r="AB98" t="s">
        <v>29</v>
      </c>
      <c r="AE98" t="str">
        <f>HYPERLINK("https://lindat.mff.cuni.cz/services/SynSemClass55/SynSemClass55.html?veclass=vec00877", "vec00877 / prahnout (v41gydA)")</f>
        <v>vec00877 / prahnout (v41gydA)</v>
      </c>
      <c r="AF98">
        <v>3.6220000000000002E-2</v>
      </c>
      <c r="AG98" t="s">
        <v>29</v>
      </c>
    </row>
    <row r="100" spans="1:33" x14ac:dyDescent="0.2">
      <c r="A100" t="str">
        <f>HYPERLINK("https://lindat.mff.cuni.cz/services/PDT-Vallex4.5/PDT-Vallex4.5.html?verb=migrovat", "migrovat")</f>
        <v>migrovat</v>
      </c>
      <c r="B100" t="str">
        <f>HYPERLINK("https://lindat.mff.cuni.cz/services/PDT-Vallex4.5/PDT-Vallex4.5.html?verb=migrovat#v41cgaB", "v41cgaB")</f>
        <v>v41cgaB</v>
      </c>
      <c r="E100">
        <v>5</v>
      </c>
      <c r="F100">
        <v>0.12667999999999999</v>
      </c>
      <c r="G100" s="1" t="s">
        <v>66</v>
      </c>
      <c r="K100" t="str">
        <f>HYPERLINK("https://lindat.mff.cuni.cz/services/SynSemClass55/SynSemClass55.html?veclass=vec00048", "vec00048 / odejít (v41dyrA)")</f>
        <v>vec00048 / odejít (v41dyrA)</v>
      </c>
      <c r="L100">
        <v>0.12667999999999999</v>
      </c>
      <c r="M100" t="s">
        <v>29</v>
      </c>
      <c r="P100" t="str">
        <f>HYPERLINK("https://lindat.mff.cuni.cz/services/SynSemClass55/SynSemClass55.html?veclass=vec00218", "vec00218 / dostat se (v41afyI)")</f>
        <v>vec00218 / dostat se (v41afyI)</v>
      </c>
      <c r="Q100">
        <v>0.11897000000000001</v>
      </c>
      <c r="R100" t="s">
        <v>29</v>
      </c>
      <c r="U100" t="str">
        <f>HYPERLINK("https://lindat.mff.cuni.cz/services/SynSemClass55/SynSemClass55.html?veclass=vec00685", "vec00685 / projít (v41hfiF)")</f>
        <v>vec00685 / projít (v41hfiF)</v>
      </c>
      <c r="V100">
        <v>0.10142</v>
      </c>
      <c r="W100" t="s">
        <v>29</v>
      </c>
      <c r="Z100" t="str">
        <f>HYPERLINK("https://lindat.mff.cuni.cz/services/SynSemClass55/SynSemClass55.html?veclass=vec00022", "vec00022 / hnout se (v41awhA)")</f>
        <v>vec00022 / hnout se (v41awhA)</v>
      </c>
      <c r="AA100">
        <v>5.9420000000000001E-2</v>
      </c>
      <c r="AB100" t="s">
        <v>29</v>
      </c>
      <c r="AE100" t="str">
        <f>HYPERLINK("https://lindat.mff.cuni.cz/services/SynSemClass55/SynSemClass55.html?veclass=vec00665", "vec00665 / plazit se (v41fnbA)")</f>
        <v>vec00665 / plazit se (v41fnbA)</v>
      </c>
      <c r="AF100">
        <v>5.4170000000000003E-2</v>
      </c>
      <c r="AG100" t="s">
        <v>29</v>
      </c>
    </row>
    <row r="102" spans="1:33" x14ac:dyDescent="0.2">
      <c r="A102" t="str">
        <f>HYPERLINK("https://lindat.mff.cuni.cz/services/PDT-Vallex4.5/PDT-Vallex4.5.html?verb=mizet", "mizet")</f>
        <v>mizet</v>
      </c>
      <c r="B102" t="str">
        <f>HYPERLINK("https://lindat.mff.cuni.cz/services/PDT-Vallex4.5/PDT-Vallex4.5.html?verb=mizet#v41chpA", "v41chpA")</f>
        <v>v41chpA</v>
      </c>
      <c r="E102">
        <v>1590</v>
      </c>
      <c r="F102">
        <v>0.47025</v>
      </c>
      <c r="G102" s="1" t="s">
        <v>67</v>
      </c>
      <c r="K102" t="str">
        <f>HYPERLINK("https://lindat.mff.cuni.cz/services/SynSemClass55/SynSemClass55.html?veclass=vec00755", "vec00755 / vymizet (v41okoA)")</f>
        <v>vec00755 / vymizet (v41okoA)</v>
      </c>
      <c r="L102">
        <v>0.47025</v>
      </c>
      <c r="M102" t="s">
        <v>29</v>
      </c>
      <c r="P102" t="str">
        <f>HYPERLINK("https://lindat.mff.cuni.cz/services/SynSemClass55/SynSemClass55.html?veclass=vec01885", "vec01885 / slehnout se (v41ksoA)")</f>
        <v>vec01885 / slehnout se (v41ksoA)</v>
      </c>
      <c r="Q102">
        <v>0.34312999999999999</v>
      </c>
      <c r="R102" t="s">
        <v>29</v>
      </c>
      <c r="U102" t="str">
        <f>HYPERLINK("https://lindat.mff.cuni.cz/services/SynSemClass55/SynSemClass55.html?veclass=vec00873", "vec00873 / pominout (v41gehB)")</f>
        <v>vec00873 / pominout (v41gehB)</v>
      </c>
      <c r="V102">
        <v>3.5020000000000003E-2</v>
      </c>
      <c r="W102" t="s">
        <v>29</v>
      </c>
      <c r="Z102" t="str">
        <f>HYPERLINK("https://lindat.mff.cuni.cz/services/SynSemClass55/SynSemClass55.html?veclass=vec01623", "vec01623 / zabloudit (v41ppiA)")</f>
        <v>vec01623 / zabloudit (v41ppiA)</v>
      </c>
      <c r="AA102">
        <v>2.3740000000000001E-2</v>
      </c>
      <c r="AB102" t="s">
        <v>29</v>
      </c>
      <c r="AE102" t="str">
        <f>HYPERLINK("https://lindat.mff.cuni.cz/services/SynSemClass55/SynSemClass55.html?veclass=vec00467", "vec00467 / padat (v41fhgG)")</f>
        <v>vec00467 / padat (v41fhgG)</v>
      </c>
      <c r="AF102">
        <v>1.439E-2</v>
      </c>
      <c r="AG102" t="s">
        <v>29</v>
      </c>
    </row>
    <row r="104" spans="1:33" x14ac:dyDescent="0.2">
      <c r="A104" t="str">
        <f>HYPERLINK("https://lindat.mff.cuni.cz/services/PDT-Vallex4.5/PDT-Vallex4.5.html?verb=mobilizovat", "mobilizovat")</f>
        <v>mobilizovat</v>
      </c>
      <c r="B104" t="str">
        <f>HYPERLINK("https://lindat.mff.cuni.cz/services/PDT-Vallex4.5/PDT-Vallex4.5.html?verb=mobilizovat#v41cidA", "v41cidA")</f>
        <v>v41cidA</v>
      </c>
      <c r="E104">
        <v>54</v>
      </c>
      <c r="F104">
        <v>0.78044999999999998</v>
      </c>
      <c r="G104" s="1" t="s">
        <v>68</v>
      </c>
      <c r="K104" t="str">
        <f>HYPERLINK("https://lindat.mff.cuni.cz/services/SynSemClass55/SynSemClass55.html?veclass=vec01765", "vec01765 / mobilizovat (v41cidB)")</f>
        <v>vec01765 / mobilizovat (v41cidB)</v>
      </c>
      <c r="L104">
        <v>0.78044999999999998</v>
      </c>
      <c r="M104" t="s">
        <v>29</v>
      </c>
      <c r="P104" t="str">
        <f>HYPERLINK("https://lindat.mff.cuni.cz/services/SynSemClass55/SynSemClass55.html?veclass=vec00443", "vec00443 / nashromáždit (v41dbbA)")</f>
        <v>vec00443 / nashromáždit (v41dbbA)</v>
      </c>
      <c r="Q104">
        <v>5.0259999999999999E-2</v>
      </c>
      <c r="R104" t="s">
        <v>29</v>
      </c>
      <c r="U104" t="str">
        <f>HYPERLINK("https://lindat.mff.cuni.cz/services/SynSemClass55/SynSemClass55.html?veclass=vec00038", "vec00038 / nastartovat (v41dcfA)")</f>
        <v>vec00038 / nastartovat (v41dcfA)</v>
      </c>
      <c r="V104">
        <v>2.274E-2</v>
      </c>
      <c r="W104" t="s">
        <v>29</v>
      </c>
      <c r="Z104" t="str">
        <f>HYPERLINK("https://lindat.mff.cuni.cz/services/SynSemClass55/SynSemClass55.html?veclass=vec00659", "vec00659 / opětovat (v41eviA)")</f>
        <v>vec00659 / opětovat (v41eviA)</v>
      </c>
      <c r="AA104">
        <v>1.7139999999999999E-2</v>
      </c>
      <c r="AB104" t="s">
        <v>29</v>
      </c>
      <c r="AE104" t="str">
        <f>HYPERLINK("https://lindat.mff.cuni.cz/services/SynSemClass55/SynSemClass55.html?veclass=vec00485", "vec00485 / povolat (v41guiA)")</f>
        <v>vec00485 / povolat (v41guiA)</v>
      </c>
      <c r="AF104">
        <v>1.6879999999999999E-2</v>
      </c>
      <c r="AG104" t="s">
        <v>29</v>
      </c>
    </row>
    <row r="106" spans="1:33" x14ac:dyDescent="0.2">
      <c r="A106" t="str">
        <f>HYPERLINK("https://lindat.mff.cuni.cz/services/PDT-Vallex4.5/PDT-Vallex4.5.html?verb=modulovat", "modulovat")</f>
        <v>modulovat</v>
      </c>
      <c r="B106" t="str">
        <f>HYPERLINK("https://lindat.mff.cuni.cz/services/PDT-Vallex4.5/PDT-Vallex4.5.html?verb=modulovat#v41ciuA", "v41ciuA")</f>
        <v>v41ciuA</v>
      </c>
      <c r="E106">
        <v>17</v>
      </c>
      <c r="F106">
        <v>0.44469999999999998</v>
      </c>
      <c r="G106" s="1">
        <v>0</v>
      </c>
      <c r="I106" s="1" t="s">
        <v>69</v>
      </c>
      <c r="K106" t="str">
        <f>HYPERLINK("https://lindat.mff.cuni.cz/services/SynSemClass55/SynSemClass55.html?veclass=vec00095", "vec00095 / přeměnit (v41iecA)")</f>
        <v>vec00095 / přeměnit (v41iecA)</v>
      </c>
      <c r="L106">
        <v>0.44469999999999998</v>
      </c>
      <c r="M106" t="s">
        <v>29</v>
      </c>
      <c r="P106" t="str">
        <f>HYPERLINK("https://lindat.mff.cuni.cz/services/SynSemClass55/SynSemClass55.html?veclass=vec01714", "vec01714 / zkřivit (v41rhlA)")</f>
        <v>vec01714 / zkřivit (v41rhlA)</v>
      </c>
      <c r="Q106">
        <v>7.3120000000000004E-2</v>
      </c>
      <c r="R106" t="s">
        <v>29</v>
      </c>
      <c r="U106" t="str">
        <f>HYPERLINK("https://lindat.mff.cuni.cz/services/SynSemClass55/SynSemClass55.html?veclass=vec00254", "vec00254 / ovlivnit (v41ffeA)")</f>
        <v>vec00254 / ovlivnit (v41ffeA)</v>
      </c>
      <c r="V106">
        <v>3.866E-2</v>
      </c>
      <c r="W106" t="s">
        <v>29</v>
      </c>
      <c r="Z106" t="str">
        <f>HYPERLINK("https://lindat.mff.cuni.cz/services/SynSemClass55/SynSemClass55.html?veclass=vec00944", "vec00944 / utvářet (v41nbtA)")</f>
        <v>vec00944 / utvářet (v41nbtA)</v>
      </c>
      <c r="AA106">
        <v>3.8330000000000003E-2</v>
      </c>
      <c r="AB106" t="s">
        <v>29</v>
      </c>
      <c r="AE106" t="str">
        <f>HYPERLINK("https://lindat.mff.cuni.cz/services/SynSemClass55/SynSemClass55.html?veclass=vec01788", "vec01788 / nastavit (v41dckD)")</f>
        <v>vec01788 / nastavit (v41dckD)</v>
      </c>
      <c r="AF106">
        <v>2.9479999999999999E-2</v>
      </c>
      <c r="AG106" t="s">
        <v>29</v>
      </c>
    </row>
    <row r="108" spans="1:33" x14ac:dyDescent="0.2">
      <c r="A108" t="str">
        <f>HYPERLINK("https://lindat.mff.cuni.cz/services/PDT-Vallex4.5/PDT-Vallex4.5.html?verb=nachmelit se", "nachmelit se")</f>
        <v>nachmelit se</v>
      </c>
      <c r="B108" t="str">
        <f>HYPERLINK("https://lindat.mff.cuni.cz/services/PDT-Vallex4.5/PDT-Vallex4.5.html?verb=nachmelit se#v41cqqA", "v41cqqA")</f>
        <v>v41cqqA</v>
      </c>
      <c r="E108">
        <v>1</v>
      </c>
      <c r="F108">
        <v>0.10714</v>
      </c>
      <c r="G108" s="1">
        <v>0</v>
      </c>
      <c r="I108" s="1" t="s">
        <v>70</v>
      </c>
      <c r="K108" t="str">
        <f>HYPERLINK("https://lindat.mff.cuni.cz/services/SynSemClass55/SynSemClass55.html?veclass=vec01219", "vec01219 / klouzat (v41bmaA)")</f>
        <v>vec01219 / klouzat (v41bmaA)</v>
      </c>
      <c r="L108">
        <v>0.10714</v>
      </c>
      <c r="M108" t="s">
        <v>29</v>
      </c>
      <c r="P108" t="str">
        <f>HYPERLINK("https://lindat.mff.cuni.cz/services/SynSemClass55/SynSemClass55.html?veclass=vec01813", "vec01813 / otipovat (v41fdhA)")</f>
        <v>vec01813 / otipovat (v41fdhA)</v>
      </c>
      <c r="Q108">
        <v>0.10310999999999999</v>
      </c>
      <c r="R108" t="s">
        <v>29</v>
      </c>
      <c r="U108" t="str">
        <f>HYPERLINK("https://lindat.mff.cuni.cz/services/SynSemClass55/SynSemClass55.html?veclass=vec01043", "vec01043 / mračit se (v41cjoA)")</f>
        <v>vec01043 / mračit se (v41cjoA)</v>
      </c>
      <c r="V108">
        <v>7.8359999999999999E-2</v>
      </c>
      <c r="W108" t="s">
        <v>29</v>
      </c>
      <c r="Z108" t="str">
        <f>HYPERLINK("https://lindat.mff.cuni.cz/services/SynSemClass55/SynSemClass55.html?veclass=vec01301", "vec01301 / přitvrdit (v41javA)")</f>
        <v>vec01301 / přitvrdit (v41javA)</v>
      </c>
      <c r="AA108">
        <v>6.2059999999999997E-2</v>
      </c>
      <c r="AB108" t="s">
        <v>29</v>
      </c>
      <c r="AE108" t="str">
        <f>HYPERLINK("https://lindat.mff.cuni.cz/services/SynSemClass55/SynSemClass55.html?veclass=vec01584", "vec01584 / oholit (v41eplB)")</f>
        <v>vec01584 / oholit (v41eplB)</v>
      </c>
      <c r="AF108">
        <v>6.1890000000000001E-2</v>
      </c>
      <c r="AG108" t="s">
        <v>29</v>
      </c>
    </row>
    <row r="110" spans="1:33" x14ac:dyDescent="0.2">
      <c r="A110" t="str">
        <f>HYPERLINK("https://lindat.mff.cuni.cz/services/PDT-Vallex4.5/PDT-Vallex4.5.html?verb=nalíčit", "nalíčit")</f>
        <v>nalíčit</v>
      </c>
      <c r="B110" t="str">
        <f>HYPERLINK("https://lindat.mff.cuni.cz/services/PDT-Vallex4.5/PDT-Vallex4.5.html?verb=nalíčit#v41cuaA", "v41cuaA")</f>
        <v>v41cuaA</v>
      </c>
      <c r="E110">
        <v>111</v>
      </c>
      <c r="F110">
        <v>8.9580000000000007E-2</v>
      </c>
      <c r="G110" s="1" t="s">
        <v>71</v>
      </c>
      <c r="I110" s="1" t="s">
        <v>72</v>
      </c>
      <c r="K110" t="str">
        <f>HYPERLINK("https://lindat.mff.cuni.cz/services/SynSemClass55/SynSemClass55.html?veclass=vec00684", "vec00684 / pročesávat (v41hbdA)")</f>
        <v>vec00684 / pročesávat (v41hbdA)</v>
      </c>
      <c r="L110">
        <v>8.9580000000000007E-2</v>
      </c>
      <c r="M110" t="s">
        <v>29</v>
      </c>
      <c r="P110" t="str">
        <f>HYPERLINK("https://lindat.mff.cuni.cz/services/SynSemClass55/SynSemClass55.html?veclass=vec00638", "vec00638 / namalovat (v41cutB)")</f>
        <v>vec00638 / namalovat (v41cutB)</v>
      </c>
      <c r="Q110">
        <v>8.8160000000000002E-2</v>
      </c>
      <c r="R110" t="s">
        <v>29</v>
      </c>
      <c r="U110" t="str">
        <f>HYPERLINK("https://lindat.mff.cuni.cz/services/SynSemClass55/SynSemClass55.html?veclass=vec01584", "vec01584 / oholit (v41eplB)")</f>
        <v>vec01584 / oholit (v41eplB)</v>
      </c>
      <c r="V110">
        <v>5.3010000000000002E-2</v>
      </c>
      <c r="W110" t="s">
        <v>29</v>
      </c>
      <c r="Z110" t="str">
        <f>HYPERLINK("https://lindat.mff.cuni.cz/services/SynSemClass55/SynSemClass55.html?veclass=vec01250", "vec01250 / opracovávat (v41ewzA)")</f>
        <v>vec01250 / opracovávat (v41ewzA)</v>
      </c>
      <c r="AA110">
        <v>4.1820000000000003E-2</v>
      </c>
      <c r="AB110" t="s">
        <v>29</v>
      </c>
      <c r="AE110" t="str">
        <f>HYPERLINK("https://lindat.mff.cuni.cz/services/SynSemClass55/SynSemClass55.html?veclass=vec00899", "vec00899 / připevnit (v41ivdA)")</f>
        <v>vec00899 / připevnit (v41ivdA)</v>
      </c>
      <c r="AF110">
        <v>3.5889999999999998E-2</v>
      </c>
      <c r="AG110" t="s">
        <v>29</v>
      </c>
    </row>
    <row r="112" spans="1:33" x14ac:dyDescent="0.2">
      <c r="A112" t="str">
        <f>HYPERLINK("https://lindat.mff.cuni.cz/services/PDT-Vallex4.5/PDT-Vallex4.5.html?verb=nařizovat", "nařizovat")</f>
        <v>nařizovat</v>
      </c>
      <c r="B112" t="str">
        <f>HYPERLINK("https://lindat.mff.cuni.cz/services/PDT-Vallex4.5/PDT-Vallex4.5.html?verb=nařizovat#v41daiB", "v41daiB")</f>
        <v>v41daiB</v>
      </c>
      <c r="E112">
        <v>310</v>
      </c>
      <c r="F112">
        <v>0.78763000000000005</v>
      </c>
      <c r="G112" s="1" t="s">
        <v>73</v>
      </c>
      <c r="K112" t="str">
        <f>HYPERLINK("https://lindat.mff.cuni.cz/services/SynSemClass55/SynSemClass55.html?veclass=vec01013", "vec01013 / diktovat (v41tyB)")</f>
        <v>vec01013 / diktovat (v41tyB)</v>
      </c>
      <c r="L112">
        <v>0.78763000000000005</v>
      </c>
      <c r="M112" t="s">
        <v>29</v>
      </c>
      <c r="P112" t="str">
        <f>HYPERLINK("https://lindat.mff.cuni.cz/services/SynSemClass55/SynSemClass55.html?veclass=vec01407", "vec01407 / nakládat (v41crzA)")</f>
        <v>vec01407 / nakládat (v41crzA)</v>
      </c>
      <c r="Q112">
        <v>3.0980000000000001E-2</v>
      </c>
      <c r="R112" t="s">
        <v>29</v>
      </c>
      <c r="U112" t="str">
        <f>HYPERLINK("https://lindat.mff.cuni.cz/services/SynSemClass55/SynSemClass55.html?veclass=vec00571", "vec00571 / zadat (v41prmA)")</f>
        <v>vec00571 / zadat (v41prmA)</v>
      </c>
      <c r="V112">
        <v>2.486E-2</v>
      </c>
      <c r="W112" t="s">
        <v>29</v>
      </c>
      <c r="Z112" t="str">
        <f>HYPERLINK("https://lindat.mff.cuni.cz/services/SynSemClass55/SynSemClass55.html?veclass=vec00302", "vec00302 / řídit (v41kegA)")</f>
        <v>vec00302 / řídit (v41kegA)</v>
      </c>
      <c r="AA112">
        <v>2.0299999999999999E-2</v>
      </c>
      <c r="AB112" t="s">
        <v>29</v>
      </c>
      <c r="AE112" t="str">
        <f>HYPERLINK("https://lindat.mff.cuni.cz/services/SynSemClass55/SynSemClass55.html?veclass=vec00827", "vec00827 / instruovat (v41bfuA)")</f>
        <v>vec00827 / instruovat (v41bfuA)</v>
      </c>
      <c r="AF112">
        <v>1.5520000000000001E-2</v>
      </c>
      <c r="AG112" t="s">
        <v>29</v>
      </c>
    </row>
    <row r="114" spans="1:33" x14ac:dyDescent="0.2">
      <c r="A114" t="str">
        <f>HYPERLINK("https://lindat.mff.cuni.cz/services/PDT-Vallex4.5/PDT-Vallex4.5.html?verb=natěsnat se", "natěsnat se")</f>
        <v>natěsnat se</v>
      </c>
      <c r="B114" t="str">
        <f>HYPERLINK("https://lindat.mff.cuni.cz/services/PDT-Vallex4.5/PDT-Vallex4.5.html?verb=natěsnat se#v41deqB", "v41deqB")</f>
        <v>v41deqB</v>
      </c>
      <c r="E114">
        <v>21</v>
      </c>
      <c r="F114">
        <v>0.37620999999999999</v>
      </c>
      <c r="G114" s="1" t="s">
        <v>32</v>
      </c>
      <c r="K114" t="str">
        <f>HYPERLINK("https://lindat.mff.cuni.cz/services/SynSemClass55/SynSemClass55.html?veclass=vec00833", "vec00833 / mačkat se (v41cdaA)")</f>
        <v>vec00833 / mačkat se (v41cdaA)</v>
      </c>
      <c r="L114">
        <v>0.37620999999999999</v>
      </c>
      <c r="M114" t="s">
        <v>31</v>
      </c>
      <c r="P114" t="str">
        <f>HYPERLINK("https://lindat.mff.cuni.cz/services/SynSemClass55/SynSemClass55.html?veclass=vec00899", "vec00899 / připevnit (v41ivdA)")</f>
        <v>vec00899 / připevnit (v41ivdA)</v>
      </c>
      <c r="Q114">
        <v>0.24609</v>
      </c>
      <c r="R114" t="s">
        <v>29</v>
      </c>
      <c r="U114" t="str">
        <f>HYPERLINK("https://lindat.mff.cuni.cz/services/SynSemClass55/SynSemClass55.html?veclass=vec00735", "vec00735 / umístit (v41motA)")</f>
        <v>vec00735 / umístit (v41motA)</v>
      </c>
      <c r="V114">
        <v>6.3829999999999998E-2</v>
      </c>
      <c r="W114" t="s">
        <v>29</v>
      </c>
      <c r="Z114" t="str">
        <f>HYPERLINK("https://lindat.mff.cuni.cz/services/SynSemClass55/SynSemClass55.html?veclass=vec00841", "vec00841 / nacpat (v41cmpB)")</f>
        <v>vec00841 / nacpat (v41cmpB)</v>
      </c>
      <c r="AA114">
        <v>5.3429999999999998E-2</v>
      </c>
      <c r="AB114" t="s">
        <v>29</v>
      </c>
      <c r="AE114" t="str">
        <f>HYPERLINK("https://lindat.mff.cuni.cz/services/SynSemClass55/SynSemClass55.html?veclass=vec00603", "vec00603 / balit (v41dsA)")</f>
        <v>vec00603 / balit (v41dsA)</v>
      </c>
      <c r="AF114">
        <v>2.6769999999999999E-2</v>
      </c>
      <c r="AG114" t="s">
        <v>29</v>
      </c>
    </row>
    <row r="116" spans="1:33" x14ac:dyDescent="0.2">
      <c r="A116" t="str">
        <f>HYPERLINK("https://lindat.mff.cuni.cz/services/PDT-Vallex4.5/PDT-Vallex4.5.html?verb=navádět", "navádět")</f>
        <v>navádět</v>
      </c>
      <c r="B116" t="str">
        <f>HYPERLINK("https://lindat.mff.cuni.cz/services/PDT-Vallex4.5/PDT-Vallex4.5.html?verb=navádět#v41dfmA", "v41dfmA")</f>
        <v>v41dfmA</v>
      </c>
      <c r="E116">
        <v>138</v>
      </c>
      <c r="F116">
        <v>0.37084</v>
      </c>
      <c r="G116" s="1">
        <v>0</v>
      </c>
      <c r="I116" s="1" t="s">
        <v>74</v>
      </c>
      <c r="K116" t="str">
        <f>HYPERLINK("https://lindat.mff.cuni.cz/services/SynSemClass55/SynSemClass55.html?veclass=vec01646", "vec01646 / nabádat (v41ckzA)")</f>
        <v>vec01646 / nabádat (v41ckzA)</v>
      </c>
      <c r="L116">
        <v>0.37084</v>
      </c>
      <c r="M116" t="s">
        <v>29</v>
      </c>
      <c r="P116" t="str">
        <f>HYPERLINK("https://lindat.mff.cuni.cz/services/SynSemClass55/SynSemClass55.html?veclass=vec00098", "vec00098 / přimět (v41iubA)")</f>
        <v>vec00098 / přimět (v41iubA)</v>
      </c>
      <c r="Q116">
        <v>9.8839999999999997E-2</v>
      </c>
      <c r="R116" t="s">
        <v>29</v>
      </c>
      <c r="U116" t="str">
        <f>HYPERLINK("https://lindat.mff.cuni.cz/services/SynSemClass55/SynSemClass55.html?veclass=vec00080", "vec00080 / povzbudit (v41gvfA)")</f>
        <v>vec00080 / povzbudit (v41gvfA)</v>
      </c>
      <c r="V116">
        <v>7.7869999999999995E-2</v>
      </c>
      <c r="W116" t="s">
        <v>29</v>
      </c>
      <c r="Z116" t="str">
        <f>HYPERLINK("https://lindat.mff.cuni.cz/services/SynSemClass55/SynSemClass55.html?veclass=vec00812", "vec00812 / dovést (v41aikC)")</f>
        <v>vec00812 / dovést (v41aikC)</v>
      </c>
      <c r="AA116">
        <v>6.3719999999999999E-2</v>
      </c>
      <c r="AB116" t="s">
        <v>29</v>
      </c>
      <c r="AE116" t="str">
        <f>HYPERLINK("https://lindat.mff.cuni.cz/services/SynSemClass55/SynSemClass55.html?veclass=vec01015", "vec01015 / dohánět (v41xrA)")</f>
        <v>vec01015 / dohánět (v41xrA)</v>
      </c>
      <c r="AF116">
        <v>6.0560000000000003E-2</v>
      </c>
      <c r="AG116" t="s">
        <v>29</v>
      </c>
    </row>
    <row r="118" spans="1:33" x14ac:dyDescent="0.2">
      <c r="A118" t="str">
        <f>HYPERLINK("https://lindat.mff.cuni.cz/services/PDT-Vallex4.5/PDT-Vallex4.5.html?verb=nažrat", "nažrat")</f>
        <v>nažrat</v>
      </c>
      <c r="B118" t="str">
        <f>HYPERLINK("https://lindat.mff.cuni.cz/services/PDT-Vallex4.5/PDT-Vallex4.5.html?verb=nažrat#v41dioA", "v41dioA")</f>
        <v>v41dioA</v>
      </c>
      <c r="E118">
        <v>103</v>
      </c>
      <c r="F118">
        <v>0.87751000000000001</v>
      </c>
      <c r="G118" s="1" t="s">
        <v>75</v>
      </c>
      <c r="I118" s="1" t="s">
        <v>60</v>
      </c>
      <c r="K118" t="str">
        <f>HYPERLINK("https://lindat.mff.cuni.cz/services/SynSemClass55/SynSemClass55.html?veclass=vec00828", "vec00828 / jíst (v41bifB)")</f>
        <v>vec00828 / jíst (v41bifB)</v>
      </c>
      <c r="L118">
        <v>0.87751000000000001</v>
      </c>
      <c r="M118" t="s">
        <v>29</v>
      </c>
      <c r="P118" t="str">
        <f>HYPERLINK("https://lindat.mff.cuni.cz/services/SynSemClass55/SynSemClass55.html?veclass=vec01514", "vec01514 / předávkovat (v41hvjA)")</f>
        <v>vec01514 / předávkovat (v41hvjA)</v>
      </c>
      <c r="Q118">
        <v>5.7340000000000002E-2</v>
      </c>
      <c r="R118" t="s">
        <v>29</v>
      </c>
      <c r="U118" t="str">
        <f>HYPERLINK("https://lindat.mff.cuni.cz/services/SynSemClass55/SynSemClass55.html?veclass=vec00624", "vec00624 / krmit (v41bvfA)")</f>
        <v>vec00624 / krmit (v41bvfA)</v>
      </c>
      <c r="V118">
        <v>2.206E-2</v>
      </c>
      <c r="W118" t="s">
        <v>29</v>
      </c>
      <c r="Z118" t="str">
        <f>HYPERLINK("https://lindat.mff.cuni.cz/services/SynSemClass55/SynSemClass55.html?veclass=vec00785", "vec00785 / zhoršit (v41rcrA)")</f>
        <v>vec00785 / zhoršit (v41rcrA)</v>
      </c>
      <c r="AA118">
        <v>1.6760000000000001E-2</v>
      </c>
      <c r="AB118" t="s">
        <v>29</v>
      </c>
      <c r="AE118" t="str">
        <f>HYPERLINK("https://lindat.mff.cuni.cz/services/SynSemClass55/SynSemClass55.html?veclass=vec01491", "vec01491 / fasovat (v41appA)")</f>
        <v>vec01491 / fasovat (v41appA)</v>
      </c>
      <c r="AF118">
        <v>1.456E-2</v>
      </c>
      <c r="AG118" t="s">
        <v>29</v>
      </c>
    </row>
    <row r="120" spans="1:33" x14ac:dyDescent="0.2">
      <c r="A120" t="str">
        <f>HYPERLINK("https://lindat.mff.cuni.cz/services/PDT-Vallex4.5/PDT-Vallex4.5.html?verb=nechat si", "nechat si")</f>
        <v>nechat si</v>
      </c>
      <c r="B120" t="str">
        <f>HYPERLINK("https://lindat.mff.cuni.cz/services/PDT-Vallex4.5/PDT-Vallex4.5.html?verb=nechat si#v41djdA", "v41djdA")</f>
        <v>v41djdA</v>
      </c>
      <c r="E120">
        <v>5000</v>
      </c>
      <c r="F120">
        <v>0.39972000000000002</v>
      </c>
      <c r="G120" s="1">
        <v>0</v>
      </c>
      <c r="I120" s="1" t="s">
        <v>76</v>
      </c>
      <c r="K120" t="str">
        <f>HYPERLINK("https://lindat.mff.cuni.cz/services/SynSemClass55/SynSemClass55.html?veclass=vec01206", "vec01206 / dát (v41plY)")</f>
        <v>vec01206 / dát (v41plY)</v>
      </c>
      <c r="L120">
        <v>0.39972000000000002</v>
      </c>
      <c r="M120" t="s">
        <v>29</v>
      </c>
      <c r="P120" t="str">
        <f>HYPERLINK("https://lindat.mff.cuni.cz/services/SynSemClass55/SynSemClass55.html?veclass=vec00575", "vec00575 / zanechat (v41qdeC)")</f>
        <v>vec00575 / zanechat (v41qdeC)</v>
      </c>
      <c r="Q120">
        <v>0.19423000000000001</v>
      </c>
      <c r="R120" t="s">
        <v>29</v>
      </c>
      <c r="U120" t="str">
        <f>HYPERLINK("https://lindat.mff.cuni.cz/services/SynSemClass55/SynSemClass55.html?veclass=vec00012", "vec00012 / dovolit (v41aiqA)")</f>
        <v>vec00012 / dovolit (v41aiqA)</v>
      </c>
      <c r="V120">
        <v>0.19056000000000001</v>
      </c>
      <c r="W120" t="s">
        <v>29</v>
      </c>
      <c r="Z120" t="str">
        <f>HYPERLINK("https://lindat.mff.cuni.cz/services/SynSemClass55/SynSemClass55.html?veclass=vec00072", "vec00072 / ponechat (v41gfhC)")</f>
        <v>vec00072 / ponechat (v41gfhC)</v>
      </c>
      <c r="AA120">
        <v>5.1769999999999997E-2</v>
      </c>
      <c r="AB120" t="s">
        <v>29</v>
      </c>
      <c r="AE120" t="str">
        <f>HYPERLINK("https://lindat.mff.cuni.cz/services/SynSemClass55/SynSemClass55.html?veclass=vec01639", "vec01639 / dopustit (v41aedA)")</f>
        <v>vec01639 / dopustit (v41aedA)</v>
      </c>
      <c r="AF120">
        <v>2.2419999999999999E-2</v>
      </c>
      <c r="AG120" t="s">
        <v>29</v>
      </c>
    </row>
    <row r="122" spans="1:33" x14ac:dyDescent="0.2">
      <c r="A122" t="str">
        <f>HYPERLINK("https://lindat.mff.cuni.cz/services/PDT-Vallex4.5/PDT-Vallex4.5.html?verb=nutit", "nutit")</f>
        <v>nutit</v>
      </c>
      <c r="B122" t="str">
        <f>HYPERLINK("https://lindat.mff.cuni.cz/services/PDT-Vallex4.5/PDT-Vallex4.5.html?verb=nutit#v41dmgA", "v41dmgA")</f>
        <v>v41dmgA</v>
      </c>
      <c r="E122">
        <v>2915</v>
      </c>
      <c r="F122">
        <v>0.58835999999999999</v>
      </c>
      <c r="G122" s="1" t="s">
        <v>32</v>
      </c>
      <c r="K122" t="str">
        <f>HYPERLINK("https://lindat.mff.cuni.cz/services/SynSemClass55/SynSemClass55.html?veclass=vec00098", "vec00098 / přimět (v41iubA)")</f>
        <v>vec00098 / přimět (v41iubA)</v>
      </c>
      <c r="L122">
        <v>0.58835999999999999</v>
      </c>
      <c r="M122" t="s">
        <v>29</v>
      </c>
      <c r="P122" t="str">
        <f>HYPERLINK("https://lindat.mff.cuni.cz/services/SynSemClass55/SynSemClass55.html?veclass=vec01013", "vec01013 / diktovat (v41tyB)")</f>
        <v>vec01013 / diktovat (v41tyB)</v>
      </c>
      <c r="Q122">
        <v>0.14544000000000001</v>
      </c>
      <c r="R122" t="s">
        <v>29</v>
      </c>
      <c r="U122" t="str">
        <f>HYPERLINK("https://lindat.mff.cuni.cz/services/SynSemClass55/SynSemClass55.html?veclass=vec00743", "vec00743 / vnutit (v41nokA)")</f>
        <v>vec00743 / vnutit (v41nokA)</v>
      </c>
      <c r="V122">
        <v>9.7619999999999998E-2</v>
      </c>
      <c r="W122" t="s">
        <v>31</v>
      </c>
      <c r="Z122" t="str">
        <f>HYPERLINK("https://lindat.mff.cuni.cz/services/SynSemClass55/SynSemClass55.html?veclass=vec00272", "vec00272 / požadovat (v41gxnA)")</f>
        <v>vec00272 / požadovat (v41gxnA)</v>
      </c>
      <c r="AA122">
        <v>2.7969999999999998E-2</v>
      </c>
      <c r="AB122" t="s">
        <v>29</v>
      </c>
      <c r="AE122" t="str">
        <f>HYPERLINK("https://lindat.mff.cuni.cz/services/SynSemClass55/SynSemClass55.html?veclass=vec01015", "vec01015 / dohánět (v41xrA)")</f>
        <v>vec01015 / dohánět (v41xrA)</v>
      </c>
      <c r="AF122">
        <v>2.078E-2</v>
      </c>
      <c r="AG122" t="s">
        <v>29</v>
      </c>
    </row>
    <row r="124" spans="1:33" x14ac:dyDescent="0.2">
      <c r="A124" t="str">
        <f>HYPERLINK("https://lindat.mff.cuni.cz/services/PDT-Vallex4.5/PDT-Vallex4.5.html?verb=obíhat", "obíhat")</f>
        <v>obíhat</v>
      </c>
      <c r="B124" t="str">
        <f>HYPERLINK("https://lindat.mff.cuni.cz/services/PDT-Vallex4.5/PDT-Vallex4.5.html?verb=obíhat#v41dpdA", "v41dpdA")</f>
        <v>v41dpdA</v>
      </c>
      <c r="E124">
        <v>152</v>
      </c>
      <c r="F124">
        <v>0.10001</v>
      </c>
      <c r="G124" s="1">
        <v>0</v>
      </c>
      <c r="I124" s="1" t="s">
        <v>77</v>
      </c>
      <c r="K124" t="str">
        <f>HYPERLINK("https://lindat.mff.cuni.cz/services/SynSemClass55/SynSemClass55.html?veclass=vec00831", "vec00831 / kroužit (v41bvnA)")</f>
        <v>vec00831 / kroužit (v41bvnA)</v>
      </c>
      <c r="L124">
        <v>0.10001</v>
      </c>
      <c r="M124" t="s">
        <v>29</v>
      </c>
      <c r="P124" t="str">
        <f>HYPERLINK("https://lindat.mff.cuni.cz/services/SynSemClass55/SynSemClass55.html?veclass=vec00922", "vec00922 / skotačit (v41kriA)")</f>
        <v>vec00922 / skotačit (v41kriA)</v>
      </c>
      <c r="Q124">
        <v>6.1719999999999997E-2</v>
      </c>
      <c r="R124" t="s">
        <v>29</v>
      </c>
      <c r="U124" t="str">
        <f>HYPERLINK("https://lindat.mff.cuni.cz/services/SynSemClass55/SynSemClass55.html?veclass=vec00882", "vec00882 / projet (v41hfaE)")</f>
        <v>vec00882 / projet (v41hfaE)</v>
      </c>
      <c r="V124">
        <v>5.9139999999999998E-2</v>
      </c>
      <c r="W124" t="s">
        <v>29</v>
      </c>
      <c r="Z124" t="str">
        <f>HYPERLINK("https://lindat.mff.cuni.cz/services/SynSemClass55/SynSemClass55.html?veclass=vec01567", "vec01567 / míjet (v41cggB)")</f>
        <v>vec01567 / míjet (v41cggB)</v>
      </c>
      <c r="AA124">
        <v>4.5879999999999997E-2</v>
      </c>
      <c r="AB124" t="s">
        <v>29</v>
      </c>
      <c r="AE124" t="str">
        <f>HYPERLINK("https://lindat.mff.cuni.cz/services/SynSemClass55/SynSemClass55.html?veclass=vec01566", "vec01566 / míhat se (v41cgbA)")</f>
        <v>vec01566 / míhat se (v41cgbA)</v>
      </c>
      <c r="AF124">
        <v>4.4499999999999998E-2</v>
      </c>
      <c r="AG124" t="s">
        <v>29</v>
      </c>
    </row>
    <row r="126" spans="1:33" x14ac:dyDescent="0.2">
      <c r="A126" t="str">
        <f>HYPERLINK("https://lindat.mff.cuni.cz/services/PDT-Vallex4.5/PDT-Vallex4.5.html?verb=objednat", "objednat")</f>
        <v>objednat</v>
      </c>
      <c r="B126" t="str">
        <f>HYPERLINK("https://lindat.mff.cuni.cz/services/PDT-Vallex4.5/PDT-Vallex4.5.html?verb=objednat#v41dpjB", "v41dpjB")</f>
        <v>v41dpjB</v>
      </c>
      <c r="E126">
        <v>1847</v>
      </c>
      <c r="F126">
        <v>0.67652999999999996</v>
      </c>
      <c r="G126" s="1">
        <v>0</v>
      </c>
      <c r="I126" s="1" t="s">
        <v>78</v>
      </c>
      <c r="K126" t="str">
        <f>HYPERLINK("https://lindat.mff.cuni.cz/services/SynSemClass55/SynSemClass55.html?veclass=vec00451", "vec00451 / objednat (v41dpjA)")</f>
        <v>vec00451 / objednat (v41dpjA)</v>
      </c>
      <c r="L126">
        <v>0.67652999999999996</v>
      </c>
      <c r="M126" t="s">
        <v>29</v>
      </c>
      <c r="P126" t="str">
        <f>HYPERLINK("https://lindat.mff.cuni.cz/services/SynSemClass55/SynSemClass55.html?veclass=vec00178", "vec00178 / zajistit (v41pvyA)")</f>
        <v>vec00178 / zajistit (v41pvyA)</v>
      </c>
      <c r="Q126">
        <v>0.21149000000000001</v>
      </c>
      <c r="R126" t="s">
        <v>29</v>
      </c>
      <c r="U126" t="str">
        <f>HYPERLINK("https://lindat.mff.cuni.cz/services/SynSemClass55/SynSemClass55.html?veclass=vec00532", "vec00532 / účtovat si (v41mhjB)")</f>
        <v>vec00532 / účtovat si (v41mhjB)</v>
      </c>
      <c r="V126">
        <v>2.2450000000000001E-2</v>
      </c>
      <c r="W126" t="s">
        <v>29</v>
      </c>
      <c r="Z126" t="str">
        <f>HYPERLINK("https://lindat.mff.cuni.cz/services/SynSemClass55/SynSemClass55.html?veclass=vec00778", "vec00778 / zaúčtovat (v41qrdA)")</f>
        <v>vec00778 / zaúčtovat (v41qrdA)</v>
      </c>
      <c r="AA126">
        <v>1.685E-2</v>
      </c>
      <c r="AB126" t="s">
        <v>29</v>
      </c>
      <c r="AE126" t="str">
        <f>HYPERLINK("https://lindat.mff.cuni.cz/services/SynSemClass55/SynSemClass55.html?veclass=vec01013", "vec01013 / diktovat (v41tyB)")</f>
        <v>vec01013 / diktovat (v41tyB)</v>
      </c>
      <c r="AF126">
        <v>1.6060000000000001E-2</v>
      </c>
      <c r="AG126" t="s">
        <v>29</v>
      </c>
    </row>
    <row r="128" spans="1:33" x14ac:dyDescent="0.2">
      <c r="A128" t="str">
        <f>HYPERLINK("https://lindat.mff.cuni.cz/services/PDT-Vallex4.5/PDT-Vallex4.5.html?verb=obnosit", "obnosit")</f>
        <v>obnosit</v>
      </c>
      <c r="B128" t="str">
        <f>HYPERLINK("https://lindat.mff.cuni.cz/services/PDT-Vallex4.5/PDT-Vallex4.5.html?verb=obnosit#v41drfA", "v41drfA")</f>
        <v>v41drfA</v>
      </c>
      <c r="E128">
        <v>8</v>
      </c>
      <c r="F128">
        <v>7.9600000000000004E-2</v>
      </c>
      <c r="G128" s="1">
        <v>0</v>
      </c>
      <c r="I128" s="1" t="s">
        <v>79</v>
      </c>
      <c r="K128" t="str">
        <f>HYPERLINK("https://lindat.mff.cuni.cz/services/SynSemClass55/SynSemClass55.html?veclass=vec00011", "vec00011 / dovézt (v41ailB)")</f>
        <v>vec00011 / dovézt (v41ailB)</v>
      </c>
      <c r="L128">
        <v>7.9600000000000004E-2</v>
      </c>
      <c r="M128" t="s">
        <v>29</v>
      </c>
      <c r="P128" t="str">
        <f>HYPERLINK("https://lindat.mff.cuni.cz/services/SynSemClass55/SynSemClass55.html?veclass=vec00380", "vec00380 / zbavit se (v41qvrA)")</f>
        <v>vec00380 / zbavit se (v41qvrA)</v>
      </c>
      <c r="Q128">
        <v>7.578E-2</v>
      </c>
      <c r="R128" t="s">
        <v>29</v>
      </c>
      <c r="U128" t="str">
        <f>HYPERLINK("https://lindat.mff.cuni.cz/services/SynSemClass55/SynSemClass55.html?veclass=vec00790", "vec00790 / zkazit se (v41rfkA)")</f>
        <v>vec00790 / zkazit se (v41rfkA)</v>
      </c>
      <c r="V128">
        <v>6.0220000000000003E-2</v>
      </c>
      <c r="W128" t="s">
        <v>29</v>
      </c>
      <c r="Z128" t="str">
        <f>HYPERLINK("https://lindat.mff.cuni.cz/services/SynSemClass55/SynSemClass55.html?veclass=vec01517", "vec01517 / rozhořet se (v41jquA)")</f>
        <v>vec01517 / rozhořet se (v41jquA)</v>
      </c>
      <c r="AA128">
        <v>4.7329999999999997E-2</v>
      </c>
      <c r="AB128" t="s">
        <v>29</v>
      </c>
      <c r="AE128" t="str">
        <f>HYPERLINK("https://lindat.mff.cuni.cz/services/SynSemClass55/SynSemClass55.html?veclass=vec01146", "vec01146 / vléci (v41nmzA)")</f>
        <v>vec01146 / vléci (v41nmzA)</v>
      </c>
      <c r="AF128">
        <v>4.5760000000000002E-2</v>
      </c>
      <c r="AG128" t="s">
        <v>29</v>
      </c>
    </row>
    <row r="130" spans="1:33" x14ac:dyDescent="0.2">
      <c r="A130" t="str">
        <f>HYPERLINK("https://lindat.mff.cuni.cz/services/PDT-Vallex4.5/PDT-Vallex4.5.html?verb=obrnit si", "obrnit si")</f>
        <v>obrnit si</v>
      </c>
      <c r="B130" t="str">
        <f>HYPERLINK("https://lindat.mff.cuni.cz/services/PDT-Vallex4.5/PDT-Vallex4.5.html?verb=obrnit si#v41dsjA", "v41dsjA")</f>
        <v>v41dsjA</v>
      </c>
      <c r="E130">
        <v>118</v>
      </c>
      <c r="F130">
        <v>9.6970000000000001E-2</v>
      </c>
      <c r="G130" s="1">
        <v>0</v>
      </c>
      <c r="H130" s="1" t="s">
        <v>81</v>
      </c>
      <c r="I130" s="1" t="s">
        <v>80</v>
      </c>
      <c r="K130" t="str">
        <f>HYPERLINK("https://lindat.mff.cuni.cz/services/SynSemClass55/SynSemClass55.html?veclass=vec01415", "vec01415 / odzbrojit (v41eobB)")</f>
        <v>vec01415 / odzbrojit (v41eobB)</v>
      </c>
      <c r="L130">
        <v>9.6970000000000001E-2</v>
      </c>
      <c r="M130" t="s">
        <v>29</v>
      </c>
      <c r="P130" t="str">
        <f>HYPERLINK("https://lindat.mff.cuni.cz/services/SynSemClass55/SynSemClass55.html?veclass=vec00024", "vec00024 / chránit (v41bbwA)")</f>
        <v>vec00024 / chránit (v41bbwA)</v>
      </c>
      <c r="Q130">
        <v>6.5659999999999996E-2</v>
      </c>
      <c r="R130" t="s">
        <v>29</v>
      </c>
      <c r="U130" t="str">
        <f>HYPERLINK("https://lindat.mff.cuni.cz/services/SynSemClass55/SynSemClass55.html?veclass=vec00752", "vec00752 / vybavit (v41ntgA)")</f>
        <v>vec00752 / vybavit (v41ntgA)</v>
      </c>
      <c r="V130">
        <v>4.0800000000000003E-2</v>
      </c>
      <c r="W130" t="s">
        <v>29</v>
      </c>
      <c r="Z130" t="str">
        <f>HYPERLINK("https://lindat.mff.cuni.cz/services/SynSemClass55/SynSemClass55.html?veclass=vec00178", "vec00178 / zajistit (v41pvyA)")</f>
        <v>vec00178 / zajistit (v41pvyA)</v>
      </c>
      <c r="AA130">
        <v>2.869E-2</v>
      </c>
      <c r="AB130" t="s">
        <v>29</v>
      </c>
      <c r="AE130" t="str">
        <f>HYPERLINK("https://lindat.mff.cuni.cz/services/SynSemClass55/SynSemClass55.html?veclass=vec01500", "vec01500 / obouvat (v41drsA)")</f>
        <v>vec01500 / obouvat (v41drsA)</v>
      </c>
      <c r="AF130">
        <v>2.8479999999999998E-2</v>
      </c>
      <c r="AG130" t="s">
        <v>29</v>
      </c>
    </row>
    <row r="132" spans="1:33" x14ac:dyDescent="0.2">
      <c r="A132" t="str">
        <f>HYPERLINK("https://lindat.mff.cuni.cz/services/PDT-Vallex4.5/PDT-Vallex4.5.html?verb=obrůstat", "obrůstat")</f>
        <v>obrůstat</v>
      </c>
      <c r="B132" t="str">
        <f>HYPERLINK("https://lindat.mff.cuni.cz/services/PDT-Vallex4.5/PDT-Vallex4.5.html?verb=obrůstat#v41dspA", "v41dspA")</f>
        <v>v41dspA</v>
      </c>
      <c r="E132">
        <v>57</v>
      </c>
      <c r="F132">
        <v>8.029E-2</v>
      </c>
      <c r="G132" s="1" t="s">
        <v>32</v>
      </c>
      <c r="K132" t="str">
        <f>HYPERLINK("https://lindat.mff.cuni.cz/services/SynSemClass55/SynSemClass55.html?veclass=vec01968", "vec01968 / zarůstat (v41qivA)")</f>
        <v>vec01968 / zarůstat (v41qivA)</v>
      </c>
      <c r="L132">
        <v>8.029E-2</v>
      </c>
      <c r="M132" t="s">
        <v>31</v>
      </c>
      <c r="P132" t="str">
        <f>HYPERLINK("https://lindat.mff.cuni.cz/services/SynSemClass55/SynSemClass55.html?veclass=vec00660", "vec00660 / oplodnit (v41ewdA)")</f>
        <v>vec00660 / oplodnit (v41ewdA)</v>
      </c>
      <c r="Q132">
        <v>6.0159999999999998E-2</v>
      </c>
      <c r="R132" t="s">
        <v>29</v>
      </c>
      <c r="U132" t="str">
        <f>HYPERLINK("https://lindat.mff.cuni.cz/services/SynSemClass55/SynSemClass55.html?veclass=vec00984", "vec00984 / zalidnit (v41pzvA)")</f>
        <v>vec00984 / zalidnit (v41pzvA)</v>
      </c>
      <c r="V132">
        <v>4.3729999999999998E-2</v>
      </c>
      <c r="W132" t="s">
        <v>29</v>
      </c>
      <c r="Z132" t="str">
        <f>HYPERLINK("https://lindat.mff.cuni.cz/services/SynSemClass55/SynSemClass55.html?veclass=vec00836", "vec00836 / množit se (v41cicA)")</f>
        <v>vec00836 / množit se (v41cicA)</v>
      </c>
      <c r="AA132">
        <v>3.5740000000000001E-2</v>
      </c>
      <c r="AB132" t="s">
        <v>29</v>
      </c>
      <c r="AE132" t="str">
        <f>HYPERLINK("https://lindat.mff.cuni.cz/services/SynSemClass55/SynSemClass55.html?veclass=vec00872", "vec00872 / pokrýt (v41gbrC)")</f>
        <v>vec00872 / pokrýt (v41gbrC)</v>
      </c>
      <c r="AF132">
        <v>3.4279999999999998E-2</v>
      </c>
      <c r="AG132" t="s">
        <v>29</v>
      </c>
    </row>
    <row r="134" spans="1:33" x14ac:dyDescent="0.2">
      <c r="A134" t="str">
        <f>HYPERLINK("https://lindat.mff.cuni.cz/services/PDT-Vallex4.5/PDT-Vallex4.5.html?verb=obstarávat", "obstarávat")</f>
        <v>obstarávat</v>
      </c>
      <c r="B134" t="str">
        <f>HYPERLINK("https://lindat.mff.cuni.cz/services/PDT-Vallex4.5/PDT-Vallex4.5.html?verb=obstarávat#v41dthA", "v41dthA")</f>
        <v>v41dthA</v>
      </c>
      <c r="E134">
        <v>186</v>
      </c>
      <c r="F134">
        <v>0.88607000000000002</v>
      </c>
      <c r="G134" s="1" t="s">
        <v>82</v>
      </c>
      <c r="K134" t="str">
        <f>HYPERLINK("https://lindat.mff.cuni.cz/services/SynSemClass55/SynSemClass55.html?veclass=vec00178", "vec00178 / zajistit (v41pvyA)")</f>
        <v>vec00178 / zajistit (v41pvyA)</v>
      </c>
      <c r="L134">
        <v>0.88607000000000002</v>
      </c>
      <c r="M134" t="s">
        <v>29</v>
      </c>
      <c r="P134" t="str">
        <f>HYPERLINK("https://lindat.mff.cuni.cz/services/SynSemClass55/SynSemClass55.html?veclass=vec00752", "vec00752 / vybavit (v41ntgA)")</f>
        <v>vec00752 / vybavit (v41ntgA)</v>
      </c>
      <c r="Q134">
        <v>0.11122</v>
      </c>
      <c r="R134" t="s">
        <v>29</v>
      </c>
      <c r="U134" t="str">
        <f>HYPERLINK("https://lindat.mff.cuni.cz/services/SynSemClass55/SynSemClass55.html?veclass=vec00024", "vec00024 / chránit (v41bbwA)")</f>
        <v>vec00024 / chránit (v41bbwA)</v>
      </c>
      <c r="V134">
        <v>1.6729999999999998E-2</v>
      </c>
      <c r="W134" t="s">
        <v>29</v>
      </c>
      <c r="Z134" t="str">
        <f>HYPERLINK("https://lindat.mff.cuni.cz/services/SynSemClass55/SynSemClass55.html?veclass=vec00272", "vec00272 / požadovat (v41gxnA)")</f>
        <v>vec00272 / požadovat (v41gxnA)</v>
      </c>
      <c r="AA134">
        <v>1.5129999999999999E-2</v>
      </c>
      <c r="AB134" t="s">
        <v>29</v>
      </c>
      <c r="AE134" t="str">
        <f>HYPERLINK("https://lindat.mff.cuni.cz/services/SynSemClass55/SynSemClass55.html?veclass=vec00735", "vec00735 / umístit (v41motA)")</f>
        <v>vec00735 / umístit (v41motA)</v>
      </c>
      <c r="AF134">
        <v>1.507E-2</v>
      </c>
      <c r="AG134" t="s">
        <v>29</v>
      </c>
    </row>
    <row r="136" spans="1:33" x14ac:dyDescent="0.2">
      <c r="A136" t="str">
        <f>HYPERLINK("https://lindat.mff.cuni.cz/services/PDT-Vallex4.5/PDT-Vallex4.5.html?verb=očarovávat", "očarovávat")</f>
        <v>očarovávat</v>
      </c>
      <c r="B136" t="str">
        <f>HYPERLINK("https://lindat.mff.cuni.cz/services/PDT-Vallex4.5/PDT-Vallex4.5.html?verb=očarovávat#v41dvaA", "v41dvaA")</f>
        <v>v41dvaA</v>
      </c>
      <c r="E136">
        <v>8</v>
      </c>
      <c r="F136">
        <v>0.76070000000000004</v>
      </c>
      <c r="G136" s="1" t="s">
        <v>83</v>
      </c>
      <c r="K136" t="str">
        <f>HYPERLINK("https://lindat.mff.cuni.cz/services/SynSemClass55/SynSemClass55.html?veclass=vec00609", "vec00609 / fascinovat (v41apoA)")</f>
        <v>vec00609 / fascinovat (v41apoA)</v>
      </c>
      <c r="L136">
        <v>0.76070000000000004</v>
      </c>
      <c r="M136" t="s">
        <v>29</v>
      </c>
      <c r="P136" t="str">
        <f>HYPERLINK("https://lindat.mff.cuni.cz/services/SynSemClass55/SynSemClass55.html?veclass=vec00188", "vec00188 / získat (v41reiD)")</f>
        <v>vec00188 / získat (v41reiD)</v>
      </c>
      <c r="Q136">
        <v>6.7239999999999994E-2</v>
      </c>
      <c r="R136" t="s">
        <v>29</v>
      </c>
      <c r="U136" t="str">
        <f>HYPERLINK("https://lindat.mff.cuni.cz/services/SynSemClass55/SynSemClass55.html?veclass=vec00860", "vec00860 / ošálit (v41fbsA)")</f>
        <v>vec00860 / ošálit (v41fbsA)</v>
      </c>
      <c r="V136">
        <v>3.1960000000000002E-2</v>
      </c>
      <c r="W136" t="s">
        <v>29</v>
      </c>
      <c r="Z136" t="str">
        <f>HYPERLINK("https://lindat.mff.cuni.cz/services/SynSemClass55/SynSemClass55.html?veclass=vec00773", "vec00773 / zapůsobit (v41qhzA)")</f>
        <v>vec00773 / zapůsobit (v41qhzA)</v>
      </c>
      <c r="AA136">
        <v>1.453E-2</v>
      </c>
      <c r="AB136" t="s">
        <v>29</v>
      </c>
      <c r="AE136" t="str">
        <f>HYPERLINK("https://lindat.mff.cuni.cz/services/SynSemClass55/SynSemClass55.html?veclass=vec00671", "vec00671 / podvést (v41fwbB)")</f>
        <v>vec00671 / podvést (v41fwbB)</v>
      </c>
      <c r="AF136">
        <v>1.414E-2</v>
      </c>
      <c r="AG136" t="s">
        <v>29</v>
      </c>
    </row>
    <row r="138" spans="1:33" x14ac:dyDescent="0.2">
      <c r="A138" t="str">
        <f>HYPERLINK("https://lindat.mff.cuni.cz/services/PDT-Vallex4.5/PDT-Vallex4.5.html?verb=odcizit", "odcizit")</f>
        <v>odcizit</v>
      </c>
      <c r="B138" t="str">
        <f>HYPERLINK("https://lindat.mff.cuni.cz/services/PDT-Vallex4.5/PDT-Vallex4.5.html?verb=odcizit#v41dwrB", "v41dwrB")</f>
        <v>v41dwrB</v>
      </c>
      <c r="E138">
        <v>157</v>
      </c>
      <c r="F138">
        <v>0.15074000000000001</v>
      </c>
      <c r="G138" s="1">
        <v>0</v>
      </c>
      <c r="I138" s="1" t="s">
        <v>84</v>
      </c>
      <c r="K138" t="str">
        <f>HYPERLINK("https://lindat.mff.cuni.cz/services/SynSemClass55/SynSemClass55.html?veclass=vec00047", "vec00047 / oddělit (v41dxvA)")</f>
        <v>vec00047 / oddělit (v41dxvA)</v>
      </c>
      <c r="L138">
        <v>0.15074000000000001</v>
      </c>
      <c r="M138" t="s">
        <v>29</v>
      </c>
      <c r="P138" t="str">
        <f>HYPERLINK("https://lindat.mff.cuni.cz/services/SynSemClass55/SynSemClass55.html?veclass=vec00905", "vec00905 / rozejít se (v41joqA)")</f>
        <v>vec00905 / rozejít se (v41joqA)</v>
      </c>
      <c r="Q138">
        <v>8.9749999999999996E-2</v>
      </c>
      <c r="R138" t="s">
        <v>29</v>
      </c>
      <c r="U138" t="str">
        <f>HYPERLINK("https://lindat.mff.cuni.cz/services/SynSemClass55/SynSemClass55.html?veclass=vec01538", "vec01538 / vyloupnout (v41ojcA)")</f>
        <v>vec01538 / vyloupnout (v41ojcA)</v>
      </c>
      <c r="V138">
        <v>7.0059999999999997E-2</v>
      </c>
      <c r="W138" t="s">
        <v>29</v>
      </c>
      <c r="Z138" t="str">
        <f>HYPERLINK("https://lindat.mff.cuni.cz/services/SynSemClass55/SynSemClass55.html?veclass=vec00569", "vec00569 / zabavit (v41pohA)")</f>
        <v>vec00569 / zabavit (v41pohA)</v>
      </c>
      <c r="AA138">
        <v>5.2639999999999999E-2</v>
      </c>
      <c r="AB138" t="s">
        <v>29</v>
      </c>
      <c r="AE138" t="str">
        <f>HYPERLINK("https://lindat.mff.cuni.cz/services/SynSemClass55/SynSemClass55.html?veclass=vec00321", "vec00321 / stáhnout (v41lhjD)")</f>
        <v>vec00321 / stáhnout (v41lhjD)</v>
      </c>
      <c r="AF138">
        <v>4.6289999999999998E-2</v>
      </c>
      <c r="AG138" t="s">
        <v>29</v>
      </c>
    </row>
    <row r="140" spans="1:33" x14ac:dyDescent="0.2">
      <c r="A140" t="str">
        <f>HYPERLINK("https://lindat.mff.cuni.cz/services/PDT-Vallex4.5/PDT-Vallex4.5.html?verb=oddálit", "oddálit")</f>
        <v>oddálit</v>
      </c>
      <c r="B140" t="str">
        <f>HYPERLINK("https://lindat.mff.cuni.cz/services/PDT-Vallex4.5/PDT-Vallex4.5.html?verb=oddálit#v41dxgA", "v41dxgA")</f>
        <v>v41dxgA</v>
      </c>
      <c r="E140">
        <v>181</v>
      </c>
      <c r="F140">
        <v>0.54413</v>
      </c>
      <c r="G140" s="1">
        <v>0</v>
      </c>
      <c r="I140" s="1" t="s">
        <v>84</v>
      </c>
      <c r="K140" t="str">
        <f>HYPERLINK("https://lindat.mff.cuni.cz/services/SynSemClass55/SynSemClass55.html?veclass=vec01284", "vec01284 / přeložit (v41idwC)")</f>
        <v>vec01284 / přeložit (v41idwC)</v>
      </c>
      <c r="L140">
        <v>0.54413</v>
      </c>
      <c r="M140" t="s">
        <v>29</v>
      </c>
      <c r="P140" t="str">
        <f>HYPERLINK("https://lindat.mff.cuni.cz/services/SynSemClass55/SynSemClass55.html?veclass=vec01668", "vec01668 / přisunout (v41izrA)")</f>
        <v>vec01668 / přisunout (v41izrA)</v>
      </c>
      <c r="Q140">
        <v>5.9639999999999999E-2</v>
      </c>
      <c r="R140" t="s">
        <v>29</v>
      </c>
      <c r="U140" t="str">
        <f>HYPERLINK("https://lindat.mff.cuni.cz/services/SynSemClass55/SynSemClass55.html?veclass=vec00854", "vec00854 / odvést (v41emsC)")</f>
        <v>vec00854 / odvést (v41emsC)</v>
      </c>
      <c r="V140">
        <v>4.1059999999999999E-2</v>
      </c>
      <c r="W140" t="s">
        <v>29</v>
      </c>
      <c r="Z140" t="str">
        <f>HYPERLINK("https://lindat.mff.cuni.cz/services/SynSemClass55/SynSemClass55.html?veclass=vec00283", "vec00283 / převést (v41imqC)")</f>
        <v>vec00283 / převést (v41imqC)</v>
      </c>
      <c r="AA140">
        <v>3.4959999999999998E-2</v>
      </c>
      <c r="AB140" t="s">
        <v>29</v>
      </c>
      <c r="AE140" t="str">
        <f>HYPERLINK("https://lindat.mff.cuni.cz/services/SynSemClass55/SynSemClass55.html?veclass=vec00849", "vec00849 / odchýlit se (v41easA)")</f>
        <v>vec00849 / odchýlit se (v41easA)</v>
      </c>
      <c r="AF140">
        <v>3.2050000000000002E-2</v>
      </c>
      <c r="AG140" t="s">
        <v>29</v>
      </c>
    </row>
    <row r="142" spans="1:33" x14ac:dyDescent="0.2">
      <c r="A142" t="str">
        <f>HYPERLINK("https://lindat.mff.cuni.cz/services/PDT-Vallex4.5/PDT-Vallex4.5.html?verb=oddálit se", "oddálit se")</f>
        <v>oddálit se</v>
      </c>
      <c r="B142" t="str">
        <f>HYPERLINK("https://lindat.mff.cuni.cz/services/PDT-Vallex4.5/PDT-Vallex4.5.html?verb=oddálit se#v41dxhA", "v41dxhA")</f>
        <v>v41dxhA</v>
      </c>
      <c r="E142">
        <v>116</v>
      </c>
      <c r="F142">
        <v>0.54098999999999997</v>
      </c>
      <c r="G142" s="1">
        <v>0</v>
      </c>
      <c r="I142" s="1" t="s">
        <v>84</v>
      </c>
      <c r="K142" t="str">
        <f>HYPERLINK("https://lindat.mff.cuni.cz/services/SynSemClass55/SynSemClass55.html?veclass=vec01284", "vec01284 / přeložit (v41idwC)")</f>
        <v>vec01284 / přeložit (v41idwC)</v>
      </c>
      <c r="L142">
        <v>0.54098999999999997</v>
      </c>
      <c r="M142" t="s">
        <v>29</v>
      </c>
      <c r="P142" t="str">
        <f>HYPERLINK("https://lindat.mff.cuni.cz/services/SynSemClass55/SynSemClass55.html?veclass=vec01668", "vec01668 / přisunout (v41izrA)")</f>
        <v>vec01668 / přisunout (v41izrA)</v>
      </c>
      <c r="Q142">
        <v>6.3089999999999993E-2</v>
      </c>
      <c r="R142" t="s">
        <v>29</v>
      </c>
      <c r="U142" t="str">
        <f>HYPERLINK("https://lindat.mff.cuni.cz/services/SynSemClass55/SynSemClass55.html?veclass=vec00849", "vec00849 / odchýlit se (v41easA)")</f>
        <v>vec00849 / odchýlit se (v41easA)</v>
      </c>
      <c r="V142">
        <v>4.1259999999999998E-2</v>
      </c>
      <c r="W142" t="s">
        <v>29</v>
      </c>
      <c r="Z142" t="str">
        <f>HYPERLINK("https://lindat.mff.cuni.cz/services/SynSemClass55/SynSemClass55.html?veclass=vec00854", "vec00854 / odvést (v41emsC)")</f>
        <v>vec00854 / odvést (v41emsC)</v>
      </c>
      <c r="AA142">
        <v>3.7600000000000001E-2</v>
      </c>
      <c r="AB142" t="s">
        <v>29</v>
      </c>
      <c r="AE142" t="str">
        <f>HYPERLINK("https://lindat.mff.cuni.cz/services/SynSemClass55/SynSemClass55.html?veclass=vec00283", "vec00283 / převést (v41imqC)")</f>
        <v>vec00283 / převést (v41imqC)</v>
      </c>
      <c r="AF142">
        <v>3.0839999999999999E-2</v>
      </c>
      <c r="AG142" t="s">
        <v>29</v>
      </c>
    </row>
    <row r="144" spans="1:33" x14ac:dyDescent="0.2">
      <c r="A144" t="str">
        <f>HYPERLINK("https://lindat.mff.cuni.cz/services/PDT-Vallex4.5/PDT-Vallex4.5.html?verb=oddalovat", "oddalovat")</f>
        <v>oddalovat</v>
      </c>
      <c r="B144" t="str">
        <f>HYPERLINK("https://lindat.mff.cuni.cz/services/PDT-Vallex4.5/PDT-Vallex4.5.html?verb=oddalovat#v41dxjA", "v41dxjA")</f>
        <v>v41dxjA</v>
      </c>
      <c r="E144">
        <v>89</v>
      </c>
      <c r="F144">
        <v>0.68457000000000001</v>
      </c>
      <c r="G144" s="1">
        <v>0</v>
      </c>
      <c r="I144" s="1" t="s">
        <v>84</v>
      </c>
      <c r="K144" t="str">
        <f>HYPERLINK("https://lindat.mff.cuni.cz/services/SynSemClass55/SynSemClass55.html?veclass=vec01284", "vec01284 / přeložit (v41idwC)")</f>
        <v>vec01284 / přeložit (v41idwC)</v>
      </c>
      <c r="L144">
        <v>0.68457000000000001</v>
      </c>
      <c r="M144" t="s">
        <v>29</v>
      </c>
      <c r="P144" t="str">
        <f>HYPERLINK("https://lindat.mff.cuni.cz/services/SynSemClass55/SynSemClass55.html?veclass=vec00283", "vec00283 / převést (v41imqC)")</f>
        <v>vec00283 / převést (v41imqC)</v>
      </c>
      <c r="Q144">
        <v>4.061E-2</v>
      </c>
      <c r="R144" t="s">
        <v>29</v>
      </c>
      <c r="U144" t="str">
        <f>HYPERLINK("https://lindat.mff.cuni.cz/services/SynSemClass55/SynSemClass55.html?veclass=vec00849", "vec00849 / odchýlit se (v41easA)")</f>
        <v>vec00849 / odchýlit se (v41easA)</v>
      </c>
      <c r="V144">
        <v>4.018E-2</v>
      </c>
      <c r="W144" t="s">
        <v>29</v>
      </c>
      <c r="Z144" t="str">
        <f>HYPERLINK("https://lindat.mff.cuni.cz/services/SynSemClass55/SynSemClass55.html?veclass=vec00486", "vec00486 / pozdržet (v41gwdA)")</f>
        <v>vec00486 / pozdržet (v41gwdA)</v>
      </c>
      <c r="AA144">
        <v>3.1879999999999999E-2</v>
      </c>
      <c r="AB144" t="s">
        <v>29</v>
      </c>
      <c r="AE144" t="str">
        <f>HYPERLINK("https://lindat.mff.cuni.cz/services/SynSemClass55/SynSemClass55.html?veclass=vec00854", "vec00854 / odvést (v41emsC)")</f>
        <v>vec00854 / odvést (v41emsC)</v>
      </c>
      <c r="AF144">
        <v>2.315E-2</v>
      </c>
      <c r="AG144" t="s">
        <v>29</v>
      </c>
    </row>
    <row r="146" spans="1:33" x14ac:dyDescent="0.2">
      <c r="A146" t="str">
        <f>HYPERLINK("https://lindat.mff.cuni.cz/services/PDT-Vallex4.5/PDT-Vallex4.5.html?verb=oddychovat", "oddychovat")</f>
        <v>oddychovat</v>
      </c>
      <c r="B146" t="str">
        <f>HYPERLINK("https://lindat.mff.cuni.cz/services/PDT-Vallex4.5/PDT-Vallex4.5.html?verb=oddychovat#v41dycA", "v41dycA")</f>
        <v>v41dycA</v>
      </c>
      <c r="E146">
        <v>384</v>
      </c>
      <c r="F146">
        <v>0.23485</v>
      </c>
      <c r="G146" s="1" t="s">
        <v>32</v>
      </c>
      <c r="K146" t="str">
        <f>HYPERLINK("https://lindat.mff.cuni.cz/services/SynSemClass55/SynSemClass55.html?veclass=vec00959", "vec00959 / vydechnout si (v41nxeA)")</f>
        <v>vec00959 / vydechnout si (v41nxeA)</v>
      </c>
      <c r="L146">
        <v>0.23485</v>
      </c>
      <c r="M146" t="s">
        <v>29</v>
      </c>
      <c r="P146" t="str">
        <f>HYPERLINK("https://lindat.mff.cuni.cz/services/SynSemClass55/SynSemClass55.html?veclass=vec01371", "vec01371 / zalapat (v41pzfA)")</f>
        <v>vec01371 / zalapat (v41pzfA)</v>
      </c>
      <c r="Q146">
        <v>0.19570000000000001</v>
      </c>
      <c r="R146" t="s">
        <v>29</v>
      </c>
      <c r="U146" t="str">
        <f>HYPERLINK("https://lindat.mff.cuni.cz/services/SynSemClass55/SynSemClass55.html?veclass=vec01704", "vec01704 / vzdychat (v41plpA)")</f>
        <v>vec01704 / vzdychat (v41plpA)</v>
      </c>
      <c r="V146">
        <v>7.1540000000000006E-2</v>
      </c>
      <c r="W146" t="s">
        <v>29</v>
      </c>
      <c r="Z146" t="str">
        <f>HYPERLINK("https://lindat.mff.cuni.cz/services/SynSemClass55/SynSemClass55.html?veclass=vec00390", "vec00390 / zotavit se (v41rrtA)")</f>
        <v>vec00390 / zotavit se (v41rrtA)</v>
      </c>
      <c r="AA146">
        <v>4.861E-2</v>
      </c>
      <c r="AB146" t="s">
        <v>29</v>
      </c>
      <c r="AE146" t="str">
        <f>HYPERLINK("https://lindat.mff.cuni.cz/services/SynSemClass55/SynSemClass55.html?veclass=vec01863", "vec01863 / relaxovat (v41jidA)")</f>
        <v>vec01863 / relaxovat (v41jidA)</v>
      </c>
      <c r="AF146">
        <v>4.2450000000000002E-2</v>
      </c>
      <c r="AG146" t="s">
        <v>31</v>
      </c>
    </row>
    <row r="148" spans="1:33" x14ac:dyDescent="0.2">
      <c r="A148" t="str">
        <f>HYPERLINK("https://lindat.mff.cuni.cz/services/PDT-Vallex4.5/PDT-Vallex4.5.html?verb=odhalovat", "odhalovat")</f>
        <v>odhalovat</v>
      </c>
      <c r="B148" t="str">
        <f>HYPERLINK("https://lindat.mff.cuni.cz/services/PDT-Vallex4.5/PDT-Vallex4.5.html?verb=odhalovat#v41dzuA", "v41dzuA")</f>
        <v>v41dzuA</v>
      </c>
      <c r="E148">
        <v>492</v>
      </c>
      <c r="F148">
        <v>0.15282999999999999</v>
      </c>
      <c r="G148" s="1">
        <v>0</v>
      </c>
      <c r="I148" s="1" t="s">
        <v>85</v>
      </c>
      <c r="K148" t="str">
        <f>HYPERLINK("https://lindat.mff.cuni.cz/services/SynSemClass55/SynSemClass55.html?veclass=vec01545", "vec01545 / zavětřit (v41qsrA)")</f>
        <v>vec01545 / zavětřit (v41qsrA)</v>
      </c>
      <c r="L148">
        <v>0.15282999999999999</v>
      </c>
      <c r="M148" t="s">
        <v>29</v>
      </c>
      <c r="P148" t="str">
        <f>HYPERLINK("https://lindat.mff.cuni.cz/services/SynSemClass55/SynSemClass55.html?veclass=vec00060", "vec00060 / oznámit (v41fgeD)")</f>
        <v>vec00060 / oznámit (v41fgeD)</v>
      </c>
      <c r="Q148">
        <v>0.108</v>
      </c>
      <c r="R148" t="s">
        <v>29</v>
      </c>
      <c r="U148" t="str">
        <f>HYPERLINK("https://lindat.mff.cuni.cz/services/SynSemClass55/SynSemClass55.html?veclass=vec01466", "vec01466 / vylévat si (v41oicA)")</f>
        <v>vec01466 / vylévat si (v41oicA)</v>
      </c>
      <c r="V148">
        <v>9.0109999999999996E-2</v>
      </c>
      <c r="W148" t="s">
        <v>29</v>
      </c>
      <c r="Z148" t="str">
        <f>HYPERLINK("https://lindat.mff.cuni.cz/services/SynSemClass55/SynSemClass55.html?veclass=vec00330", "vec00330 / ukázat (v41mlkB)")</f>
        <v>vec00330 / ukázat (v41mlkB)</v>
      </c>
      <c r="AA148">
        <v>8.5999999999999993E-2</v>
      </c>
      <c r="AB148" t="s">
        <v>29</v>
      </c>
      <c r="AE148" t="str">
        <f>HYPERLINK("https://lindat.mff.cuni.cz/services/SynSemClass55/SynSemClass55.html?veclass=vec01386", "vec01386 / zpřístupnit (v41rvmA)")</f>
        <v>vec01386 / zpřístupnit (v41rvmA)</v>
      </c>
      <c r="AF148">
        <v>8.5220000000000004E-2</v>
      </c>
      <c r="AG148" t="s">
        <v>29</v>
      </c>
    </row>
    <row r="150" spans="1:33" x14ac:dyDescent="0.2">
      <c r="A150" t="str">
        <f>HYPERLINK("https://lindat.mff.cuni.cz/services/PDT-Vallex4.5/PDT-Vallex4.5.html?verb=odhlížet", "odhlížet")</f>
        <v>odhlížet</v>
      </c>
      <c r="B150" t="str">
        <f>HYPERLINK("https://lindat.mff.cuni.cz/services/PDT-Vallex4.5/PDT-Vallex4.5.html?verb=odhlížet#v41eadA", "v41eadA")</f>
        <v>v41eadA</v>
      </c>
      <c r="E150">
        <v>2</v>
      </c>
      <c r="F150">
        <v>0.12701999999999999</v>
      </c>
      <c r="G150" s="1" t="s">
        <v>86</v>
      </c>
      <c r="K150" t="str">
        <f>HYPERLINK("https://lindat.mff.cuni.cz/services/SynSemClass55/SynSemClass55.html?veclass=vec00942", "vec00942 / ustoupit (v41myhC)")</f>
        <v>vec00942 / ustoupit (v41myhC)</v>
      </c>
      <c r="L150">
        <v>0.12701999999999999</v>
      </c>
      <c r="M150" t="s">
        <v>29</v>
      </c>
      <c r="P150" t="str">
        <f>HYPERLINK("https://lindat.mff.cuni.cz/services/SynSemClass55/SynSemClass55.html?veclass=vec00783", "vec00783 / zdržet se (v41qzjA)")</f>
        <v>vec00783 / zdržet se (v41qzjA)</v>
      </c>
      <c r="Q150">
        <v>0.11726</v>
      </c>
      <c r="R150" t="s">
        <v>29</v>
      </c>
      <c r="U150" t="str">
        <f>HYPERLINK("https://lindat.mff.cuni.cz/services/SynSemClass55/SynSemClass55.html?veclass=vec00045", "vec00045 / obejít (v41dnqC)")</f>
        <v>vec00045 / obejít (v41dnqC)</v>
      </c>
      <c r="V150">
        <v>8.4409999999999999E-2</v>
      </c>
      <c r="W150" t="s">
        <v>29</v>
      </c>
      <c r="Z150" t="str">
        <f>HYPERLINK("https://lindat.mff.cuni.cz/services/SynSemClass55/SynSemClass55.html?veclass=vec00558", "vec00558 / vyloučit (v41oizC)")</f>
        <v>vec00558 / vyloučit (v41oizC)</v>
      </c>
      <c r="AA150">
        <v>5.568E-2</v>
      </c>
      <c r="AB150" t="s">
        <v>29</v>
      </c>
      <c r="AE150" t="str">
        <f>HYPERLINK("https://lindat.mff.cuni.cz/services/SynSemClass55/SynSemClass55.html?veclass=vec00251", "vec00251 / odradit (v41ehrA)")</f>
        <v>vec00251 / odradit (v41ehrA)</v>
      </c>
      <c r="AF150">
        <v>5.0939999999999999E-2</v>
      </c>
      <c r="AG150" t="s">
        <v>29</v>
      </c>
    </row>
    <row r="152" spans="1:33" x14ac:dyDescent="0.2">
      <c r="A152" t="str">
        <f>HYPERLINK("https://lindat.mff.cuni.cz/services/PDT-Vallex4.5/PDT-Vallex4.5.html?verb=odchytit", "odchytit")</f>
        <v>odchytit</v>
      </c>
      <c r="B152" t="str">
        <f>HYPERLINK("https://lindat.mff.cuni.cz/services/PDT-Vallex4.5/PDT-Vallex4.5.html?verb=odchytit#v41eawA", "v41eawA")</f>
        <v>v41eawA</v>
      </c>
      <c r="E152">
        <v>29</v>
      </c>
      <c r="F152">
        <v>0.31259999999999999</v>
      </c>
      <c r="G152" s="1" t="s">
        <v>32</v>
      </c>
      <c r="K152" t="str">
        <f>HYPERLINK("https://lindat.mff.cuni.cz/services/SynSemClass55/SynSemClass55.html?veclass=vec00126", "vec00126 / spoutat (v41lfhA)")</f>
        <v>vec00126 / spoutat (v41lfhA)</v>
      </c>
      <c r="L152">
        <v>0.31259999999999999</v>
      </c>
      <c r="M152" t="s">
        <v>31</v>
      </c>
      <c r="P152" t="str">
        <f>HYPERLINK("https://lindat.mff.cuni.cz/services/SynSemClass55/SynSemClass55.html?veclass=vec00615", "vec00615 / chytit (v41bczB)")</f>
        <v>vec00615 / chytit (v41bczB)</v>
      </c>
      <c r="Q152">
        <v>0.29951</v>
      </c>
      <c r="R152" t="s">
        <v>29</v>
      </c>
      <c r="U152" t="str">
        <f>HYPERLINK("https://lindat.mff.cuni.cz/services/SynSemClass55/SynSemClass55.html?veclass=vec00374", "vec00374 / zastihnout (v41qmkB)")</f>
        <v>vec00374 / zastihnout (v41qmkB)</v>
      </c>
      <c r="V152">
        <v>0.21987000000000001</v>
      </c>
      <c r="W152" t="s">
        <v>29</v>
      </c>
      <c r="Z152" t="str">
        <f>HYPERLINK("https://lindat.mff.cuni.cz/services/SynSemClass55/SynSemClass55.html?veclass=vec00185", "vec00185 / zatknout (v41qpuA)")</f>
        <v>vec00185 / zatknout (v41qpuA)</v>
      </c>
      <c r="AA152">
        <v>0.10555</v>
      </c>
      <c r="AB152" t="s">
        <v>29</v>
      </c>
      <c r="AE152" t="str">
        <f>HYPERLINK("https://lindat.mff.cuni.cz/services/SynSemClass55/SynSemClass55.html?veclass=vec00233", "vec00233 / najít (v41croB)")</f>
        <v>vec00233 / najít (v41croB)</v>
      </c>
      <c r="AF152">
        <v>3.0839999999999999E-2</v>
      </c>
      <c r="AG152" t="s">
        <v>29</v>
      </c>
    </row>
    <row r="154" spans="1:33" x14ac:dyDescent="0.2">
      <c r="A154" t="str">
        <f>HYPERLINK("https://lindat.mff.cuni.cz/services/PDT-Vallex4.5/PDT-Vallex4.5.html?verb=odkopnout", "odkopnout")</f>
        <v>odkopnout</v>
      </c>
      <c r="B154" t="str">
        <f>HYPERLINK("https://lindat.mff.cuni.cz/services/PDT-Vallex4.5/PDT-Vallex4.5.html?verb=odkopnout#v41ecaA", "v41ecaA")</f>
        <v>v41ecaA</v>
      </c>
      <c r="E154">
        <v>229</v>
      </c>
      <c r="F154">
        <v>0.10988000000000001</v>
      </c>
      <c r="G154" s="1" t="s">
        <v>87</v>
      </c>
      <c r="K154" t="str">
        <f>HYPERLINK("https://lindat.mff.cuni.cz/services/SynSemClass55/SynSemClass55.html?veclass=vec01106", "vec01106 / shazovat (v41kmeA)")</f>
        <v>vec01106 / shazovat (v41kmeA)</v>
      </c>
      <c r="L154">
        <v>0.10988000000000001</v>
      </c>
      <c r="M154" t="s">
        <v>29</v>
      </c>
      <c r="P154" t="str">
        <f>HYPERLINK("https://lindat.mff.cuni.cz/services/SynSemClass55/SynSemClass55.html?veclass=vec01678", "vec01678 / smeknout (v41kuuA)")</f>
        <v>vec01678 / smeknout (v41kuuA)</v>
      </c>
      <c r="Q154">
        <v>8.2199999999999995E-2</v>
      </c>
      <c r="R154" t="s">
        <v>29</v>
      </c>
      <c r="U154" t="str">
        <f>HYPERLINK("https://lindat.mff.cuni.cz/services/SynSemClass55/SynSemClass55.html?veclass=vec00555", "vec00555 / vyhodit (v41oaaA)")</f>
        <v>vec00555 / vyhodit (v41oaaA)</v>
      </c>
      <c r="V154">
        <v>7.4219999999999994E-2</v>
      </c>
      <c r="W154" t="s">
        <v>29</v>
      </c>
      <c r="Z154" t="str">
        <f>HYPERLINK("https://lindat.mff.cuni.cz/services/SynSemClass55/SynSemClass55.html?veclass=vec00924", "vec00924 / smést (v41kvgB)")</f>
        <v>vec00924 / smést (v41kvgB)</v>
      </c>
      <c r="AA154">
        <v>4.8439999999999997E-2</v>
      </c>
      <c r="AB154" t="s">
        <v>29</v>
      </c>
      <c r="AE154" t="str">
        <f>HYPERLINK("https://lindat.mff.cuni.cz/services/SynSemClass55/SynSemClass55.html?veclass=vec01413", "vec01413 / odtrhnout se (v41eltB)")</f>
        <v>vec01413 / odtrhnout se (v41eltB)</v>
      </c>
      <c r="AF154">
        <v>4.206E-2</v>
      </c>
      <c r="AG154" t="s">
        <v>29</v>
      </c>
    </row>
    <row r="156" spans="1:33" x14ac:dyDescent="0.2">
      <c r="A156" t="str">
        <f>HYPERLINK("https://lindat.mff.cuni.cz/services/PDT-Vallex4.5/PDT-Vallex4.5.html?verb=odplynout", "odplynout")</f>
        <v>odplynout</v>
      </c>
      <c r="B156" t="str">
        <f>HYPERLINK("https://lindat.mff.cuni.cz/services/PDT-Vallex4.5/PDT-Vallex4.5.html?verb=odplynout#v41eftA", "v41eftA")</f>
        <v>v41eftA</v>
      </c>
      <c r="E156">
        <v>28</v>
      </c>
      <c r="F156">
        <v>0.15504999999999999</v>
      </c>
      <c r="G156" s="1" t="s">
        <v>32</v>
      </c>
      <c r="K156" t="str">
        <f>HYPERLINK("https://lindat.mff.cuni.cz/services/SynSemClass55/SynSemClass55.html?veclass=vec01568", "vec01568 / míjet (v41cggC)")</f>
        <v>vec01568 / míjet (v41cggC)</v>
      </c>
      <c r="L156">
        <v>0.15504999999999999</v>
      </c>
      <c r="M156" t="s">
        <v>29</v>
      </c>
      <c r="P156" t="str">
        <f>HYPERLINK("https://lindat.mff.cuni.cz/services/SynSemClass55/SynSemClass55.html?veclass=vec01885", "vec01885 / slehnout se (v41ksoA)")</f>
        <v>vec01885 / slehnout se (v41ksoA)</v>
      </c>
      <c r="Q156">
        <v>0.15054000000000001</v>
      </c>
      <c r="R156" t="s">
        <v>31</v>
      </c>
      <c r="U156" t="str">
        <f>HYPERLINK("https://lindat.mff.cuni.cz/services/SynSemClass55/SynSemClass55.html?veclass=vec00113", "vec00113 / skončit (v41krfH)")</f>
        <v>vec00113 / skončit (v41krfH)</v>
      </c>
      <c r="V156">
        <v>0.11787</v>
      </c>
      <c r="W156" t="s">
        <v>29</v>
      </c>
      <c r="Z156" t="str">
        <f>HYPERLINK("https://lindat.mff.cuni.cz/services/SynSemClass55/SynSemClass55.html?veclass=vec00755", "vec00755 / vymizet (v41okoA)")</f>
        <v>vec00755 / vymizet (v41okoA)</v>
      </c>
      <c r="AA156">
        <v>9.7110000000000002E-2</v>
      </c>
      <c r="AB156" t="s">
        <v>29</v>
      </c>
      <c r="AE156" t="str">
        <f>HYPERLINK("https://lindat.mff.cuni.cz/services/SynSemClass55/SynSemClass55.html?veclass=vec00873", "vec00873 / pominout (v41gehB)")</f>
        <v>vec00873 / pominout (v41gehB)</v>
      </c>
      <c r="AF156">
        <v>4.7789999999999999E-2</v>
      </c>
      <c r="AG156" t="s">
        <v>29</v>
      </c>
    </row>
    <row r="158" spans="1:33" x14ac:dyDescent="0.2">
      <c r="A158" t="str">
        <f>HYPERLINK("https://lindat.mff.cuni.cz/services/PDT-Vallex4.5/PDT-Vallex4.5.html?verb=odpočítávat", "odpočítávat")</f>
        <v>odpočítávat</v>
      </c>
      <c r="B158" t="str">
        <f>HYPERLINK("https://lindat.mff.cuni.cz/services/PDT-Vallex4.5/PDT-Vallex4.5.html?verb=odpočítávat#v41efxB", "v41efxB")</f>
        <v>v41efxB</v>
      </c>
      <c r="E158">
        <v>139</v>
      </c>
      <c r="F158">
        <v>0.47477999999999998</v>
      </c>
      <c r="G158" s="1">
        <v>0</v>
      </c>
      <c r="I158" s="1" t="s">
        <v>88</v>
      </c>
      <c r="K158" t="str">
        <f>HYPERLINK("https://lindat.mff.cuni.cz/services/SynSemClass55/SynSemClass55.html?veclass=vec00166", "vec00166 / vypočítávat (v41opsB)")</f>
        <v>vec00166 / vypočítávat (v41opsB)</v>
      </c>
      <c r="L158">
        <v>0.47477999999999998</v>
      </c>
      <c r="M158" t="s">
        <v>29</v>
      </c>
      <c r="P158" t="str">
        <f>HYPERLINK("https://lindat.mff.cuni.cz/services/SynSemClass55/SynSemClass55.html?veclass=vec00649", "vec00649 / odečíst (v41dyjA)")</f>
        <v>vec00649 / odečíst (v41dyjA)</v>
      </c>
      <c r="Q158">
        <v>0.10291</v>
      </c>
      <c r="R158" t="s">
        <v>29</v>
      </c>
      <c r="U158" t="str">
        <f>HYPERLINK("https://lindat.mff.cuni.cz/services/SynSemClass55/SynSemClass55.html?veclass=vec01356", "vec01356 / vysázet (v41ovmA)")</f>
        <v>vec01356 / vysázet (v41ovmA)</v>
      </c>
      <c r="V158">
        <v>3.3090000000000001E-2</v>
      </c>
      <c r="W158" t="s">
        <v>29</v>
      </c>
      <c r="Z158" t="str">
        <f>HYPERLINK("https://lindat.mff.cuni.cz/services/SynSemClass55/SynSemClass55.html?veclass=vec00919", "vec00919 / sčítat (v41kggA)")</f>
        <v>vec00919 / sčítat (v41kggA)</v>
      </c>
      <c r="AA158">
        <v>3.2219999999999999E-2</v>
      </c>
      <c r="AB158" t="s">
        <v>29</v>
      </c>
      <c r="AE158" t="str">
        <f>HYPERLINK("https://lindat.mff.cuni.cz/services/SynSemClass55/SynSemClass55.html?veclass=vec00772", "vec00772 / započítat (v41qgdA)")</f>
        <v>vec00772 / započítat (v41qgdA)</v>
      </c>
      <c r="AF158">
        <v>2.215E-2</v>
      </c>
      <c r="AG158" t="s">
        <v>29</v>
      </c>
    </row>
    <row r="160" spans="1:33" x14ac:dyDescent="0.2">
      <c r="A160" t="str">
        <f>HYPERLINK("https://lindat.mff.cuni.cz/services/PDT-Vallex4.5/PDT-Vallex4.5.html?verb=odpudit", "odpudit")</f>
        <v>odpudit</v>
      </c>
      <c r="B160" t="str">
        <f>HYPERLINK("https://lindat.mff.cuni.cz/services/PDT-Vallex4.5/PDT-Vallex4.5.html?verb=odpudit#v41ehjA", "v41ehjA")</f>
        <v>v41ehjA</v>
      </c>
      <c r="E160">
        <v>10</v>
      </c>
      <c r="F160">
        <v>0.34354000000000001</v>
      </c>
      <c r="G160" s="1" t="s">
        <v>32</v>
      </c>
      <c r="K160" t="str">
        <f>HYPERLINK("https://lindat.mff.cuni.cz/services/SynSemClass55/SynSemClass55.html?veclass=vec00251", "vec00251 / odradit (v41ehrA)")</f>
        <v>vec00251 / odradit (v41ehrA)</v>
      </c>
      <c r="L160">
        <v>0.34354000000000001</v>
      </c>
      <c r="M160" t="s">
        <v>33</v>
      </c>
      <c r="P160" t="str">
        <f>HYPERLINK("https://lindat.mff.cuni.cz/services/SynSemClass55/SynSemClass55.html?veclass=vec00854", "vec00854 / odvést (v41emsC)")</f>
        <v>vec00854 / odvést (v41emsC)</v>
      </c>
      <c r="Q160">
        <v>0.14779</v>
      </c>
      <c r="R160" t="s">
        <v>29</v>
      </c>
      <c r="U160" t="str">
        <f>HYPERLINK("https://lindat.mff.cuni.cz/services/SynSemClass55/SynSemClass55.html?veclass=vec00049", "vec00049 / odklonit (v41ebvC)")</f>
        <v>vec00049 / odklonit (v41ebvC)</v>
      </c>
      <c r="V160">
        <v>0.14260999999999999</v>
      </c>
      <c r="W160" t="s">
        <v>29</v>
      </c>
      <c r="Z160" t="str">
        <f>HYPERLINK("https://lindat.mff.cuni.cz/services/SynSemClass55/SynSemClass55.html?veclass=vec00555", "vec00555 / vyhodit (v41oaaA)")</f>
        <v>vec00555 / vyhodit (v41oaaA)</v>
      </c>
      <c r="AA160">
        <v>8.8389999999999996E-2</v>
      </c>
      <c r="AB160" t="s">
        <v>29</v>
      </c>
      <c r="AE160" t="str">
        <f>HYPERLINK("https://lindat.mff.cuni.cz/services/SynSemClass55/SynSemClass55.html?veclass=vec00456", "vec00456 / odrazit (v41ehtB)")</f>
        <v>vec00456 / odrazit (v41ehtB)</v>
      </c>
      <c r="AF160">
        <v>6.701E-2</v>
      </c>
      <c r="AG160" t="s">
        <v>29</v>
      </c>
    </row>
    <row r="162" spans="1:33" x14ac:dyDescent="0.2">
      <c r="A162" t="str">
        <f>HYPERLINK("https://lindat.mff.cuni.cz/services/PDT-Vallex4.5/PDT-Vallex4.5.html?verb=odpustit", "odpustit")</f>
        <v>odpustit</v>
      </c>
      <c r="B162" t="str">
        <f>HYPERLINK("https://lindat.mff.cuni.cz/services/PDT-Vallex4.5/PDT-Vallex4.5.html?verb=odpustit#v41ehlB", "v41ehlB")</f>
        <v>v41ehlB</v>
      </c>
      <c r="E162">
        <v>2582</v>
      </c>
      <c r="F162">
        <v>0.58643000000000001</v>
      </c>
      <c r="G162" s="1" t="s">
        <v>89</v>
      </c>
      <c r="I162" s="1" t="s">
        <v>36</v>
      </c>
      <c r="K162" t="str">
        <f>HYPERLINK("https://lindat.mff.cuni.cz/services/SynSemClass55/SynSemClass55.html?veclass=vec01058", "vec01058 / odpustit (v41ehlA)")</f>
        <v>vec01058 / odpustit (v41ehlA)</v>
      </c>
      <c r="L162">
        <v>0.58643000000000001</v>
      </c>
      <c r="M162" t="s">
        <v>29</v>
      </c>
      <c r="P162" t="str">
        <f>HYPERLINK("https://lindat.mff.cuni.cz/services/SynSemClass55/SynSemClass55.html?veclass=vec01639", "vec01639 / dopustit (v41aedA)")</f>
        <v>vec01639 / dopustit (v41aedA)</v>
      </c>
      <c r="Q162">
        <v>8.2070000000000004E-2</v>
      </c>
      <c r="R162" t="s">
        <v>29</v>
      </c>
      <c r="U162" t="str">
        <f>HYPERLINK("https://lindat.mff.cuni.cz/services/SynSemClass55/SynSemClass55.html?veclass=vec01206", "vec01206 / dát (v41plY)")</f>
        <v>vec01206 / dát (v41plY)</v>
      </c>
      <c r="V162">
        <v>5.4800000000000001E-2</v>
      </c>
      <c r="W162" t="s">
        <v>29</v>
      </c>
      <c r="Z162" t="str">
        <f>HYPERLINK("https://lindat.mff.cuni.cz/services/SynSemClass55/SynSemClass55.html?veclass=vec00739", "vec00739 / ustoupit (v41myhB)")</f>
        <v>vec00739 / ustoupit (v41myhB)</v>
      </c>
      <c r="AA162">
        <v>5.2859999999999997E-2</v>
      </c>
      <c r="AB162" t="s">
        <v>29</v>
      </c>
      <c r="AE162" t="str">
        <f>HYPERLINK("https://lindat.mff.cuni.cz/services/SynSemClass55/SynSemClass55.html?veclass=vec01248", "vec01248 / omluvit (v41etuB)")</f>
        <v>vec01248 / omluvit (v41etuB)</v>
      </c>
      <c r="AF162">
        <v>4.7169999999999997E-2</v>
      </c>
      <c r="AG162" t="s">
        <v>29</v>
      </c>
    </row>
    <row r="164" spans="1:33" x14ac:dyDescent="0.2">
      <c r="A164" t="str">
        <f>HYPERLINK("https://lindat.mff.cuni.cz/services/PDT-Vallex4.5/PDT-Vallex4.5.html?verb=odrůst", "odrůst")</f>
        <v>odrůst</v>
      </c>
      <c r="B164" t="str">
        <f>HYPERLINK("https://lindat.mff.cuni.cz/services/PDT-Vallex4.5/PDT-Vallex4.5.html?verb=odrůst#v41eigA", "v41eigA")</f>
        <v>v41eigA</v>
      </c>
      <c r="E164">
        <v>23</v>
      </c>
      <c r="F164">
        <v>0.15997</v>
      </c>
      <c r="G164" s="1">
        <v>0</v>
      </c>
      <c r="I164" s="1" t="s">
        <v>90</v>
      </c>
      <c r="K164" t="str">
        <f>HYPERLINK("https://lindat.mff.cuni.cz/services/SynSemClass55/SynSemClass55.html?veclass=vec00167", "vec00167 / vyrůst (v41ouiD)")</f>
        <v>vec00167 / vyrůst (v41ouiD)</v>
      </c>
      <c r="L164">
        <v>0.15997</v>
      </c>
      <c r="M164" t="s">
        <v>29</v>
      </c>
      <c r="P164" t="str">
        <f>HYPERLINK("https://lindat.mff.cuni.cz/services/SynSemClass55/SynSemClass55.html?veclass=vec01380", "vec01380 / zestárnout (v41rbcA)")</f>
        <v>vec01380 / zestárnout (v41rbcA)</v>
      </c>
      <c r="Q164">
        <v>7.2440000000000004E-2</v>
      </c>
      <c r="R164" t="s">
        <v>29</v>
      </c>
      <c r="U164" t="str">
        <f>HYPERLINK("https://lindat.mff.cuni.cz/services/SynSemClass55/SynSemClass55.html?veclass=vec01018", "vec01018 / dozrávat (v41ajrA)")</f>
        <v>vec01018 / dozrávat (v41ajrA)</v>
      </c>
      <c r="V164">
        <v>6.3670000000000004E-2</v>
      </c>
      <c r="W164" t="s">
        <v>29</v>
      </c>
      <c r="Z164" t="str">
        <f>HYPERLINK("https://lindat.mff.cuni.cz/services/SynSemClass55/SynSemClass55.html?veclass=vec00586", "vec00586 / získat (v41reiE)")</f>
        <v>vec00586 / získat (v41reiE)</v>
      </c>
      <c r="AA164">
        <v>3.422E-2</v>
      </c>
      <c r="AB164" t="s">
        <v>29</v>
      </c>
      <c r="AE164" t="str">
        <f>HYPERLINK("https://lindat.mff.cuni.cz/services/SynSemClass55/SynSemClass55.html?veclass=vec00468", "vec00468 / pěstovat (v41fkwB)")</f>
        <v>vec00468 / pěstovat (v41fkwB)</v>
      </c>
      <c r="AF164">
        <v>3.0550000000000001E-2</v>
      </c>
      <c r="AG164" t="s">
        <v>29</v>
      </c>
    </row>
    <row r="166" spans="1:33" x14ac:dyDescent="0.2">
      <c r="A166" t="str">
        <f>HYPERLINK("https://lindat.mff.cuni.cz/services/PDT-Vallex4.5/PDT-Vallex4.5.html?verb=odškrtávat", "odškrtávat")</f>
        <v>odškrtávat</v>
      </c>
      <c r="B166" t="str">
        <f>HYPERLINK("https://lindat.mff.cuni.cz/services/PDT-Vallex4.5/PDT-Vallex4.5.html?verb=odškrtávat#v41elbA", "v41elbA")</f>
        <v>v41elbA</v>
      </c>
      <c r="E166">
        <v>23</v>
      </c>
      <c r="F166">
        <v>8.448E-2</v>
      </c>
      <c r="G166" s="1">
        <v>0</v>
      </c>
      <c r="I166" s="1" t="s">
        <v>91</v>
      </c>
      <c r="K166" t="str">
        <f>HYPERLINK("https://lindat.mff.cuni.cz/services/SynSemClass55/SynSemClass55.html?veclass=vec00962", "vec00962 / vymazat (v41ojwA)")</f>
        <v>vec00962 / vymazat (v41ojwA)</v>
      </c>
      <c r="L166">
        <v>8.448E-2</v>
      </c>
      <c r="M166" t="s">
        <v>29</v>
      </c>
      <c r="P166" t="str">
        <f>HYPERLINK("https://lindat.mff.cuni.cz/services/SynSemClass55/SynSemClass55.html?veclass=vec01224", "vec01224 / listovat (v41cbiA)")</f>
        <v>vec01224 / listovat (v41cbiA)</v>
      </c>
      <c r="Q166">
        <v>3.4520000000000002E-2</v>
      </c>
      <c r="R166" t="s">
        <v>29</v>
      </c>
      <c r="U166" t="str">
        <f>HYPERLINK("https://lindat.mff.cuni.cz/services/SynSemClass55/SynSemClass55.html?veclass=vec01855", "vec01855 / přetisknout (v41ilfA)")</f>
        <v>vec01855 / přetisknout (v41ilfA)</v>
      </c>
      <c r="V166">
        <v>3.3910000000000003E-2</v>
      </c>
      <c r="W166" t="s">
        <v>29</v>
      </c>
      <c r="Z166" t="str">
        <f>HYPERLINK("https://lindat.mff.cuni.cz/services/SynSemClass55/SynSemClass55.html?veclass=vec01345", "vec01345 / vepsat (v41njiA)")</f>
        <v>vec01345 / vepsat (v41njiA)</v>
      </c>
      <c r="AA166">
        <v>3.1469999999999998E-2</v>
      </c>
      <c r="AB166" t="s">
        <v>29</v>
      </c>
      <c r="AE166" t="str">
        <f>HYPERLINK("https://lindat.mff.cuni.cz/services/SynSemClass55/SynSemClass55.html?veclass=vec00858", "vec00858 / orazítkovat (v41exyA)")</f>
        <v>vec00858 / orazítkovat (v41exyA)</v>
      </c>
      <c r="AF166">
        <v>2.8219999999999999E-2</v>
      </c>
      <c r="AG166" t="s">
        <v>29</v>
      </c>
    </row>
    <row r="168" spans="1:33" x14ac:dyDescent="0.2">
      <c r="A168" t="str">
        <f>HYPERLINK("https://lindat.mff.cuni.cz/services/PDT-Vallex4.5/PDT-Vallex4.5.html?verb=odtáhnout se", "odtáhnout se")</f>
        <v>odtáhnout se</v>
      </c>
      <c r="B168" t="str">
        <f>HYPERLINK("https://lindat.mff.cuni.cz/services/PDT-Vallex4.5/PDT-Vallex4.5.html?verb=odtáhnout se#v41eliA", "v41eliA")</f>
        <v>v41eliA</v>
      </c>
      <c r="E168">
        <v>994</v>
      </c>
      <c r="F168">
        <v>0.10008</v>
      </c>
      <c r="G168" s="1" t="s">
        <v>92</v>
      </c>
      <c r="I168" s="1" t="s">
        <v>36</v>
      </c>
      <c r="K168" t="str">
        <f>HYPERLINK("https://lindat.mff.cuni.cz/services/SynSemClass55/SynSemClass55.html?veclass=vec00048", "vec00048 / odejít (v41dyrA)")</f>
        <v>vec00048 / odejít (v41dyrA)</v>
      </c>
      <c r="L168">
        <v>0.10008</v>
      </c>
      <c r="M168" t="s">
        <v>29</v>
      </c>
      <c r="P168" t="str">
        <f>HYPERLINK("https://lindat.mff.cuni.cz/services/SynSemClass55/SynSemClass55.html?veclass=vec00321", "vec00321 / stáhnout (v41lhjD)")</f>
        <v>vec00321 / stáhnout (v41lhjD)</v>
      </c>
      <c r="Q168">
        <v>7.0819999999999994E-2</v>
      </c>
      <c r="R168" t="s">
        <v>29</v>
      </c>
      <c r="U168" t="str">
        <f>HYPERLINK("https://lindat.mff.cuni.cz/services/SynSemClass55/SynSemClass55.html?veclass=vec01214", "vec01214 / evakuovat (v41anpA)")</f>
        <v>vec01214 / evakuovat (v41anpA)</v>
      </c>
      <c r="V168">
        <v>5.2299999999999999E-2</v>
      </c>
      <c r="W168" t="s">
        <v>29</v>
      </c>
      <c r="Z168" t="str">
        <f>HYPERLINK("https://lindat.mff.cuni.cz/services/SynSemClass55/SynSemClass55.html?veclass=vec00283", "vec00283 / převést (v41imqC)")</f>
        <v>vec00283 / převést (v41imqC)</v>
      </c>
      <c r="AA168">
        <v>5.2260000000000001E-2</v>
      </c>
      <c r="AB168" t="s">
        <v>29</v>
      </c>
      <c r="AE168" t="str">
        <f>HYPERLINK("https://lindat.mff.cuni.cz/services/SynSemClass55/SynSemClass55.html?veclass=vec00942", "vec00942 / ustoupit (v41myhC)")</f>
        <v>vec00942 / ustoupit (v41myhC)</v>
      </c>
      <c r="AF168">
        <v>4.7890000000000002E-2</v>
      </c>
      <c r="AG168" t="s">
        <v>29</v>
      </c>
    </row>
    <row r="170" spans="1:33" x14ac:dyDescent="0.2">
      <c r="A170" t="str">
        <f>HYPERLINK("https://lindat.mff.cuni.cz/services/PDT-Vallex4.5/PDT-Vallex4.5.html?verb=odtrhávat se", "odtrhávat se")</f>
        <v>odtrhávat se</v>
      </c>
      <c r="B170" t="str">
        <f>HYPERLINK("https://lindat.mff.cuni.cz/services/PDT-Vallex4.5/PDT-Vallex4.5.html?verb=odtrhávat se#v41elrA", "v41elrA")</f>
        <v>v41elrA</v>
      </c>
      <c r="E170">
        <v>43</v>
      </c>
      <c r="F170">
        <v>0.13954</v>
      </c>
      <c r="G170" s="1">
        <v>0</v>
      </c>
      <c r="I170" s="1" t="s">
        <v>84</v>
      </c>
      <c r="K170" t="str">
        <f>HYPERLINK("https://lindat.mff.cuni.cz/services/SynSemClass55/SynSemClass55.html?veclass=vec00905", "vec00905 / rozejít se (v41joqA)")</f>
        <v>vec00905 / rozejít se (v41joqA)</v>
      </c>
      <c r="L170">
        <v>0.13954</v>
      </c>
      <c r="M170" t="s">
        <v>29</v>
      </c>
      <c r="P170" t="str">
        <f>HYPERLINK("https://lindat.mff.cuni.cz/services/SynSemClass55/SynSemClass55.html?veclass=vec01456", "vec01456 / useknout (v41muvA)")</f>
        <v>vec01456 / useknout (v41muvA)</v>
      </c>
      <c r="Q170">
        <v>0.13155</v>
      </c>
      <c r="R170" t="s">
        <v>29</v>
      </c>
      <c r="U170" t="str">
        <f>HYPERLINK("https://lindat.mff.cuni.cz/services/SynSemClass55/SynSemClass55.html?veclass=vec00047", "vec00047 / oddělit (v41dxvA)")</f>
        <v>vec00047 / oddělit (v41dxvA)</v>
      </c>
      <c r="V170">
        <v>0.12578</v>
      </c>
      <c r="W170" t="s">
        <v>29</v>
      </c>
      <c r="Z170" t="str">
        <f>HYPERLINK("https://lindat.mff.cuni.cz/services/SynSemClass55/SynSemClass55.html?veclass=vec00764", "vec00764 / vytrhnout (v41pdrB)")</f>
        <v>vec00764 / vytrhnout (v41pdrB)</v>
      </c>
      <c r="AA170">
        <v>8.0210000000000004E-2</v>
      </c>
      <c r="AB170" t="s">
        <v>29</v>
      </c>
      <c r="AE170" t="str">
        <f>HYPERLINK("https://lindat.mff.cuni.cz/services/SynSemClass55/SynSemClass55.html?veclass=vec01936", "vec01936 / vyčlenit se (v41nwmA)")</f>
        <v>vec01936 / vyčlenit se (v41nwmA)</v>
      </c>
      <c r="AF170">
        <v>4.4729999999999999E-2</v>
      </c>
      <c r="AG170" t="s">
        <v>29</v>
      </c>
    </row>
    <row r="172" spans="1:33" x14ac:dyDescent="0.2">
      <c r="A172" t="str">
        <f>HYPERLINK("https://lindat.mff.cuni.cz/services/PDT-Vallex4.5/PDT-Vallex4.5.html?verb=odtrhovat", "odtrhovat")</f>
        <v>odtrhovat</v>
      </c>
      <c r="B172" t="str">
        <f>HYPERLINK("https://lindat.mff.cuni.cz/services/PDT-Vallex4.5/PDT-Vallex4.5.html?verb=odtrhovat#v41eluA", "v41eluA")</f>
        <v>v41eluA</v>
      </c>
      <c r="E172">
        <v>34</v>
      </c>
      <c r="F172">
        <v>0.12392</v>
      </c>
      <c r="G172" s="1" t="s">
        <v>32</v>
      </c>
      <c r="K172" t="str">
        <f>HYPERLINK("https://lindat.mff.cuni.cz/services/SynSemClass55/SynSemClass55.html?veclass=vec00905", "vec00905 / rozejít se (v41joqA)")</f>
        <v>vec00905 / rozejít se (v41joqA)</v>
      </c>
      <c r="L172">
        <v>0.12392</v>
      </c>
      <c r="M172" t="s">
        <v>29</v>
      </c>
      <c r="P172" t="str">
        <f>HYPERLINK("https://lindat.mff.cuni.cz/services/SynSemClass55/SynSemClass55.html?veclass=vec00764", "vec00764 / vytrhnout (v41pdrB)")</f>
        <v>vec00764 / vytrhnout (v41pdrB)</v>
      </c>
      <c r="Q172">
        <v>8.2070000000000004E-2</v>
      </c>
      <c r="R172" t="s">
        <v>29</v>
      </c>
      <c r="U172" t="str">
        <f>HYPERLINK("https://lindat.mff.cuni.cz/services/SynSemClass55/SynSemClass55.html?veclass=vec01456", "vec01456 / useknout (v41muvA)")</f>
        <v>vec01456 / useknout (v41muvA)</v>
      </c>
      <c r="V172">
        <v>7.4480000000000005E-2</v>
      </c>
      <c r="W172" t="s">
        <v>29</v>
      </c>
      <c r="Z172" t="str">
        <f>HYPERLINK("https://lindat.mff.cuni.cz/services/SynSemClass55/SynSemClass55.html?veclass=vec00047", "vec00047 / oddělit (v41dxvA)")</f>
        <v>vec00047 / oddělit (v41dxvA)</v>
      </c>
      <c r="AA172">
        <v>7.2650000000000006E-2</v>
      </c>
      <c r="AB172" t="s">
        <v>31</v>
      </c>
      <c r="AE172" t="str">
        <f>HYPERLINK("https://lindat.mff.cuni.cz/services/SynSemClass55/SynSemClass55.html?veclass=vec01413", "vec01413 / odtrhnout se (v41eltB)")</f>
        <v>vec01413 / odtrhnout se (v41eltB)</v>
      </c>
      <c r="AF172">
        <v>3.0960000000000001E-2</v>
      </c>
      <c r="AG172" t="s">
        <v>29</v>
      </c>
    </row>
    <row r="174" spans="1:33" x14ac:dyDescent="0.2">
      <c r="A174" t="str">
        <f>HYPERLINK("https://lindat.mff.cuni.cz/services/PDT-Vallex4.5/PDT-Vallex4.5.html?verb=ohlašovat", "ohlašovat")</f>
        <v>ohlašovat</v>
      </c>
      <c r="B174" t="str">
        <f>HYPERLINK("https://lindat.mff.cuni.cz/services/PDT-Vallex4.5/PDT-Vallex4.5.html?verb=ohlašovat#v41eoqB", "v41eoqB")</f>
        <v>v41eoqB</v>
      </c>
      <c r="E174">
        <v>265</v>
      </c>
      <c r="F174">
        <v>0.73582000000000003</v>
      </c>
      <c r="G174" s="1" t="s">
        <v>32</v>
      </c>
      <c r="K174" t="str">
        <f>HYPERLINK("https://lindat.mff.cuni.cz/services/SynSemClass55/SynSemClass55.html?veclass=vec00060", "vec00060 / oznámit (v41fgeD)")</f>
        <v>vec00060 / oznámit (v41fgeD)</v>
      </c>
      <c r="L174">
        <v>0.73582000000000003</v>
      </c>
      <c r="M174" t="s">
        <v>31</v>
      </c>
      <c r="N174" t="s">
        <v>93</v>
      </c>
      <c r="P174" t="str">
        <f>HYPERLINK("https://lindat.mff.cuni.cz/services/SynSemClass55/SynSemClass55.html?veclass=vec01163", "vec01163 / vytrubovat (v41pdvA)")</f>
        <v>vec01163 / vytrubovat (v41pdvA)</v>
      </c>
      <c r="Q174">
        <v>3.635E-2</v>
      </c>
      <c r="R174" t="s">
        <v>29</v>
      </c>
      <c r="U174" t="str">
        <f>HYPERLINK("https://lindat.mff.cuni.cz/services/SynSemClass55/SynSemClass55.html?veclass=vec00488", "vec00488 / prohlásit (v41hddA)")</f>
        <v>vec00488 / prohlásit (v41hddA)</v>
      </c>
      <c r="V174">
        <v>3.2050000000000002E-2</v>
      </c>
      <c r="W174" t="s">
        <v>29</v>
      </c>
      <c r="Z174" t="str">
        <f>HYPERLINK("https://lindat.mff.cuni.cz/services/SynSemClass55/SynSemClass55.html?veclass=vec01944", "vec01944 / vypisovat (v41ooeD)")</f>
        <v>vec01944 / vypisovat (v41ooeD)</v>
      </c>
      <c r="AA174">
        <v>2.462E-2</v>
      </c>
      <c r="AB174" t="s">
        <v>29</v>
      </c>
      <c r="AE174" t="str">
        <f>HYPERLINK("https://lindat.mff.cuni.cz/services/SynSemClass55/SynSemClass55.html?veclass=vec01700", "vec01700 / vykopat (v41ofuC)")</f>
        <v>vec01700 / vykopat (v41ofuC)</v>
      </c>
      <c r="AF174">
        <v>1.67E-2</v>
      </c>
      <c r="AG174" t="s">
        <v>29</v>
      </c>
    </row>
    <row r="176" spans="1:33" x14ac:dyDescent="0.2">
      <c r="A176" t="str">
        <f>HYPERLINK("https://lindat.mff.cuni.cz/services/PDT-Vallex4.5/PDT-Vallex4.5.html?verb=ohlodat", "ohlodat")</f>
        <v>ohlodat</v>
      </c>
      <c r="B176" t="str">
        <f>HYPERLINK("https://lindat.mff.cuni.cz/services/PDT-Vallex4.5/PDT-Vallex4.5.html?verb=ohlodat#v41eozA", "v41eozA")</f>
        <v>v41eozA</v>
      </c>
      <c r="E176">
        <v>25</v>
      </c>
      <c r="F176">
        <v>5.9740000000000001E-2</v>
      </c>
      <c r="G176" s="1">
        <v>0</v>
      </c>
      <c r="I176" s="1" t="s">
        <v>94</v>
      </c>
      <c r="K176" t="str">
        <f>HYPERLINK("https://lindat.mff.cuni.cz/services/SynSemClass55/SynSemClass55.html?veclass=vec01250", "vec01250 / opracovávat (v41ewzA)")</f>
        <v>vec01250 / opracovávat (v41ewzA)</v>
      </c>
      <c r="L176">
        <v>5.9740000000000001E-2</v>
      </c>
      <c r="M176" t="s">
        <v>29</v>
      </c>
      <c r="P176" t="str">
        <f>HYPERLINK("https://lindat.mff.cuni.cz/services/SynSemClass55/SynSemClass55.html?veclass=vec01699", "vec01699 / veslovat (v41njuA)")</f>
        <v>vec01699 / veslovat (v41njuA)</v>
      </c>
      <c r="Q176">
        <v>4.888E-2</v>
      </c>
      <c r="R176" t="s">
        <v>29</v>
      </c>
      <c r="U176" t="str">
        <f>HYPERLINK("https://lindat.mff.cuni.cz/services/SynSemClass55/SynSemClass55.html?veclass=vec01216", "vec01216 / hrabat se (v41aygA)")</f>
        <v>vec01216 / hrabat se (v41aygA)</v>
      </c>
      <c r="V176">
        <v>4.3950000000000003E-2</v>
      </c>
      <c r="W176" t="s">
        <v>29</v>
      </c>
      <c r="Z176" t="str">
        <f>HYPERLINK("https://lindat.mff.cuni.cz/services/SynSemClass55/SynSemClass55.html?veclass=vec01810", "vec01810 / osahávat (v41eyrA)")</f>
        <v>vec01810 / osahávat (v41eyrA)</v>
      </c>
      <c r="AA176">
        <v>4.308E-2</v>
      </c>
      <c r="AB176" t="s">
        <v>29</v>
      </c>
      <c r="AE176" t="str">
        <f>HYPERLINK("https://lindat.mff.cuni.cz/services/SynSemClass55/SynSemClass55.html?veclass=vec00503", "vec00503 / přiznat se (v41jcjA)")</f>
        <v>vec00503 / přiznat se (v41jcjA)</v>
      </c>
      <c r="AF176">
        <v>4.2259999999999999E-2</v>
      </c>
      <c r="AG176" t="s">
        <v>29</v>
      </c>
    </row>
    <row r="178" spans="1:33" x14ac:dyDescent="0.2">
      <c r="A178" t="str">
        <f>HYPERLINK("https://lindat.mff.cuni.cz/services/PDT-Vallex4.5/PDT-Vallex4.5.html?verb=okusit", "okusit")</f>
        <v>okusit</v>
      </c>
      <c r="B178" t="str">
        <f>HYPERLINK("https://lindat.mff.cuni.cz/services/PDT-Vallex4.5/PDT-Vallex4.5.html?verb=okusit#v41esqA", "v41esqA")</f>
        <v>v41esqA</v>
      </c>
      <c r="E178">
        <v>245</v>
      </c>
      <c r="F178">
        <v>0.15801999999999999</v>
      </c>
      <c r="G178" s="1" t="s">
        <v>32</v>
      </c>
      <c r="K178" t="str">
        <f>HYPERLINK("https://lindat.mff.cuni.cz/services/SynSemClass55/SynSemClass55.html?veclass=vec00058", "vec00058 / otestovat (v41fcyA)")</f>
        <v>vec00058 / otestovat (v41fcyA)</v>
      </c>
      <c r="L178">
        <v>0.15801999999999999</v>
      </c>
      <c r="M178" t="s">
        <v>31</v>
      </c>
      <c r="P178" t="str">
        <f>HYPERLINK("https://lindat.mff.cuni.cz/services/SynSemClass55/SynSemClass55.html?veclass=vec00379", "vec00379 / zažít (v41qvdA)")</f>
        <v>vec00379 / zažít (v41qvdA)</v>
      </c>
      <c r="Q178">
        <v>0.13316</v>
      </c>
      <c r="R178" t="s">
        <v>29</v>
      </c>
      <c r="U178" t="str">
        <f>HYPERLINK("https://lindat.mff.cuni.cz/services/SynSemClass55/SynSemClass55.html?veclass=vec00470", "vec00470 / pociťovat (v41fphB)")</f>
        <v>vec00470 / pociťovat (v41fphB)</v>
      </c>
      <c r="V178">
        <v>7.8969999999999999E-2</v>
      </c>
      <c r="W178" t="s">
        <v>29</v>
      </c>
      <c r="Z178" t="str">
        <f>HYPERLINK("https://lindat.mff.cuni.cz/services/SynSemClass55/SynSemClass55.html?veclass=vec00203", "vec00203 / cítit (v41lbD)")</f>
        <v>vec00203 / cítit (v41lbD)</v>
      </c>
      <c r="AA178">
        <v>5.8229999999999997E-2</v>
      </c>
      <c r="AB178" t="s">
        <v>29</v>
      </c>
      <c r="AE178" t="str">
        <f>HYPERLINK("https://lindat.mff.cuni.cz/services/SynSemClass55/SynSemClass55.html?veclass=vec01631", "vec01631 / zažít se (v41qvfA)")</f>
        <v>vec01631 / zažít se (v41qvfA)</v>
      </c>
      <c r="AF178">
        <v>3.2579999999999998E-2</v>
      </c>
      <c r="AG178" t="s">
        <v>29</v>
      </c>
    </row>
    <row r="180" spans="1:33" x14ac:dyDescent="0.2">
      <c r="A180" t="str">
        <f>HYPERLINK("https://lindat.mff.cuni.cz/services/PDT-Vallex4.5/PDT-Vallex4.5.html?verb=opíjet", "opíjet")</f>
        <v>opíjet</v>
      </c>
      <c r="B180" t="str">
        <f>HYPERLINK("https://lindat.mff.cuni.cz/services/PDT-Vallex4.5/PDT-Vallex4.5.html?verb=opíjet#v41evmA", "v41evmA")</f>
        <v>v41evmA</v>
      </c>
      <c r="E180">
        <v>155</v>
      </c>
      <c r="F180">
        <v>8.2600000000000007E-2</v>
      </c>
      <c r="G180" s="1">
        <v>0</v>
      </c>
      <c r="I180" s="1" t="s">
        <v>70</v>
      </c>
      <c r="K180" t="str">
        <f>HYPERLINK("https://lindat.mff.cuni.cz/services/SynSemClass55/SynSemClass55.html?veclass=vec00866", "vec00866 / pít (v41fluA)")</f>
        <v>vec00866 / pít (v41fluA)</v>
      </c>
      <c r="L180">
        <v>8.2600000000000007E-2</v>
      </c>
      <c r="M180" t="s">
        <v>29</v>
      </c>
      <c r="P180" t="str">
        <f>HYPERLINK("https://lindat.mff.cuni.cz/services/SynSemClass55/SynSemClass55.html?veclass=vec00830", "vec00830 / kouřit (v41bttA)")</f>
        <v>vec00830 / kouřit (v41bttA)</v>
      </c>
      <c r="Q180">
        <v>5.0439999999999999E-2</v>
      </c>
      <c r="R180" t="s">
        <v>29</v>
      </c>
      <c r="U180" t="str">
        <f>HYPERLINK("https://lindat.mff.cuni.cz/services/SynSemClass55/SynSemClass55.html?veclass=vec01514", "vec01514 / předávkovat (v41hvjA)")</f>
        <v>vec01514 / předávkovat (v41hvjA)</v>
      </c>
      <c r="V180">
        <v>4.913E-2</v>
      </c>
      <c r="W180" t="s">
        <v>29</v>
      </c>
      <c r="Z180" t="str">
        <f>HYPERLINK("https://lindat.mff.cuni.cz/services/SynSemClass55/SynSemClass55.html?veclass=vec01584", "vec01584 / oholit (v41eplB)")</f>
        <v>vec01584 / oholit (v41eplB)</v>
      </c>
      <c r="AA180">
        <v>4.1279999999999997E-2</v>
      </c>
      <c r="AB180" t="s">
        <v>29</v>
      </c>
      <c r="AE180" t="str">
        <f>HYPERLINK("https://lindat.mff.cuni.cz/services/SynSemClass55/SynSemClass55.html?veclass=vec01039", "vec01039 / kousnout si (v41btzA)")</f>
        <v>vec01039 / kousnout si (v41btzA)</v>
      </c>
      <c r="AF180">
        <v>3.594E-2</v>
      </c>
      <c r="AG180" t="s">
        <v>29</v>
      </c>
    </row>
    <row r="182" spans="1:33" x14ac:dyDescent="0.2">
      <c r="A182" t="str">
        <f>HYPERLINK("https://lindat.mff.cuni.cz/services/PDT-Vallex4.5/PDT-Vallex4.5.html?verb=opotřebovat", "opotřebovat")</f>
        <v>opotřebovat</v>
      </c>
      <c r="B182" t="str">
        <f>HYPERLINK("https://lindat.mff.cuni.cz/services/PDT-Vallex4.5/PDT-Vallex4.5.html?verb=opotřebovat#v41ewqA", "v41ewqA")</f>
        <v>v41ewqA</v>
      </c>
      <c r="E182">
        <v>34</v>
      </c>
      <c r="F182">
        <v>9.9339999999999998E-2</v>
      </c>
      <c r="G182" s="1">
        <v>0</v>
      </c>
      <c r="I182" s="1" t="s">
        <v>79</v>
      </c>
      <c r="K182" t="str">
        <f>HYPERLINK("https://lindat.mff.cuni.cz/services/SynSemClass55/SynSemClass55.html?veclass=vec00790", "vec00790 / zkazit se (v41rfkA)")</f>
        <v>vec00790 / zkazit se (v41rfkA)</v>
      </c>
      <c r="L182">
        <v>9.9339999999999998E-2</v>
      </c>
      <c r="M182" t="s">
        <v>29</v>
      </c>
      <c r="P182" t="str">
        <f>HYPERLINK("https://lindat.mff.cuni.cz/services/SynSemClass55/SynSemClass55.html?veclass=vec01613", "vec01613 / unavit (v41mqbA)")</f>
        <v>vec01613 / unavit (v41mqbA)</v>
      </c>
      <c r="Q182">
        <v>8.9230000000000004E-2</v>
      </c>
      <c r="R182" t="s">
        <v>29</v>
      </c>
      <c r="U182" t="str">
        <f>HYPERLINK("https://lindat.mff.cuni.cz/services/SynSemClass55/SynSemClass55.html?veclass=vec00576", "vec00576 / zaplavit (v41qflC)")</f>
        <v>vec00576 / zaplavit (v41qflC)</v>
      </c>
      <c r="V182">
        <v>7.0290000000000005E-2</v>
      </c>
      <c r="W182" t="s">
        <v>29</v>
      </c>
      <c r="Z182" t="str">
        <f>HYPERLINK("https://lindat.mff.cuni.cz/services/SynSemClass55/SynSemClass55.html?veclass=vec01988", "vec01988 / zúročit (v41saaA)")</f>
        <v>vec01988 / zúročit (v41saaA)</v>
      </c>
      <c r="AA182">
        <v>6.6589999999999996E-2</v>
      </c>
      <c r="AB182" t="s">
        <v>29</v>
      </c>
      <c r="AE182" t="str">
        <f>HYPERLINK("https://lindat.mff.cuni.cz/services/SynSemClass55/SynSemClass55.html?veclass=vec00755", "vec00755 / vymizet (v41okoA)")</f>
        <v>vec00755 / vymizet (v41okoA)</v>
      </c>
      <c r="AF182">
        <v>6.2829999999999997E-2</v>
      </c>
      <c r="AG182" t="s">
        <v>29</v>
      </c>
    </row>
    <row r="184" spans="1:33" x14ac:dyDescent="0.2">
      <c r="A184" t="str">
        <f>HYPERLINK("https://lindat.mff.cuni.cz/services/PDT-Vallex4.5/PDT-Vallex4.5.html?verb=opsat", "opsat")</f>
        <v>opsat</v>
      </c>
      <c r="B184" t="str">
        <f>HYPERLINK("https://lindat.mff.cuni.cz/services/PDT-Vallex4.5/PDT-Vallex4.5.html?verb=opsat#v41expA", "v41expA")</f>
        <v>v41expA</v>
      </c>
      <c r="E184">
        <v>430</v>
      </c>
      <c r="F184">
        <v>0.32157999999999998</v>
      </c>
      <c r="G184" s="1" t="s">
        <v>32</v>
      </c>
      <c r="K184" t="str">
        <f>HYPERLINK("https://lindat.mff.cuni.cz/services/SynSemClass55/SynSemClass55.html?veclass=vec01249", "vec01249 / opisovat (v41evuA)")</f>
        <v>vec01249 / opisovat (v41evuA)</v>
      </c>
      <c r="L184">
        <v>0.32157999999999998</v>
      </c>
      <c r="M184" t="s">
        <v>29</v>
      </c>
      <c r="P184" t="str">
        <f>HYPERLINK("https://lindat.mff.cuni.cz/services/SynSemClass55/SynSemClass55.html?veclass=vec01855", "vec01855 / přetisknout (v41ilfA)")</f>
        <v>vec01855 / přetisknout (v41ilfA)</v>
      </c>
      <c r="Q184">
        <v>4.317E-2</v>
      </c>
      <c r="R184" t="s">
        <v>29</v>
      </c>
      <c r="U184" t="str">
        <f>HYPERLINK("https://lindat.mff.cuni.cz/services/SynSemClass55/SynSemClass55.html?veclass=vec00037", "vec00037 / napsat (v41cyqJ)")</f>
        <v>vec00037 / napsat (v41cyqJ)</v>
      </c>
      <c r="V184">
        <v>2.8740000000000002E-2</v>
      </c>
      <c r="W184" t="s">
        <v>29</v>
      </c>
      <c r="Z184" t="str">
        <f>HYPERLINK("https://lindat.mff.cuni.cz/services/SynSemClass55/SynSemClass55.html?veclass=vec01804", "vec01804 / okoukat (v41esbA)")</f>
        <v>vec01804 / okoukat (v41esbA)</v>
      </c>
      <c r="AA184">
        <v>2.7560000000000001E-2</v>
      </c>
      <c r="AB184" t="s">
        <v>33</v>
      </c>
      <c r="AC184" t="s">
        <v>95</v>
      </c>
      <c r="AE184" t="str">
        <f>HYPERLINK("https://lindat.mff.cuni.cz/services/SynSemClass55/SynSemClass55.html?veclass=vec01246", "vec01246 / okopírovat (v41erzB)")</f>
        <v>vec01246 / okopírovat (v41erzB)</v>
      </c>
      <c r="AF184">
        <v>2.2089999999999999E-2</v>
      </c>
      <c r="AG184" t="s">
        <v>29</v>
      </c>
    </row>
    <row r="186" spans="1:33" x14ac:dyDescent="0.2">
      <c r="A186" t="str">
        <f>HYPERLINK("https://lindat.mff.cuni.cz/services/PDT-Vallex4.5/PDT-Vallex4.5.html?verb=oteplit se", "oteplit se")</f>
        <v>oteplit se</v>
      </c>
      <c r="B186" t="str">
        <f>HYPERLINK("https://lindat.mff.cuni.cz/services/PDT-Vallex4.5/PDT-Vallex4.5.html?verb=oteplit se#v41fcuA", "v41fcuA")</f>
        <v>v41fcuA</v>
      </c>
      <c r="E186">
        <v>48</v>
      </c>
      <c r="F186">
        <v>0.40588999999999997</v>
      </c>
      <c r="G186" s="1" t="s">
        <v>32</v>
      </c>
      <c r="K186" t="str">
        <f>HYPERLINK("https://lindat.mff.cuni.cz/services/SynSemClass55/SynSemClass55.html?veclass=vec01064", "vec01064 / oteplovat se (v41fcwA)")</f>
        <v>vec01064 / oteplovat se (v41fcwA)</v>
      </c>
      <c r="L186">
        <v>0.40588999999999997</v>
      </c>
      <c r="M186" t="s">
        <v>31</v>
      </c>
      <c r="P186" t="str">
        <f>HYPERLINK("https://lindat.mff.cuni.cz/services/SynSemClass55/SynSemClass55.html?veclass=vec01644", "vec01644 / mrznout (v41cjwB)")</f>
        <v>vec01644 / mrznout (v41cjwB)</v>
      </c>
      <c r="Q186">
        <v>0.13163</v>
      </c>
      <c r="R186" t="s">
        <v>29</v>
      </c>
      <c r="U186" t="str">
        <f>HYPERLINK("https://lindat.mff.cuni.cz/services/SynSemClass55/SynSemClass55.html?veclass=vec00055", "vec00055 / oslabit (v41ezlC)")</f>
        <v>vec00055 / oslabit (v41ezlC)</v>
      </c>
      <c r="V186">
        <v>3.0880000000000001E-2</v>
      </c>
      <c r="W186" t="s">
        <v>29</v>
      </c>
      <c r="Z186" t="str">
        <f>HYPERLINK("https://lindat.mff.cuni.cz/services/SynSemClass55/SynSemClass55.html?veclass=vec01553", "vec01553 / hřát (v41azjA)")</f>
        <v>vec01553 / hřát (v41azjA)</v>
      </c>
      <c r="AA186">
        <v>2.6880000000000001E-2</v>
      </c>
      <c r="AB186" t="s">
        <v>29</v>
      </c>
      <c r="AE186" t="str">
        <f>HYPERLINK("https://lindat.mff.cuni.cz/services/SynSemClass55/SynSemClass55.html?veclass=vec01627", "vec01627 / zatáhnout se (v41qosB)")</f>
        <v>vec01627 / zatáhnout se (v41qosB)</v>
      </c>
      <c r="AF186">
        <v>2.647E-2</v>
      </c>
      <c r="AG186" t="s">
        <v>29</v>
      </c>
    </row>
    <row r="188" spans="1:33" x14ac:dyDescent="0.2">
      <c r="A188" t="str">
        <f>HYPERLINK("https://lindat.mff.cuni.cz/services/PDT-Vallex4.5/PDT-Vallex4.5.html?verb=oteplovat", "oteplovat")</f>
        <v>oteplovat</v>
      </c>
      <c r="B188" t="str">
        <f>HYPERLINK("https://lindat.mff.cuni.cz/services/PDT-Vallex4.5/PDT-Vallex4.5.html?verb=oteplovat#v41fcvA", "v41fcvA")</f>
        <v>v41fcvA</v>
      </c>
      <c r="E188">
        <v>30</v>
      </c>
      <c r="F188">
        <v>0.57643</v>
      </c>
      <c r="G188" s="1" t="s">
        <v>32</v>
      </c>
      <c r="K188" t="str">
        <f>HYPERLINK("https://lindat.mff.cuni.cz/services/SynSemClass55/SynSemClass55.html?veclass=vec01064", "vec01064 / oteplovat se (v41fcwA)")</f>
        <v>vec01064 / oteplovat se (v41fcwA)</v>
      </c>
      <c r="L188">
        <v>0.57643</v>
      </c>
      <c r="M188" t="s">
        <v>29</v>
      </c>
      <c r="P188" t="str">
        <f>HYPERLINK("https://lindat.mff.cuni.cz/services/SynSemClass55/SynSemClass55.html?veclass=vec01644", "vec01644 / mrznout (v41cjwB)")</f>
        <v>vec01644 / mrznout (v41cjwB)</v>
      </c>
      <c r="Q188">
        <v>8.7819999999999995E-2</v>
      </c>
      <c r="R188" t="s">
        <v>29</v>
      </c>
      <c r="U188" t="str">
        <f>HYPERLINK("https://lindat.mff.cuni.cz/services/SynSemClass55/SynSemClass55.html?veclass=vec01553", "vec01553 / hřát (v41azjA)")</f>
        <v>vec01553 / hřát (v41azjA)</v>
      </c>
      <c r="V188">
        <v>7.1809999999999999E-2</v>
      </c>
      <c r="W188" t="s">
        <v>31</v>
      </c>
      <c r="Z188" t="str">
        <f>HYPERLINK("https://lindat.mff.cuni.cz/services/SynSemClass55/SynSemClass55.html?veclass=vec00055", "vec00055 / oslabit (v41ezlC)")</f>
        <v>vec00055 / oslabit (v41ezlC)</v>
      </c>
      <c r="AA188">
        <v>3.6429999999999997E-2</v>
      </c>
      <c r="AB188" t="s">
        <v>29</v>
      </c>
      <c r="AE188" t="str">
        <f>HYPERLINK("https://lindat.mff.cuni.cz/services/SynSemClass55/SynSemClass55.html?veclass=vec01103", "vec01103 / roztavit se (v41jztA)")</f>
        <v>vec01103 / roztavit se (v41jztA)</v>
      </c>
      <c r="AF188">
        <v>2.2689999999999998E-2</v>
      </c>
      <c r="AG188" t="s">
        <v>29</v>
      </c>
    </row>
    <row r="190" spans="1:33" x14ac:dyDescent="0.2">
      <c r="A190" t="str">
        <f>HYPERLINK("https://lindat.mff.cuni.cz/services/PDT-Vallex4.5/PDT-Vallex4.5.html?verb=otisknout", "otisknout")</f>
        <v>otisknout</v>
      </c>
      <c r="B190" t="str">
        <f>HYPERLINK("https://lindat.mff.cuni.cz/services/PDT-Vallex4.5/PDT-Vallex4.5.html?verb=otisknout#v41fdiA", "v41fdiA")</f>
        <v>v41fdiA</v>
      </c>
      <c r="E190">
        <v>331</v>
      </c>
      <c r="F190">
        <v>0.43692999999999999</v>
      </c>
      <c r="G190" s="1" t="s">
        <v>96</v>
      </c>
      <c r="K190" t="str">
        <f>HYPERLINK("https://lindat.mff.cuni.cz/services/SynSemClass55/SynSemClass55.html?veclass=vec01855", "vec01855 / přetisknout (v41ilfA)")</f>
        <v>vec01855 / přetisknout (v41ilfA)</v>
      </c>
      <c r="L190">
        <v>0.43692999999999999</v>
      </c>
      <c r="M190" t="s">
        <v>29</v>
      </c>
      <c r="P190" t="str">
        <f>HYPERLINK("https://lindat.mff.cuni.cz/services/SynSemClass55/SynSemClass55.html?veclass=vec00528", "vec00528 / tisknout (v41lzaA)")</f>
        <v>vec00528 / tisknout (v41lzaA)</v>
      </c>
      <c r="Q190">
        <v>0.19935</v>
      </c>
      <c r="R190" t="s">
        <v>29</v>
      </c>
      <c r="U190" t="str">
        <f>HYPERLINK("https://lindat.mff.cuni.cz/services/SynSemClass55/SynSemClass55.html?veclass=vec01249", "vec01249 / opisovat (v41evuA)")</f>
        <v>vec01249 / opisovat (v41evuA)</v>
      </c>
      <c r="V190">
        <v>6.2460000000000002E-2</v>
      </c>
      <c r="W190" t="s">
        <v>29</v>
      </c>
      <c r="Z190" t="str">
        <f>HYPERLINK("https://lindat.mff.cuni.cz/services/SynSemClass55/SynSemClass55.html?veclass=vec00638", "vec00638 / namalovat (v41cutB)")</f>
        <v>vec00638 / namalovat (v41cutB)</v>
      </c>
      <c r="AA190">
        <v>2.9080000000000002E-2</v>
      </c>
      <c r="AB190" t="s">
        <v>29</v>
      </c>
      <c r="AE190" t="str">
        <f>HYPERLINK("https://lindat.mff.cuni.cz/services/SynSemClass55/SynSemClass55.html?veclass=vec01224", "vec01224 / listovat (v41cbiA)")</f>
        <v>vec01224 / listovat (v41cbiA)</v>
      </c>
      <c r="AF190">
        <v>2.53E-2</v>
      </c>
      <c r="AG190" t="s">
        <v>29</v>
      </c>
    </row>
    <row r="192" spans="1:33" x14ac:dyDescent="0.2">
      <c r="A192" t="str">
        <f>HYPERLINK("https://lindat.mff.cuni.cz/services/PDT-Vallex4.5/PDT-Vallex4.5.html?verb=otiskovat", "otiskovat")</f>
        <v>otiskovat</v>
      </c>
      <c r="B192" t="str">
        <f>HYPERLINK("https://lindat.mff.cuni.cz/services/PDT-Vallex4.5/PDT-Vallex4.5.html?verb=otiskovat#v41fdjA", "v41fdjA")</f>
        <v>v41fdjA</v>
      </c>
      <c r="E192">
        <v>52</v>
      </c>
      <c r="F192">
        <v>0.38469999999999999</v>
      </c>
      <c r="G192" s="1" t="s">
        <v>96</v>
      </c>
      <c r="K192" t="str">
        <f>HYPERLINK("https://lindat.mff.cuni.cz/services/SynSemClass55/SynSemClass55.html?veclass=vec01855", "vec01855 / přetisknout (v41ilfA)")</f>
        <v>vec01855 / přetisknout (v41ilfA)</v>
      </c>
      <c r="L192">
        <v>0.38469999999999999</v>
      </c>
      <c r="M192" t="s">
        <v>29</v>
      </c>
      <c r="P192" t="str">
        <f>HYPERLINK("https://lindat.mff.cuni.cz/services/SynSemClass55/SynSemClass55.html?veclass=vec00528", "vec00528 / tisknout (v41lzaA)")</f>
        <v>vec00528 / tisknout (v41lzaA)</v>
      </c>
      <c r="Q192">
        <v>7.2169999999999998E-2</v>
      </c>
      <c r="R192" t="s">
        <v>29</v>
      </c>
      <c r="U192" t="str">
        <f>HYPERLINK("https://lindat.mff.cuni.cz/services/SynSemClass55/SynSemClass55.html?veclass=vec01249", "vec01249 / opisovat (v41evuA)")</f>
        <v>vec01249 / opisovat (v41evuA)</v>
      </c>
      <c r="V192">
        <v>7.2120000000000004E-2</v>
      </c>
      <c r="W192" t="s">
        <v>29</v>
      </c>
      <c r="Z192" t="str">
        <f>HYPERLINK("https://lindat.mff.cuni.cz/services/SynSemClass55/SynSemClass55.html?veclass=vec01673", "vec01673 / rýt (v41kdeA)")</f>
        <v>vec01673 / rýt (v41kdeA)</v>
      </c>
      <c r="AA192">
        <v>4.369E-2</v>
      </c>
      <c r="AB192" t="s">
        <v>29</v>
      </c>
      <c r="AE192" t="str">
        <f>HYPERLINK("https://lindat.mff.cuni.cz/services/SynSemClass55/SynSemClass55.html?veclass=vec01224", "vec01224 / listovat (v41cbiA)")</f>
        <v>vec01224 / listovat (v41cbiA)</v>
      </c>
      <c r="AF192">
        <v>3.5090000000000003E-2</v>
      </c>
      <c r="AG192" t="s">
        <v>29</v>
      </c>
    </row>
    <row r="194" spans="1:33" x14ac:dyDescent="0.2">
      <c r="A194" t="str">
        <f>HYPERLINK("https://lindat.mff.cuni.cz/services/PDT-Vallex4.5/PDT-Vallex4.5.html?verb=otužovat", "otužovat")</f>
        <v>otužovat</v>
      </c>
      <c r="B194" t="str">
        <f>HYPERLINK("https://lindat.mff.cuni.cz/services/PDT-Vallex4.5/PDT-Vallex4.5.html?verb=otužovat#v41fekA", "v41fekA")</f>
        <v>v41fekA</v>
      </c>
      <c r="E194">
        <v>11</v>
      </c>
      <c r="F194">
        <v>0.25944</v>
      </c>
      <c r="G194" s="1" t="s">
        <v>97</v>
      </c>
      <c r="K194" t="str">
        <f>HYPERLINK("https://lindat.mff.cuni.cz/services/SynSemClass55/SynSemClass55.html?veclass=vec00536", "vec00536 / uklidnit (v41mmaA)")</f>
        <v>vec00536 / uklidnit (v41mmaA)</v>
      </c>
      <c r="L194">
        <v>0.25944</v>
      </c>
      <c r="M194" t="s">
        <v>29</v>
      </c>
      <c r="P194" t="str">
        <f>HYPERLINK("https://lindat.mff.cuni.cz/services/SynSemClass55/SynSemClass55.html?veclass=vec00055", "vec00055 / oslabit (v41ezlC)")</f>
        <v>vec00055 / oslabit (v41ezlC)</v>
      </c>
      <c r="Q194">
        <v>8.3940000000000001E-2</v>
      </c>
      <c r="R194" t="s">
        <v>29</v>
      </c>
      <c r="U194" t="str">
        <f>HYPERLINK("https://lindat.mff.cuni.cz/services/SynSemClass55/SynSemClass55.html?veclass=vec00733", "vec00733 / uklidnit se (v41mmbA)")</f>
        <v>vec00733 / uklidnit se (v41mmbA)</v>
      </c>
      <c r="V194">
        <v>4.7419999999999997E-2</v>
      </c>
      <c r="W194" t="s">
        <v>29</v>
      </c>
      <c r="Z194" t="str">
        <f>HYPERLINK("https://lindat.mff.cuni.cz/services/SynSemClass55/SynSemClass55.html?veclass=vec01549", "vec01549 / dusit se (v41alzA)")</f>
        <v>vec01549 / dusit se (v41alzA)</v>
      </c>
      <c r="AA194">
        <v>4.7E-2</v>
      </c>
      <c r="AB194" t="s">
        <v>29</v>
      </c>
      <c r="AE194" t="str">
        <f>HYPERLINK("https://lindat.mff.cuni.cz/services/SynSemClass55/SynSemClass55.html?veclass=vec00958", "vec00958 / vyčinit (v41nvxA)")</f>
        <v>vec00958 / vyčinit (v41nvxA)</v>
      </c>
      <c r="AF194">
        <v>3.9609999999999999E-2</v>
      </c>
      <c r="AG194" t="s">
        <v>29</v>
      </c>
    </row>
    <row r="196" spans="1:33" x14ac:dyDescent="0.2">
      <c r="A196" t="str">
        <f>HYPERLINK("https://lindat.mff.cuni.cz/services/PDT-Vallex4.5/PDT-Vallex4.5.html?verb=ozářit", "ozářit")</f>
        <v>ozářit</v>
      </c>
      <c r="B196" t="str">
        <f>HYPERLINK("https://lindat.mff.cuni.cz/services/PDT-Vallex4.5/PDT-Vallex4.5.html?verb=ozářit#v41ffmB", "v41ffmB")</f>
        <v>v41ffmB</v>
      </c>
      <c r="E196">
        <v>323</v>
      </c>
      <c r="F196">
        <v>0.66102000000000005</v>
      </c>
      <c r="G196" s="1">
        <v>0</v>
      </c>
      <c r="I196" s="1" t="s">
        <v>39</v>
      </c>
      <c r="K196" t="str">
        <f>HYPERLINK("https://lindat.mff.cuni.cz/services/SynSemClass55/SynSemClass55.html?veclass=vec01417", "vec01417 / osvětlit (v41fbeB)")</f>
        <v>vec01417 / osvětlit (v41fbeB)</v>
      </c>
      <c r="L196">
        <v>0.66102000000000005</v>
      </c>
      <c r="M196" t="s">
        <v>29</v>
      </c>
      <c r="P196" t="str">
        <f>HYPERLINK("https://lindat.mff.cuni.cz/services/SynSemClass55/SynSemClass55.html?veclass=vec01173", "vec01173 / zářit (v41qjnB)")</f>
        <v>vec01173 / zářit (v41qjnB)</v>
      </c>
      <c r="Q196">
        <v>9.0539999999999995E-2</v>
      </c>
      <c r="R196" t="s">
        <v>29</v>
      </c>
      <c r="U196" t="str">
        <f>HYPERLINK("https://lindat.mff.cuni.cz/services/SynSemClass55/SynSemClass55.html?veclass=vec00514", "vec00514 / skrýt (v41krqB)")</f>
        <v>vec00514 / skrýt (v41krqB)</v>
      </c>
      <c r="V196">
        <v>3.456E-2</v>
      </c>
      <c r="W196" t="s">
        <v>29</v>
      </c>
      <c r="Z196" t="str">
        <f>HYPERLINK("https://lindat.mff.cuni.cz/services/SynSemClass55/SynSemClass55.html?veclass=vec01887", "vec01887 / slunit se (v41kueA)")</f>
        <v>vec01887 / slunit se (v41kueA)</v>
      </c>
      <c r="AA196">
        <v>2.8740000000000002E-2</v>
      </c>
      <c r="AB196" t="s">
        <v>29</v>
      </c>
      <c r="AE196" t="str">
        <f>HYPERLINK("https://lindat.mff.cuni.cz/services/SynSemClass55/SynSemClass55.html?veclass=vec00450", "vec00450 / objasnit (v41dpgA)")</f>
        <v>vec00450 / objasnit (v41dpgA)</v>
      </c>
      <c r="AF196">
        <v>2.4629999999999999E-2</v>
      </c>
      <c r="AG196" t="s">
        <v>29</v>
      </c>
    </row>
    <row r="198" spans="1:33" x14ac:dyDescent="0.2">
      <c r="A198" t="str">
        <f>HYPERLINK("https://lindat.mff.cuni.cz/services/PDT-Vallex4.5/PDT-Vallex4.5.html?verb=ožrat", "ožrat")</f>
        <v>ožrat</v>
      </c>
      <c r="B198" t="str">
        <f>HYPERLINK("https://lindat.mff.cuni.cz/services/PDT-Vallex4.5/PDT-Vallex4.5.html?verb=ožrat#v41fhcA", "v41fhcA")</f>
        <v>v41fhcA</v>
      </c>
      <c r="E198">
        <v>113</v>
      </c>
      <c r="F198">
        <v>0.54379999999999995</v>
      </c>
      <c r="G198" s="1">
        <v>0</v>
      </c>
      <c r="I198" s="1" t="s">
        <v>94</v>
      </c>
      <c r="K198" t="str">
        <f>HYPERLINK("https://lindat.mff.cuni.cz/services/SynSemClass55/SynSemClass55.html?veclass=vec00828", "vec00828 / jíst (v41bifB)")</f>
        <v>vec00828 / jíst (v41bifB)</v>
      </c>
      <c r="L198">
        <v>0.54379999999999995</v>
      </c>
      <c r="M198" t="s">
        <v>29</v>
      </c>
      <c r="P198" t="str">
        <f>HYPERLINK("https://lindat.mff.cuni.cz/services/SynSemClass55/SynSemClass55.html?veclass=vec01514", "vec01514 / předávkovat (v41hvjA)")</f>
        <v>vec01514 / předávkovat (v41hvjA)</v>
      </c>
      <c r="Q198">
        <v>0.25170999999999999</v>
      </c>
      <c r="R198" t="s">
        <v>29</v>
      </c>
      <c r="U198" t="str">
        <f>HYPERLINK("https://lindat.mff.cuni.cz/services/SynSemClass55/SynSemClass55.html?veclass=vec01549", "vec01549 / dusit se (v41alzA)")</f>
        <v>vec01549 / dusit se (v41alzA)</v>
      </c>
      <c r="V198">
        <v>3.8080000000000003E-2</v>
      </c>
      <c r="W198" t="s">
        <v>29</v>
      </c>
      <c r="Z198" t="str">
        <f>HYPERLINK("https://lindat.mff.cuni.cz/services/SynSemClass55/SynSemClass55.html?veclass=vec00576", "vec00576 / zaplavit (v41qflC)")</f>
        <v>vec00576 / zaplavit (v41qflC)</v>
      </c>
      <c r="AA198">
        <v>2.5139999999999999E-2</v>
      </c>
      <c r="AB198" t="s">
        <v>29</v>
      </c>
      <c r="AE198" t="str">
        <f>HYPERLINK("https://lindat.mff.cuni.cz/services/SynSemClass55/SynSemClass55.html?veclass=vec01940", "vec01940 / vylekat se (v41ohtA)")</f>
        <v>vec01940 / vylekat se (v41ohtA)</v>
      </c>
      <c r="AF198">
        <v>2.0080000000000001E-2</v>
      </c>
      <c r="AG198" t="s">
        <v>29</v>
      </c>
    </row>
    <row r="200" spans="1:33" x14ac:dyDescent="0.2">
      <c r="A200" t="str">
        <f>HYPERLINK("https://lindat.mff.cuni.cz/services/PDT-Vallex4.5/PDT-Vallex4.5.html?verb=pálit si", "pálit si")</f>
        <v>pálit si</v>
      </c>
      <c r="B200" t="str">
        <f>HYPERLINK("https://lindat.mff.cuni.cz/services/PDT-Vallex4.5/PDT-Vallex4.5.html?verb=pálit si#v41fiaA", "v41fiaA")</f>
        <v>v41fiaA</v>
      </c>
      <c r="E200">
        <v>810</v>
      </c>
      <c r="F200">
        <v>0.15997</v>
      </c>
      <c r="G200" s="1" t="s">
        <v>98</v>
      </c>
      <c r="H200" s="1" t="s">
        <v>99</v>
      </c>
      <c r="I200" s="1" t="s">
        <v>42</v>
      </c>
      <c r="K200" t="str">
        <f>HYPERLINK("https://lindat.mff.cuni.cz/services/SynSemClass55/SynSemClass55.html?veclass=vec00986", "vec00986 / zapálit (v41qecA)")</f>
        <v>vec00986 / zapálit (v41qecA)</v>
      </c>
      <c r="L200">
        <v>0.15997</v>
      </c>
      <c r="M200" t="s">
        <v>29</v>
      </c>
      <c r="P200" t="str">
        <f>HYPERLINK("https://lindat.mff.cuni.cz/services/SynSemClass55/SynSemClass55.html?veclass=vec01215", "vec01215 / hořet (v41axjA)")</f>
        <v>vec01215 / hořet (v41axjA)</v>
      </c>
      <c r="Q200">
        <v>7.1760000000000004E-2</v>
      </c>
      <c r="R200" t="s">
        <v>29</v>
      </c>
      <c r="U200" t="str">
        <f>HYPERLINK("https://lindat.mff.cuni.cz/services/SynSemClass55/SynSemClass55.html?veclass=vec00721", "vec00721 / spálit se (v41ladA)")</f>
        <v>vec00721 / spálit se (v41ladA)</v>
      </c>
      <c r="V200">
        <v>6.7589999999999997E-2</v>
      </c>
      <c r="W200" t="s">
        <v>29</v>
      </c>
      <c r="Z200" t="str">
        <f>HYPERLINK("https://lindat.mff.cuni.cz/services/SynSemClass55/SynSemClass55.html?veclass=vec01887", "vec01887 / slunit se (v41kueA)")</f>
        <v>vec01887 / slunit se (v41kueA)</v>
      </c>
      <c r="AA200">
        <v>4.4589999999999998E-2</v>
      </c>
      <c r="AB200" t="s">
        <v>29</v>
      </c>
      <c r="AE200" t="str">
        <f>HYPERLINK("https://lindat.mff.cuni.cz/services/SynSemClass55/SynSemClass55.html?veclass=vec00729", "vec00729 / střílet (v41lnrC)")</f>
        <v>vec00729 / střílet (v41lnrC)</v>
      </c>
      <c r="AF200">
        <v>4.299E-2</v>
      </c>
      <c r="AG200" t="s">
        <v>29</v>
      </c>
    </row>
    <row r="202" spans="1:33" x14ac:dyDescent="0.2">
      <c r="A202" t="str">
        <f>HYPERLINK("https://lindat.mff.cuni.cz/services/PDT-Vallex4.5/PDT-Vallex4.5.html?verb=pást se", "pást se")</f>
        <v>pást se</v>
      </c>
      <c r="B202" t="str">
        <f>HYPERLINK("https://lindat.mff.cuni.cz/services/PDT-Vallex4.5/PDT-Vallex4.5.html?verb=pást se#v41fjmA", "v41fjmA")</f>
        <v>v41fjmA</v>
      </c>
      <c r="E202">
        <v>470</v>
      </c>
      <c r="F202">
        <v>8.9630000000000001E-2</v>
      </c>
      <c r="G202" s="1" t="s">
        <v>100</v>
      </c>
      <c r="K202" t="str">
        <f>HYPERLINK("https://lindat.mff.cuni.cz/services/SynSemClass55/SynSemClass55.html?veclass=vec00922", "vec00922 / skotačit (v41kriA)")</f>
        <v>vec00922 / skotačit (v41kriA)</v>
      </c>
      <c r="L202">
        <v>8.9630000000000001E-2</v>
      </c>
      <c r="M202" t="s">
        <v>29</v>
      </c>
      <c r="P202" t="str">
        <f>HYPERLINK("https://lindat.mff.cuni.cz/services/SynSemClass55/SynSemClass55.html?veclass=vec00468", "vec00468 / pěstovat (v41fkwB)")</f>
        <v>vec00468 / pěstovat (v41fkwB)</v>
      </c>
      <c r="Q202">
        <v>5.2350000000000001E-2</v>
      </c>
      <c r="R202" t="s">
        <v>29</v>
      </c>
      <c r="U202" t="str">
        <f>HYPERLINK("https://lindat.mff.cuni.cz/services/SynSemClass55/SynSemClass55.html?veclass=vec01584", "vec01584 / oholit (v41eplB)")</f>
        <v>vec01584 / oholit (v41eplB)</v>
      </c>
      <c r="V202">
        <v>3.0259999999999999E-2</v>
      </c>
      <c r="W202" t="s">
        <v>29</v>
      </c>
      <c r="Z202" t="str">
        <f>HYPERLINK("https://lindat.mff.cuni.cz/services/SynSemClass55/SynSemClass55.html?veclass=vec00145", "vec00145 / ušklíbnout se (v41myzA)")</f>
        <v>vec00145 / ušklíbnout se (v41myzA)</v>
      </c>
      <c r="AA202">
        <v>2.708E-2</v>
      </c>
      <c r="AB202" t="s">
        <v>29</v>
      </c>
      <c r="AE202" t="str">
        <f>HYPERLINK("https://lindat.mff.cuni.cz/services/SynSemClass55/SynSemClass55.html?veclass=vec01924", "vec01924 / vnucovat se (v41noiA)")</f>
        <v>vec01924 / vnucovat se (v41noiA)</v>
      </c>
      <c r="AF202">
        <v>2.5919999999999999E-2</v>
      </c>
      <c r="AG202" t="s">
        <v>29</v>
      </c>
    </row>
    <row r="204" spans="1:33" x14ac:dyDescent="0.2">
      <c r="A204" t="str">
        <f>HYPERLINK("https://lindat.mff.cuni.cz/services/PDT-Vallex4.5/PDT-Vallex4.5.html?verb=perzekuovat", "perzekuovat")</f>
        <v>perzekuovat</v>
      </c>
      <c r="B204" t="str">
        <f>HYPERLINK("https://lindat.mff.cuni.cz/services/PDT-Vallex4.5/PDT-Vallex4.5.html?verb=perzekuovat#v41fkrA", "v41fkrA")</f>
        <v>v41fkrA</v>
      </c>
      <c r="E204">
        <v>5</v>
      </c>
      <c r="F204">
        <v>0.18495</v>
      </c>
      <c r="G204" s="1" t="s">
        <v>32</v>
      </c>
      <c r="K204" t="str">
        <f>HYPERLINK("https://lindat.mff.cuni.cz/services/SynSemClass55/SynSemClass55.html?veclass=vec00992", "vec00992 / zbít (v41qvwA)")</f>
        <v>vec00992 / zbít (v41qvwA)</v>
      </c>
      <c r="L204">
        <v>0.18495</v>
      </c>
      <c r="M204" t="s">
        <v>29</v>
      </c>
      <c r="P204" t="str">
        <f>HYPERLINK("https://lindat.mff.cuni.cz/services/SynSemClass55/SynSemClass55.html?veclass=vec00608", "vec00608 / dráždit (v41akkB)")</f>
        <v>vec00608 / dráždit (v41akkB)</v>
      </c>
      <c r="Q204">
        <v>0.1043</v>
      </c>
      <c r="R204" t="s">
        <v>29</v>
      </c>
      <c r="U204" t="str">
        <f>HYPERLINK("https://lindat.mff.cuni.cz/services/SynSemClass55/SynSemClass55.html?veclass=vec01727", "vec01727 / clít (v41lnA)")</f>
        <v>vec01727 / clít (v41lnA)</v>
      </c>
      <c r="V204">
        <v>7.8799999999999995E-2</v>
      </c>
      <c r="W204" t="s">
        <v>29</v>
      </c>
      <c r="Z204" t="str">
        <f>HYPERLINK("https://lindat.mff.cuni.cz/services/SynSemClass55/SynSemClass55.html?veclass=vec00687", "vec00687 / pronásledovat (v41hiyA)")</f>
        <v>vec00687 / pronásledovat (v41hiyA)</v>
      </c>
      <c r="AA204">
        <v>6.9720000000000004E-2</v>
      </c>
      <c r="AB204" t="s">
        <v>31</v>
      </c>
      <c r="AE204" t="str">
        <f>HYPERLINK("https://lindat.mff.cuni.cz/services/SynSemClass55/SynSemClass55.html?veclass=vec01192", "vec01192 / ztrapnit (v41rzaA)")</f>
        <v>vec01192 / ztrapnit (v41rzaA)</v>
      </c>
      <c r="AF204">
        <v>6.6629999999999995E-2</v>
      </c>
      <c r="AG204" t="s">
        <v>29</v>
      </c>
    </row>
    <row r="206" spans="1:33" x14ac:dyDescent="0.2">
      <c r="A206" t="str">
        <f>HYPERLINK("https://lindat.mff.cuni.cz/services/PDT-Vallex4.5/PDT-Vallex4.5.html?verb=pípat", "pípat")</f>
        <v>pípat</v>
      </c>
      <c r="B206" t="str">
        <f>HYPERLINK("https://lindat.mff.cuni.cz/services/PDT-Vallex4.5/PDT-Vallex4.5.html?verb=pípat#v41flmA", "v41flmA")</f>
        <v>v41flmA</v>
      </c>
      <c r="E206">
        <v>62</v>
      </c>
      <c r="F206">
        <v>0.19317999999999999</v>
      </c>
      <c r="G206" s="1" t="s">
        <v>32</v>
      </c>
      <c r="K206" t="str">
        <f>HYPERLINK("https://lindat.mff.cuni.cz/services/SynSemClass55/SynSemClass55.html?veclass=vec01348", "vec01348 / vrčet (v41nqjC)")</f>
        <v>vec01348 / vrčet (v41nqjC)</v>
      </c>
      <c r="L206">
        <v>0.19317999999999999</v>
      </c>
      <c r="M206" t="s">
        <v>29</v>
      </c>
      <c r="P206" t="str">
        <f>HYPERLINK("https://lindat.mff.cuni.cz/services/SynSemClass55/SynSemClass55.html?veclass=vec01196", "vec01196 / zvonit (v41sclA)")</f>
        <v>vec01196 / zvonit (v41sclA)</v>
      </c>
      <c r="Q206">
        <v>7.5139999999999998E-2</v>
      </c>
      <c r="R206" t="s">
        <v>29</v>
      </c>
      <c r="U206" t="str">
        <f>HYPERLINK("https://lindat.mff.cuni.cz/services/SynSemClass55/SynSemClass55.html?veclass=vec01398", "vec01398 / hvízdat si (v41azyA)")</f>
        <v>vec01398 / hvízdat si (v41azyA)</v>
      </c>
      <c r="V206">
        <v>5.8380000000000001E-2</v>
      </c>
      <c r="W206" t="s">
        <v>29</v>
      </c>
      <c r="Z206" t="str">
        <f>HYPERLINK("https://lindat.mff.cuni.cz/services/SynSemClass55/SynSemClass55.html?veclass=vec00592", "vec00592 / znít (v41rppD)")</f>
        <v>vec00592 / znít (v41rppD)</v>
      </c>
      <c r="AA206">
        <v>5.4629999999999998E-2</v>
      </c>
      <c r="AB206" t="s">
        <v>31</v>
      </c>
      <c r="AE206" t="str">
        <f>HYPERLINK("https://lindat.mff.cuni.cz/services/SynSemClass55/SynSemClass55.html?veclass=vec01110", "vec01110 / sípat (v41koqA)")</f>
        <v>vec01110 / sípat (v41koqA)</v>
      </c>
      <c r="AF206">
        <v>4.6620000000000002E-2</v>
      </c>
      <c r="AG206" t="s">
        <v>29</v>
      </c>
    </row>
    <row r="208" spans="1:33" x14ac:dyDescent="0.2">
      <c r="A208" t="str">
        <f>HYPERLINK("https://lindat.mff.cuni.cz/services/PDT-Vallex4.5/PDT-Vallex4.5.html?verb=planout", "planout")</f>
        <v>planout</v>
      </c>
      <c r="B208" t="str">
        <f>HYPERLINK("https://lindat.mff.cuni.cz/services/PDT-Vallex4.5/PDT-Vallex4.5.html?verb=planout#v41fmjB", "v41fmjB")</f>
        <v>v41fmjB</v>
      </c>
      <c r="E208">
        <v>693</v>
      </c>
      <c r="F208">
        <v>8.5269999999999999E-2</v>
      </c>
      <c r="G208" s="1" t="s">
        <v>101</v>
      </c>
      <c r="H208" s="1" t="s">
        <v>104</v>
      </c>
      <c r="I208" s="1" t="s">
        <v>102</v>
      </c>
      <c r="K208" t="str">
        <f>HYPERLINK("https://lindat.mff.cuni.cz/services/SynSemClass55/SynSemClass55.html?veclass=vec01173", "vec01173 / zářit (v41qjnB)")</f>
        <v>vec01173 / zářit (v41qjnB)</v>
      </c>
      <c r="L208">
        <v>8.5269999999999999E-2</v>
      </c>
      <c r="M208" t="s">
        <v>29</v>
      </c>
      <c r="P208" t="str">
        <f>HYPERLINK("https://lindat.mff.cuni.cz/services/SynSemClass55/SynSemClass55.html?veclass=vec01215", "vec01215 / hořet (v41axjA)")</f>
        <v>vec01215 / hořet (v41axjA)</v>
      </c>
      <c r="Q208">
        <v>4.734E-2</v>
      </c>
      <c r="R208" t="s">
        <v>29</v>
      </c>
      <c r="U208" t="str">
        <f>HYPERLINK("https://lindat.mff.cuni.cz/services/SynSemClass55/SynSemClass55.html?veclass=vec00949", "vec00949 / valit se (v41nghA)")</f>
        <v>vec00949 / valit se (v41nghA)</v>
      </c>
      <c r="V208">
        <v>3.8199999999999998E-2</v>
      </c>
      <c r="W208" t="s">
        <v>29</v>
      </c>
      <c r="Z208" t="str">
        <f>HYPERLINK("https://lindat.mff.cuni.cz/services/SynSemClass55/SynSemClass55.html?veclass=vec01103", "vec01103 / roztavit se (v41jztA)")</f>
        <v>vec01103 / roztavit se (v41jztA)</v>
      </c>
      <c r="AA208">
        <v>3.1579999999999997E-2</v>
      </c>
      <c r="AB208" t="s">
        <v>29</v>
      </c>
      <c r="AE208" t="str">
        <f>HYPERLINK("https://lindat.mff.cuni.cz/services/SynSemClass55/SynSemClass55.html?veclass=vec01147", "vec01147 / vlnit se (v41nnjA)")</f>
        <v>vec01147 / vlnit se (v41nnjA)</v>
      </c>
      <c r="AF208">
        <v>2.9420000000000002E-2</v>
      </c>
      <c r="AG208" t="s">
        <v>29</v>
      </c>
    </row>
    <row r="210" spans="1:33" x14ac:dyDescent="0.2">
      <c r="A210" t="str">
        <f>HYPERLINK("https://lindat.mff.cuni.cz/services/PDT-Vallex4.5/PDT-Vallex4.5.html?verb=plužit", "plužit")</f>
        <v>plužit</v>
      </c>
      <c r="B210" t="str">
        <f>HYPERLINK("https://lindat.mff.cuni.cz/services/PDT-Vallex4.5/PDT-Vallex4.5.html?verb=plužit#v41fnyA", "v41fnyA")</f>
        <v>v41fnyA</v>
      </c>
      <c r="E210">
        <v>4</v>
      </c>
      <c r="F210">
        <v>0.1115</v>
      </c>
      <c r="G210" s="1">
        <v>0</v>
      </c>
      <c r="I210" s="1" t="s">
        <v>103</v>
      </c>
      <c r="K210" t="str">
        <f>HYPERLINK("https://lindat.mff.cuni.cz/services/SynSemClass55/SynSemClass55.html?veclass=vec00665", "vec00665 / plazit se (v41fnbA)")</f>
        <v>vec00665 / plazit se (v41fnbA)</v>
      </c>
      <c r="L210">
        <v>0.1115</v>
      </c>
      <c r="M210" t="s">
        <v>29</v>
      </c>
      <c r="P210" t="str">
        <f>HYPERLINK("https://lindat.mff.cuni.cz/services/SynSemClass55/SynSemClass55.html?veclass=vec00063", "vec00063 / plout (v41fnwB)")</f>
        <v>vec00063 / plout (v41fnwB)</v>
      </c>
      <c r="Q210">
        <v>7.0550000000000002E-2</v>
      </c>
      <c r="R210" t="s">
        <v>29</v>
      </c>
      <c r="U210" t="str">
        <f>HYPERLINK("https://lindat.mff.cuni.cz/services/SynSemClass55/SynSemClass55.html?veclass=vec01069", "vec01069 / plavat (v41fmxD)")</f>
        <v>vec01069 / plavat (v41fmxD)</v>
      </c>
      <c r="V210">
        <v>5.885E-2</v>
      </c>
      <c r="W210" t="s">
        <v>29</v>
      </c>
      <c r="Z210" t="str">
        <f>HYPERLINK("https://lindat.mff.cuni.cz/services/SynSemClass55/SynSemClass55.html?veclass=vec00922", "vec00922 / skotačit (v41kriA)")</f>
        <v>vec00922 / skotačit (v41kriA)</v>
      </c>
      <c r="AA210">
        <v>5.3289999999999997E-2</v>
      </c>
      <c r="AB210" t="s">
        <v>29</v>
      </c>
      <c r="AE210" t="str">
        <f>HYPERLINK("https://lindat.mff.cuni.cz/services/SynSemClass55/SynSemClass55.html?veclass=vec01219", "vec01219 / klouzat (v41bmaA)")</f>
        <v>vec01219 / klouzat (v41bmaA)</v>
      </c>
      <c r="AF210">
        <v>4.5780000000000001E-2</v>
      </c>
      <c r="AG210" t="s">
        <v>29</v>
      </c>
    </row>
    <row r="212" spans="1:33" x14ac:dyDescent="0.2">
      <c r="A212" t="str">
        <f>HYPERLINK("https://lindat.mff.cuni.cz/services/PDT-Vallex4.5/PDT-Vallex4.5.html?verb=počíst si", "počíst si")</f>
        <v>počíst si</v>
      </c>
      <c r="B212" t="str">
        <f>HYPERLINK("https://lindat.mff.cuni.cz/services/PDT-Vallex4.5/PDT-Vallex4.5.html?verb=počíst si#v41fpvA", "v41fpvA")</f>
        <v>v41fpvA</v>
      </c>
      <c r="E212">
        <v>18</v>
      </c>
      <c r="F212">
        <v>0.10637000000000001</v>
      </c>
      <c r="G212" s="1" t="s">
        <v>32</v>
      </c>
      <c r="K212" t="str">
        <f>HYPERLINK("https://lindat.mff.cuni.cz/services/SynSemClass55/SynSemClass55.html?veclass=vec00166", "vec00166 / vypočítávat (v41opsB)")</f>
        <v>vec00166 / vypočítávat (v41opsB)</v>
      </c>
      <c r="L212">
        <v>0.10637000000000001</v>
      </c>
      <c r="M212" t="s">
        <v>29</v>
      </c>
      <c r="P212" t="str">
        <f>HYPERLINK("https://lindat.mff.cuni.cz/services/SynSemClass55/SynSemClass55.html?veclass=vec00690", "vec00690 / předčítat (v41hvqA)")</f>
        <v>vec00690 / předčítat (v41hvqA)</v>
      </c>
      <c r="Q212">
        <v>8.9249999999999996E-2</v>
      </c>
      <c r="R212" t="s">
        <v>29</v>
      </c>
      <c r="U212" t="str">
        <f>HYPERLINK("https://lindat.mff.cuni.cz/services/SynSemClass55/SynSemClass55.html?veclass=vec00207", "vec00207 / číst (v41nuD)")</f>
        <v>vec00207 / číst (v41nuD)</v>
      </c>
      <c r="V212">
        <v>6.6839999999999997E-2</v>
      </c>
      <c r="W212" t="s">
        <v>31</v>
      </c>
      <c r="Z212" t="str">
        <f>HYPERLINK("https://lindat.mff.cuni.cz/services/SynSemClass55/SynSemClass55.html?veclass=vec00013", "vec00013 / dozvědět se (v41ajsB)")</f>
        <v>vec00013 / dozvědět se (v41ajsB)</v>
      </c>
      <c r="AA212">
        <v>6.3119999999999996E-2</v>
      </c>
      <c r="AB212" t="s">
        <v>29</v>
      </c>
      <c r="AE212" t="str">
        <f>HYPERLINK("https://lindat.mff.cuni.cz/services/SynSemClass55/SynSemClass55.html?veclass=vec01224", "vec01224 / listovat (v41cbiA)")</f>
        <v>vec01224 / listovat (v41cbiA)</v>
      </c>
      <c r="AF212">
        <v>5.246E-2</v>
      </c>
      <c r="AG212" t="s">
        <v>29</v>
      </c>
    </row>
    <row r="214" spans="1:33" x14ac:dyDescent="0.2">
      <c r="A214" t="str">
        <f>HYPERLINK("https://lindat.mff.cuni.cz/services/PDT-Vallex4.5/PDT-Vallex4.5.html?verb=podbarvit", "podbarvit")</f>
        <v>podbarvit</v>
      </c>
      <c r="B214" t="str">
        <f>HYPERLINK("https://lindat.mff.cuni.cz/services/PDT-Vallex4.5/PDT-Vallex4.5.html?verb=podbarvit#v41fqpA", "v41fqpA")</f>
        <v>v41fqpA</v>
      </c>
      <c r="E214">
        <v>11</v>
      </c>
      <c r="F214">
        <v>0.11298</v>
      </c>
      <c r="G214" s="1" t="s">
        <v>105</v>
      </c>
      <c r="I214" s="1" t="s">
        <v>106</v>
      </c>
      <c r="K214" t="str">
        <f>HYPERLINK("https://lindat.mff.cuni.cz/services/SynSemClass55/SynSemClass55.html?veclass=vec00770", "vec00770 / zamlžit (v41qcdA)")</f>
        <v>vec00770 / zamlžit (v41qcdA)</v>
      </c>
      <c r="L214">
        <v>0.11298</v>
      </c>
      <c r="M214" t="s">
        <v>29</v>
      </c>
      <c r="P214" t="str">
        <f>HYPERLINK("https://lindat.mff.cuni.cz/services/SynSemClass55/SynSemClass55.html?veclass=vec00972", "vec00972 / vyšperkovat (v41pbiA)")</f>
        <v>vec00972 / vyšperkovat (v41pbiA)</v>
      </c>
      <c r="Q214">
        <v>7.8850000000000003E-2</v>
      </c>
      <c r="R214" t="s">
        <v>29</v>
      </c>
      <c r="U214" t="str">
        <f>HYPERLINK("https://lindat.mff.cuni.cz/services/SynSemClass55/SynSemClass55.html?veclass=vec00069", "vec00069 / podpořit (v41fuiB)")</f>
        <v>vec00069 / podpořit (v41fuiB)</v>
      </c>
      <c r="V214">
        <v>4.233E-2</v>
      </c>
      <c r="W214" t="s">
        <v>29</v>
      </c>
      <c r="Z214" t="str">
        <f>HYPERLINK("https://lindat.mff.cuni.cz/services/SynSemClass55/SynSemClass55.html?veclass=vec00782", "vec00782 / zdobit (v41qyhB)")</f>
        <v>vec00782 / zdobit (v41qyhB)</v>
      </c>
      <c r="AA214">
        <v>3.3779999999999998E-2</v>
      </c>
      <c r="AB214" t="s">
        <v>29</v>
      </c>
      <c r="AE214" t="str">
        <f>HYPERLINK("https://lindat.mff.cuni.cz/services/SynSemClass55/SynSemClass55.html?veclass=vec00334", "vec00334 / upřednostňovat (v41mtcA)")</f>
        <v>vec00334 / upřednostňovat (v41mtcA)</v>
      </c>
      <c r="AF214">
        <v>3.2059999999999998E-2</v>
      </c>
      <c r="AG214" t="s">
        <v>29</v>
      </c>
    </row>
    <row r="216" spans="1:33" x14ac:dyDescent="0.2">
      <c r="A216" t="str">
        <f>HYPERLINK("https://lindat.mff.cuni.cz/services/PDT-Vallex4.5/PDT-Vallex4.5.html?verb=podepisovat", "podepisovat")</f>
        <v>podepisovat</v>
      </c>
      <c r="B216" t="str">
        <f>HYPERLINK("https://lindat.mff.cuni.cz/services/PDT-Vallex4.5/PDT-Vallex4.5.html?verb=podepisovat#v41frdA", "v41frdA")</f>
        <v>v41frdA</v>
      </c>
      <c r="E216">
        <v>220</v>
      </c>
      <c r="F216">
        <v>0.45238</v>
      </c>
      <c r="G216" s="1">
        <v>0</v>
      </c>
      <c r="I216" s="1" t="s">
        <v>107</v>
      </c>
      <c r="K216" t="str">
        <f>HYPERLINK("https://lindat.mff.cuni.cz/services/SynSemClass55/SynSemClass55.html?veclass=vec00078", "vec00078 / potvrdit (v41grtA)")</f>
        <v>vec00078 / potvrdit (v41grtA)</v>
      </c>
      <c r="L216">
        <v>0.45238</v>
      </c>
      <c r="M216" t="s">
        <v>29</v>
      </c>
      <c r="P216" t="str">
        <f>HYPERLINK("https://lindat.mff.cuni.cz/services/SynSemClass55/SynSemClass55.html?veclass=vec01345", "vec01345 / vepsat (v41njiA)")</f>
        <v>vec01345 / vepsat (v41njiA)</v>
      </c>
      <c r="Q216">
        <v>4.6339999999999999E-2</v>
      </c>
      <c r="R216" t="s">
        <v>29</v>
      </c>
      <c r="U216" t="str">
        <f>HYPERLINK("https://lindat.mff.cuni.cz/services/SynSemClass55/SynSemClass55.html?veclass=vec00858", "vec00858 / orazítkovat (v41exyA)")</f>
        <v>vec00858 / orazítkovat (v41exyA)</v>
      </c>
      <c r="V216">
        <v>2.3599999999999999E-2</v>
      </c>
      <c r="W216" t="s">
        <v>29</v>
      </c>
      <c r="Z216" t="str">
        <f>HYPERLINK("https://lindat.mff.cuni.cz/services/SynSemClass55/SynSemClass55.html?veclass=vec00941", "vec00941 / upsat (v41mthA)")</f>
        <v>vec00941 / upsat (v41mthA)</v>
      </c>
      <c r="AA216">
        <v>2.1149999999999999E-2</v>
      </c>
      <c r="AB216" t="s">
        <v>29</v>
      </c>
      <c r="AE216" t="str">
        <f>HYPERLINK("https://lindat.mff.cuni.cz/services/SynSemClass55/SynSemClass55.html?veclass=vec00037", "vec00037 / napsat (v41cyqJ)")</f>
        <v>vec00037 / napsat (v41cyqJ)</v>
      </c>
      <c r="AF216">
        <v>1.8939999999999999E-2</v>
      </c>
      <c r="AG216" t="s">
        <v>29</v>
      </c>
    </row>
    <row r="218" spans="1:33" x14ac:dyDescent="0.2">
      <c r="A218" t="str">
        <f>HYPERLINK("https://lindat.mff.cuni.cz/services/PDT-Vallex4.5/PDT-Vallex4.5.html?verb=podívat", "podívat")</f>
        <v>podívat</v>
      </c>
      <c r="B218" t="str">
        <f>HYPERLINK("https://lindat.mff.cuni.cz/services/PDT-Vallex4.5/PDT-Vallex4.5.html?verb=podívat#v41fscA", "v41fscA")</f>
        <v>v41fscA</v>
      </c>
      <c r="E218">
        <v>5000</v>
      </c>
      <c r="F218">
        <v>0.53374999999999995</v>
      </c>
      <c r="G218" s="1" t="s">
        <v>32</v>
      </c>
      <c r="K218" t="str">
        <f>HYPERLINK("https://lindat.mff.cuni.cz/services/SynSemClass55/SynSemClass55.html?veclass=vec00869", "vec00869 / podívat se (v41fsdH)")</f>
        <v>vec00869 / podívat se (v41fsdH)</v>
      </c>
      <c r="L218">
        <v>0.53374999999999995</v>
      </c>
      <c r="M218" t="s">
        <v>31</v>
      </c>
      <c r="P218" t="str">
        <f>HYPERLINK("https://lindat.mff.cuni.cz/services/SynSemClass55/SynSemClass55.html?veclass=vec00310", "vec00310 / sledovat (v41kslE)")</f>
        <v>vec00310 / sledovat (v41kslE)</v>
      </c>
      <c r="Q218">
        <v>0.31486999999999998</v>
      </c>
      <c r="R218" t="s">
        <v>29</v>
      </c>
      <c r="U218" t="str">
        <f>HYPERLINK("https://lindat.mff.cuni.cz/services/SynSemClass55/SynSemClass55.html?veclass=vec01515", "vec01515 / přeměřovat (v41iegA)")</f>
        <v>vec01515 / přeměřovat (v41iegA)</v>
      </c>
      <c r="V218">
        <v>3.8159999999999999E-2</v>
      </c>
      <c r="W218" t="s">
        <v>29</v>
      </c>
      <c r="Z218" t="str">
        <f>HYPERLINK("https://lindat.mff.cuni.cz/services/SynSemClass55/SynSemClass55.html?veclass=vec01263", "vec01263 / porozhlédnout se (v41gjlB)")</f>
        <v>vec01263 / porozhlédnout se (v41gjlB)</v>
      </c>
      <c r="AA218">
        <v>2.7400000000000001E-2</v>
      </c>
      <c r="AB218" t="s">
        <v>29</v>
      </c>
      <c r="AE218" t="str">
        <f>HYPERLINK("https://lindat.mff.cuni.cz/services/SynSemClass55/SynSemClass55.html?veclass=vec00154", "vec00154 / vidět (v41nlfH)")</f>
        <v>vec00154 / vidět (v41nlfH)</v>
      </c>
      <c r="AF218">
        <v>2.223E-2</v>
      </c>
      <c r="AG218" t="s">
        <v>29</v>
      </c>
    </row>
    <row r="220" spans="1:33" x14ac:dyDescent="0.2">
      <c r="A220" t="str">
        <f>HYPERLINK("https://lindat.mff.cuni.cz/services/PDT-Vallex4.5/PDT-Vallex4.5.html?verb=podivit se", "podivit se")</f>
        <v>podivit se</v>
      </c>
      <c r="B220" t="str">
        <f>HYPERLINK("https://lindat.mff.cuni.cz/services/PDT-Vallex4.5/PDT-Vallex4.5.html?verb=podivit se#v41fseA", "v41fseA")</f>
        <v>v41fseA</v>
      </c>
      <c r="E220">
        <v>1516</v>
      </c>
      <c r="F220">
        <v>0.87770000000000004</v>
      </c>
      <c r="G220" s="1" t="s">
        <v>32</v>
      </c>
      <c r="K220" t="str">
        <f>HYPERLINK("https://lindat.mff.cuni.cz/services/SynSemClass55/SynSemClass55.html?veclass=vec01209", "vec01209 / divit se (v41veA)")</f>
        <v>vec01209 / divit se (v41veA)</v>
      </c>
      <c r="L220">
        <v>0.87770000000000004</v>
      </c>
      <c r="M220" t="s">
        <v>31</v>
      </c>
      <c r="P220" t="str">
        <f>HYPERLINK("https://lindat.mff.cuni.cz/services/SynSemClass55/SynSemClass55.html?veclass=vec00149", "vec00149 / uvážit (v41ncpA)")</f>
        <v>vec00149 / uvážit (v41ncpA)</v>
      </c>
      <c r="Q220">
        <v>1.9800000000000002E-2</v>
      </c>
      <c r="R220" t="s">
        <v>29</v>
      </c>
      <c r="U220" t="str">
        <f>HYPERLINK("https://lindat.mff.cuni.cz/services/SynSemClass55/SynSemClass55.html?veclass=vec00132", "vec00132 / stěžovat si (v41ljuB)")</f>
        <v>vec00132 / stěžovat si (v41ljuB)</v>
      </c>
      <c r="V220">
        <v>1.805E-2</v>
      </c>
      <c r="W220" t="s">
        <v>29</v>
      </c>
      <c r="Z220" t="str">
        <f>HYPERLINK("https://lindat.mff.cuni.cz/services/SynSemClass55/SynSemClass55.html?veclass=vec01630", "vec01630 / zaváhat (v41qrpA)")</f>
        <v>vec01630 / zaváhat (v41qrpA)</v>
      </c>
      <c r="AA220">
        <v>1.5990000000000001E-2</v>
      </c>
      <c r="AB220" t="s">
        <v>29</v>
      </c>
      <c r="AE220" t="str">
        <f>HYPERLINK("https://lindat.mff.cuni.cz/services/SynSemClass55/SynSemClass55.html?veclass=vec00869", "vec00869 / podívat se (v41fsdH)")</f>
        <v>vec00869 / podívat se (v41fsdH)</v>
      </c>
      <c r="AF220">
        <v>1.5610000000000001E-2</v>
      </c>
      <c r="AG220" t="s">
        <v>29</v>
      </c>
    </row>
    <row r="222" spans="1:33" x14ac:dyDescent="0.2">
      <c r="A222" t="str">
        <f>HYPERLINK("https://lindat.mff.cuni.cz/services/PDT-Vallex4.5/PDT-Vallex4.5.html?verb=podpisovat", "podpisovat")</f>
        <v>podpisovat</v>
      </c>
      <c r="B222" t="str">
        <f>HYPERLINK("https://lindat.mff.cuni.cz/services/PDT-Vallex4.5/PDT-Vallex4.5.html?verb=podpisovat#v41ftxB", "v41ftxB")</f>
        <v>v41ftxB</v>
      </c>
      <c r="E222">
        <v>56</v>
      </c>
      <c r="F222">
        <v>0.59548999999999996</v>
      </c>
      <c r="G222" s="1">
        <v>0</v>
      </c>
      <c r="I222" s="1" t="s">
        <v>107</v>
      </c>
      <c r="K222" t="str">
        <f>HYPERLINK("https://lindat.mff.cuni.cz/services/SynSemClass55/SynSemClass55.html?veclass=vec00078", "vec00078 / potvrdit (v41grtA)")</f>
        <v>vec00078 / potvrdit (v41grtA)</v>
      </c>
      <c r="L222">
        <v>0.59548999999999996</v>
      </c>
      <c r="M222" t="s">
        <v>29</v>
      </c>
      <c r="P222" t="str">
        <f>HYPERLINK("https://lindat.mff.cuni.cz/services/SynSemClass55/SynSemClass55.html?veclass=vec01320", "vec01320 / souhlasit (v41kypA)")</f>
        <v>vec01320 / souhlasit (v41kypA)</v>
      </c>
      <c r="Q222">
        <v>2.5919999999999999E-2</v>
      </c>
      <c r="R222" t="s">
        <v>29</v>
      </c>
      <c r="U222" t="str">
        <f>HYPERLINK("https://lindat.mff.cuni.cz/services/SynSemClass55/SynSemClass55.html?veclass=vec00120", "vec00120 / souhlasit (v41kypC)")</f>
        <v>vec00120 / souhlasit (v41kypC)</v>
      </c>
      <c r="V222">
        <v>2.5049999999999999E-2</v>
      </c>
      <c r="W222" t="s">
        <v>29</v>
      </c>
      <c r="Z222" t="str">
        <f>HYPERLINK("https://lindat.mff.cuni.cz/services/SynSemClass55/SynSemClass55.html?veclass=vec01345", "vec01345 / vepsat (v41njiA)")</f>
        <v>vec01345 / vepsat (v41njiA)</v>
      </c>
      <c r="AA222">
        <v>1.9810000000000001E-2</v>
      </c>
      <c r="AB222" t="s">
        <v>29</v>
      </c>
      <c r="AE222" t="str">
        <f>HYPERLINK("https://lindat.mff.cuni.cz/services/SynSemClass55/SynSemClass55.html?veclass=vec00503", "vec00503 / přiznat se (v41jcjA)")</f>
        <v>vec00503 / přiznat se (v41jcjA)</v>
      </c>
      <c r="AF222">
        <v>1.702E-2</v>
      </c>
      <c r="AG222" t="s">
        <v>29</v>
      </c>
    </row>
    <row r="224" spans="1:33" x14ac:dyDescent="0.2">
      <c r="A224" t="str">
        <f>HYPERLINK("https://lindat.mff.cuni.cz/services/PDT-Vallex4.5/PDT-Vallex4.5.html?verb=podpisovat se", "podpisovat se")</f>
        <v>podpisovat se</v>
      </c>
      <c r="B224" t="str">
        <f>HYPERLINK("https://lindat.mff.cuni.cz/services/PDT-Vallex4.5/PDT-Vallex4.5.html?verb=podpisovat se#v41ftyB", "v41ftyB")</f>
        <v>v41ftyB</v>
      </c>
      <c r="E224">
        <v>35</v>
      </c>
      <c r="F224">
        <v>0.42364000000000002</v>
      </c>
      <c r="G224" s="1">
        <v>0</v>
      </c>
      <c r="I224" s="1" t="s">
        <v>107</v>
      </c>
      <c r="K224" t="str">
        <f>HYPERLINK("https://lindat.mff.cuni.cz/services/SynSemClass55/SynSemClass55.html?veclass=vec00078", "vec00078 / potvrdit (v41grtA)")</f>
        <v>vec00078 / potvrdit (v41grtA)</v>
      </c>
      <c r="L224">
        <v>0.42364000000000002</v>
      </c>
      <c r="M224" t="s">
        <v>29</v>
      </c>
      <c r="P224" t="str">
        <f>HYPERLINK("https://lindat.mff.cuni.cz/services/SynSemClass55/SynSemClass55.html?veclass=vec01345", "vec01345 / vepsat (v41njiA)")</f>
        <v>vec01345 / vepsat (v41njiA)</v>
      </c>
      <c r="Q224">
        <v>2.8320000000000001E-2</v>
      </c>
      <c r="R224" t="s">
        <v>29</v>
      </c>
      <c r="U224" t="str">
        <f>HYPERLINK("https://lindat.mff.cuni.cz/services/SynSemClass55/SynSemClass55.html?veclass=vec01320", "vec01320 / souhlasit (v41kypA)")</f>
        <v>vec01320 / souhlasit (v41kypA)</v>
      </c>
      <c r="V224">
        <v>2.5610000000000001E-2</v>
      </c>
      <c r="W224" t="s">
        <v>29</v>
      </c>
      <c r="Z224" t="str">
        <f>HYPERLINK("https://lindat.mff.cuni.cz/services/SynSemClass55/SynSemClass55.html?veclass=vec00120", "vec00120 / souhlasit (v41kypC)")</f>
        <v>vec00120 / souhlasit (v41kypC)</v>
      </c>
      <c r="AA224">
        <v>2.027E-2</v>
      </c>
      <c r="AB224" t="s">
        <v>29</v>
      </c>
      <c r="AE224" t="str">
        <f>HYPERLINK("https://lindat.mff.cuni.cz/services/SynSemClass55/SynSemClass55.html?veclass=vec00941", "vec00941 / upsat (v41mthA)")</f>
        <v>vec00941 / upsat (v41mthA)</v>
      </c>
      <c r="AF224">
        <v>1.9230000000000001E-2</v>
      </c>
      <c r="AG224" t="s">
        <v>29</v>
      </c>
    </row>
    <row r="226" spans="1:33" x14ac:dyDescent="0.2">
      <c r="A226" t="str">
        <f>HYPERLINK("https://lindat.mff.cuni.cz/services/PDT-Vallex4.5/PDT-Vallex4.5.html?verb=pohlédnout", "pohlédnout")</f>
        <v>pohlédnout</v>
      </c>
      <c r="B226" t="str">
        <f>HYPERLINK("https://lindat.mff.cuni.cz/services/PDT-Vallex4.5/PDT-Vallex4.5.html?verb=pohlédnout#v41fwxA", "v41fwxA")</f>
        <v>v41fwxA</v>
      </c>
      <c r="E226">
        <v>5000</v>
      </c>
      <c r="F226">
        <v>0.94457000000000002</v>
      </c>
      <c r="G226" s="1" t="s">
        <v>108</v>
      </c>
      <c r="K226" t="str">
        <f>HYPERLINK("https://lindat.mff.cuni.cz/services/SynSemClass55/SynSemClass55.html?veclass=vec00869", "vec00869 / podívat se (v41fsdH)")</f>
        <v>vec00869 / podívat se (v41fsdH)</v>
      </c>
      <c r="L226">
        <v>0.94457000000000002</v>
      </c>
      <c r="M226" t="s">
        <v>29</v>
      </c>
      <c r="P226" t="str">
        <f>HYPERLINK("https://lindat.mff.cuni.cz/services/SynSemClass55/SynSemClass55.html?veclass=vec00310", "vec00310 / sledovat (v41kslE)")</f>
        <v>vec00310 / sledovat (v41kslE)</v>
      </c>
      <c r="Q226">
        <v>3.1040000000000002E-2</v>
      </c>
      <c r="R226" t="s">
        <v>29</v>
      </c>
      <c r="U226" t="str">
        <f>HYPERLINK("https://lindat.mff.cuni.cz/services/SynSemClass55/SynSemClass55.html?veclass=vec01515", "vec01515 / přeměřovat (v41iegA)")</f>
        <v>vec01515 / přeměřovat (v41iegA)</v>
      </c>
      <c r="V226">
        <v>2.7390000000000001E-2</v>
      </c>
      <c r="W226" t="s">
        <v>29</v>
      </c>
      <c r="Z226" t="str">
        <f>HYPERLINK("https://lindat.mff.cuni.cz/services/SynSemClass55/SynSemClass55.html?veclass=vec01128", "vec01128 / tolerovat (v41lzxA)")</f>
        <v>vec01128 / tolerovat (v41lzxA)</v>
      </c>
      <c r="AA226">
        <v>1.487E-2</v>
      </c>
      <c r="AB226" t="s">
        <v>29</v>
      </c>
      <c r="AE226" t="str">
        <f>HYPERLINK("https://lindat.mff.cuni.cz/services/SynSemClass55/SynSemClass55.html?veclass=vec01263", "vec01263 / porozhlédnout se (v41gjlB)")</f>
        <v>vec01263 / porozhlédnout se (v41gjlB)</v>
      </c>
      <c r="AF226">
        <v>1.2149999999999999E-2</v>
      </c>
      <c r="AG226" t="s">
        <v>29</v>
      </c>
    </row>
    <row r="228" spans="1:33" x14ac:dyDescent="0.2">
      <c r="A228" t="str">
        <f>HYPERLINK("https://lindat.mff.cuni.cz/services/PDT-Vallex4.5/PDT-Vallex4.5.html?verb=poklonit se", "poklonit se")</f>
        <v>poklonit se</v>
      </c>
      <c r="B228" t="str">
        <f>HYPERLINK("https://lindat.mff.cuni.cz/services/PDT-Vallex4.5/PDT-Vallex4.5.html?verb=poklonit se#v41gazB", "v41gazB")</f>
        <v>v41gazB</v>
      </c>
      <c r="E228">
        <v>190</v>
      </c>
      <c r="F228">
        <v>8.3320000000000005E-2</v>
      </c>
      <c r="G228" s="1" t="s">
        <v>32</v>
      </c>
      <c r="K228" t="str">
        <f>HYPERLINK("https://lindat.mff.cuni.cz/services/SynSemClass55/SynSemClass55.html?veclass=vec00631", "vec00631 / mávat (v41cetA)")</f>
        <v>vec00631 / mávat (v41cetA)</v>
      </c>
      <c r="L228">
        <v>8.3320000000000005E-2</v>
      </c>
      <c r="M228" t="s">
        <v>29</v>
      </c>
      <c r="P228" t="str">
        <f>HYPERLINK("https://lindat.mff.cuni.cz/services/SynSemClass55/SynSemClass55.html?veclass=vec00668", "vec00668 / podlézat (v41fspA)")</f>
        <v>vec00668 / podlézat (v41fspA)</v>
      </c>
      <c r="Q228">
        <v>6.6180000000000003E-2</v>
      </c>
      <c r="R228" t="s">
        <v>29</v>
      </c>
      <c r="U228" t="str">
        <f>HYPERLINK("https://lindat.mff.cuni.cz/services/SynSemClass55/SynSemClass55.html?veclass=vec01562", "vec01562 / líbat (v41caiB)")</f>
        <v>vec01562 / líbat (v41caiB)</v>
      </c>
      <c r="V228">
        <v>4.8189999999999997E-2</v>
      </c>
      <c r="W228" t="s">
        <v>29</v>
      </c>
      <c r="Z228" t="str">
        <f>HYPERLINK("https://lindat.mff.cuni.cz/services/SynSemClass55/SynSemClass55.html?veclass=vec01491", "vec01491 / fasovat (v41appA)")</f>
        <v>vec01491 / fasovat (v41appA)</v>
      </c>
      <c r="AA228">
        <v>4.0309999999999999E-2</v>
      </c>
      <c r="AB228" t="s">
        <v>29</v>
      </c>
      <c r="AE228" t="str">
        <f>HYPERLINK("https://lindat.mff.cuni.cz/services/SynSemClass55/SynSemClass55.html?veclass=vec01677", "vec01677 / smeknout (v41kuuB)")</f>
        <v>vec01677 / smeknout (v41kuuB)</v>
      </c>
      <c r="AF228">
        <v>3.8280000000000002E-2</v>
      </c>
      <c r="AG228" t="s">
        <v>31</v>
      </c>
    </row>
    <row r="230" spans="1:33" x14ac:dyDescent="0.2">
      <c r="A230" t="str">
        <f>HYPERLINK("https://lindat.mff.cuni.cz/services/PDT-Vallex4.5/PDT-Vallex4.5.html?verb=popíchnout", "popíchnout")</f>
        <v>popíchnout</v>
      </c>
      <c r="B230" t="str">
        <f>HYPERLINK("https://lindat.mff.cuni.cz/services/PDT-Vallex4.5/PDT-Vallex4.5.html?verb=popíchnout#v41gglA", "v41gglA")</f>
        <v>v41gglA</v>
      </c>
      <c r="E230">
        <v>96</v>
      </c>
      <c r="F230">
        <v>0.10852000000000001</v>
      </c>
      <c r="G230" s="1" t="s">
        <v>32</v>
      </c>
      <c r="K230" t="str">
        <f>HYPERLINK("https://lindat.mff.cuni.cz/services/SynSemClass55/SynSemClass55.html?veclass=vec00958", "vec00958 / vyčinit (v41nvxA)")</f>
        <v>vec00958 / vyčinit (v41nvxA)</v>
      </c>
      <c r="L230">
        <v>0.10852000000000001</v>
      </c>
      <c r="M230" t="s">
        <v>29</v>
      </c>
      <c r="P230" t="str">
        <f>HYPERLINK("https://lindat.mff.cuni.cz/services/SynSemClass55/SynSemClass55.html?veclass=vec01210", "vec01210 / dojmout (v41zgA)")</f>
        <v>vec01210 / dojmout (v41zgA)</v>
      </c>
      <c r="Q230">
        <v>4.9090000000000002E-2</v>
      </c>
      <c r="R230" t="s">
        <v>29</v>
      </c>
      <c r="U230" t="str">
        <f>HYPERLINK("https://lindat.mff.cuni.cz/services/SynSemClass55/SynSemClass55.html?veclass=vec01813", "vec01813 / otipovat (v41fdhA)")</f>
        <v>vec01813 / otipovat (v41fdhA)</v>
      </c>
      <c r="V230">
        <v>4.6289999999999998E-2</v>
      </c>
      <c r="W230" t="s">
        <v>29</v>
      </c>
      <c r="Z230" t="str">
        <f>HYPERLINK("https://lindat.mff.cuni.cz/services/SynSemClass55/SynSemClass55.html?veclass=vec01529", "vec01529 / špitnout (v41lutA)")</f>
        <v>vec01529 / špitnout (v41lutA)</v>
      </c>
      <c r="AA230">
        <v>4.3270000000000003E-2</v>
      </c>
      <c r="AB230" t="s">
        <v>29</v>
      </c>
      <c r="AE230" t="str">
        <f>HYPERLINK("https://lindat.mff.cuni.cz/services/SynSemClass55/SynSemClass55.html?veclass=vec00608", "vec00608 / dráždit (v41akkB)")</f>
        <v>vec00608 / dráždit (v41akkB)</v>
      </c>
      <c r="AF230">
        <v>3.9059999999999997E-2</v>
      </c>
      <c r="AG230" t="s">
        <v>31</v>
      </c>
    </row>
    <row r="232" spans="1:33" x14ac:dyDescent="0.2">
      <c r="A232" t="str">
        <f>HYPERLINK("https://lindat.mff.cuni.cz/services/PDT-Vallex4.5/PDT-Vallex4.5.html?verb=popraskat", "popraskat")</f>
        <v>popraskat</v>
      </c>
      <c r="B232" t="str">
        <f>HYPERLINK("https://lindat.mff.cuni.cz/services/PDT-Vallex4.5/PDT-Vallex4.5.html?verb=popraskat#v41ghsA", "v41ghsA")</f>
        <v>v41ghsA</v>
      </c>
      <c r="E232">
        <v>84</v>
      </c>
      <c r="F232">
        <v>0.63751000000000002</v>
      </c>
      <c r="G232" s="1" t="s">
        <v>32</v>
      </c>
      <c r="I232" s="1" t="s">
        <v>109</v>
      </c>
      <c r="K232" t="str">
        <f>HYPERLINK("https://lindat.mff.cuni.cz/services/SynSemClass55/SynSemClass55.html?veclass=vec00681", "vec00681 / prasknout (v41gykA)")</f>
        <v>vec00681 / prasknout (v41gykA)</v>
      </c>
      <c r="L232">
        <v>0.63751000000000002</v>
      </c>
      <c r="M232" t="s">
        <v>31</v>
      </c>
      <c r="P232" t="str">
        <f>HYPERLINK("https://lindat.mff.cuni.cz/services/SynSemClass55/SynSemClass55.html?veclass=vec01305", "vec01305 / rozdělit se (v41jnjB)")</f>
        <v>vec01305 / rozdělit se (v41jnjB)</v>
      </c>
      <c r="Q232">
        <v>4.5370000000000001E-2</v>
      </c>
      <c r="R232" t="s">
        <v>29</v>
      </c>
      <c r="U232" t="str">
        <f>HYPERLINK("https://lindat.mff.cuni.cz/services/SynSemClass55/SynSemClass55.html?veclass=vec01103", "vec01103 / roztavit se (v41jztA)")</f>
        <v>vec01103 / roztavit se (v41jztA)</v>
      </c>
      <c r="V232">
        <v>3.5720000000000002E-2</v>
      </c>
      <c r="W232" t="s">
        <v>29</v>
      </c>
      <c r="Z232" t="str">
        <f>HYPERLINK("https://lindat.mff.cuni.cz/services/SynSemClass55/SynSemClass55.html?veclass=vec00903", "vec00903 / rozcupovat (v41jmmA)")</f>
        <v>vec00903 / rozcupovat (v41jmmA)</v>
      </c>
      <c r="AA232">
        <v>3.1280000000000002E-2</v>
      </c>
      <c r="AB232" t="s">
        <v>29</v>
      </c>
      <c r="AE232" t="str">
        <f>HYPERLINK("https://lindat.mff.cuni.cz/services/SynSemClass55/SynSemClass55.html?veclass=vec01608", "vec01608 / sypat se (v41lsaA)")</f>
        <v>vec01608 / sypat se (v41lsaA)</v>
      </c>
      <c r="AF232">
        <v>2.6239999999999999E-2</v>
      </c>
      <c r="AG232" t="s">
        <v>29</v>
      </c>
    </row>
    <row r="234" spans="1:33" x14ac:dyDescent="0.2">
      <c r="A234" t="str">
        <f>HYPERLINK("https://lindat.mff.cuni.cz/services/PDT-Vallex4.5/PDT-Vallex4.5.html?verb=pořezat se", "pořezat se")</f>
        <v>pořezat se</v>
      </c>
      <c r="B234" t="str">
        <f>HYPERLINK("https://lindat.mff.cuni.cz/services/PDT-Vallex4.5/PDT-Vallex4.5.html?verb=pořezat se#v41gkiA", "v41gkiA")</f>
        <v>v41gkiA</v>
      </c>
      <c r="E234">
        <v>125</v>
      </c>
      <c r="F234">
        <v>5.722E-2</v>
      </c>
      <c r="G234" s="1" t="s">
        <v>32</v>
      </c>
      <c r="I234" s="1" t="s">
        <v>110</v>
      </c>
      <c r="K234" t="str">
        <f>HYPERLINK("https://lindat.mff.cuni.cz/services/SynSemClass55/SynSemClass55.html?veclass=vec01038", "vec01038 / kousnout (v41btxA)")</f>
        <v>vec01038 / kousnout (v41btxA)</v>
      </c>
      <c r="L234">
        <v>5.722E-2</v>
      </c>
      <c r="M234" t="s">
        <v>29</v>
      </c>
      <c r="P234" t="str">
        <f>HYPERLINK("https://lindat.mff.cuni.cz/services/SynSemClass55/SynSemClass55.html?veclass=vec01449", "vec01449 / stříhat (v41lnnA)")</f>
        <v>vec01449 / stříhat (v41lnnA)</v>
      </c>
      <c r="Q234">
        <v>5.1630000000000002E-2</v>
      </c>
      <c r="R234" t="s">
        <v>29</v>
      </c>
      <c r="U234" t="str">
        <f>HYPERLINK("https://lindat.mff.cuni.cz/services/SynSemClass55/SynSemClass55.html?veclass=vec00764", "vec00764 / vytrhnout (v41pdrB)")</f>
        <v>vec00764 / vytrhnout (v41pdrB)</v>
      </c>
      <c r="V234">
        <v>3.0419999999999999E-2</v>
      </c>
      <c r="W234" t="s">
        <v>29</v>
      </c>
      <c r="Z234" t="str">
        <f>HYPERLINK("https://lindat.mff.cuni.cz/services/SynSemClass55/SynSemClass55.html?veclass=vec01820", "vec01820 / poranit se (v41givA)")</f>
        <v>vec01820 / poranit se (v41givA)</v>
      </c>
      <c r="AA234">
        <v>3.024E-2</v>
      </c>
      <c r="AB234" t="s">
        <v>31</v>
      </c>
      <c r="AE234" t="str">
        <f>HYPERLINK("https://lindat.mff.cuni.cz/services/SynSemClass55/SynSemClass55.html?veclass=vec00365", "vec00365 / zabít (v41ppaA)")</f>
        <v>vec00365 / zabít (v41ppaA)</v>
      </c>
      <c r="AF234">
        <v>0.03</v>
      </c>
      <c r="AG234" t="s">
        <v>29</v>
      </c>
    </row>
    <row r="236" spans="1:33" x14ac:dyDescent="0.2">
      <c r="A236" t="str">
        <f>HYPERLINK("https://lindat.mff.cuni.cz/services/PDT-Vallex4.5/PDT-Vallex4.5.html?verb=postihnout", "postihnout")</f>
        <v>postihnout</v>
      </c>
      <c r="B236" t="str">
        <f>HYPERLINK("https://lindat.mff.cuni.cz/services/PDT-Vallex4.5/PDT-Vallex4.5.html?verb=postihnout#v41gniB", "v41gniB")</f>
        <v>v41gniB</v>
      </c>
      <c r="E236">
        <v>661</v>
      </c>
      <c r="F236">
        <v>0.46173999999999998</v>
      </c>
      <c r="G236" s="1" t="s">
        <v>111</v>
      </c>
      <c r="K236" t="str">
        <f>HYPERLINK("https://lindat.mff.cuni.cz/services/SynSemClass55/SynSemClass55.html?veclass=vec00372", "vec00372 / zasáhnout (v41qjyA)")</f>
        <v>vec00372 / zasáhnout (v41qjyA)</v>
      </c>
      <c r="L236">
        <v>0.46173999999999998</v>
      </c>
      <c r="M236" t="s">
        <v>29</v>
      </c>
      <c r="P236" t="str">
        <f>HYPERLINK("https://lindat.mff.cuni.cz/services/SynSemClass55/SynSemClass55.html?veclass=vec01510", "vec01510 / podlomit (v41fsrA)")</f>
        <v>vec01510 / podlomit (v41fsrA)</v>
      </c>
      <c r="Q236">
        <v>0.28077999999999997</v>
      </c>
      <c r="R236" t="s">
        <v>29</v>
      </c>
      <c r="U236" t="str">
        <f>HYPERLINK("https://lindat.mff.cuni.cz/services/SynSemClass55/SynSemClass55.html?veclass=vec01592", "vec01592 / podepsat se (v41frjA)")</f>
        <v>vec01592 / podepsat se (v41frjA)</v>
      </c>
      <c r="V236">
        <v>5.7820000000000003E-2</v>
      </c>
      <c r="W236" t="s">
        <v>29</v>
      </c>
      <c r="Z236" t="str">
        <f>HYPERLINK("https://lindat.mff.cuni.cz/services/SynSemClass55/SynSemClass55.html?veclass=vec01712", "vec01712 / zatěžovat (v41qppB)")</f>
        <v>vec01712 / zatěžovat (v41qppB)</v>
      </c>
      <c r="AA236">
        <v>4.5839999999999999E-2</v>
      </c>
      <c r="AB236" t="s">
        <v>29</v>
      </c>
      <c r="AE236" t="str">
        <f>HYPERLINK("https://lindat.mff.cuni.cz/services/SynSemClass55/SynSemClass55.html?veclass=vec01614", "vec01614 / urazit se (v41mtmA)")</f>
        <v>vec01614 / urazit se (v41mtmA)</v>
      </c>
      <c r="AF236">
        <v>4.3860000000000003E-2</v>
      </c>
      <c r="AG236" t="s">
        <v>29</v>
      </c>
    </row>
    <row r="238" spans="1:33" x14ac:dyDescent="0.2">
      <c r="A238" t="str">
        <f>HYPERLINK("https://lindat.mff.cuni.cz/services/PDT-Vallex4.5/PDT-Vallex4.5.html?verb=požírat", "požírat")</f>
        <v>požírat</v>
      </c>
      <c r="B238" t="str">
        <f>HYPERLINK("https://lindat.mff.cuni.cz/services/PDT-Vallex4.5/PDT-Vallex4.5.html?verb=požírat#v41gxsA", "v41gxsA")</f>
        <v>v41gxsA</v>
      </c>
      <c r="E238">
        <v>179</v>
      </c>
      <c r="F238">
        <v>0.80701000000000001</v>
      </c>
      <c r="G238" s="1" t="s">
        <v>112</v>
      </c>
      <c r="K238" t="str">
        <f>HYPERLINK("https://lindat.mff.cuni.cz/services/SynSemClass55/SynSemClass55.html?veclass=vec00828", "vec00828 / jíst (v41bifB)")</f>
        <v>vec00828 / jíst (v41bifB)</v>
      </c>
      <c r="L238">
        <v>0.80701000000000001</v>
      </c>
      <c r="M238" t="s">
        <v>29</v>
      </c>
      <c r="P238" t="str">
        <f>HYPERLINK("https://lindat.mff.cuni.cz/services/SynSemClass55/SynSemClass55.html?veclass=vec00476", "vec00476 / pohltit (v41fxaA)")</f>
        <v>vec00476 / pohltit (v41fxaA)</v>
      </c>
      <c r="Q238">
        <v>6.1699999999999998E-2</v>
      </c>
      <c r="R238" t="s">
        <v>29</v>
      </c>
      <c r="U238" t="str">
        <f>HYPERLINK("https://lindat.mff.cuni.cz/services/SynSemClass55/SynSemClass55.html?veclass=vec00800", "vec00800 / žvýkat (v41sexA)")</f>
        <v>vec00800 / žvýkat (v41sexA)</v>
      </c>
      <c r="V238">
        <v>3.2989999999999998E-2</v>
      </c>
      <c r="W238" t="s">
        <v>29</v>
      </c>
      <c r="Z238" t="str">
        <f>HYPERLINK("https://lindat.mff.cuni.cz/services/SynSemClass55/SynSemClass55.html?veclass=vec00345", "vec00345 / věřit (v41njsD)")</f>
        <v>vec00345 / věřit (v41njsD)</v>
      </c>
      <c r="AA238">
        <v>3.2809999999999999E-2</v>
      </c>
      <c r="AB238" t="s">
        <v>29</v>
      </c>
      <c r="AE238" t="str">
        <f>HYPERLINK("https://lindat.mff.cuni.cz/services/SynSemClass55/SynSemClass55.html?veclass=vec00785", "vec00785 / zhoršit (v41rcrA)")</f>
        <v>vec00785 / zhoršit (v41rcrA)</v>
      </c>
      <c r="AF238">
        <v>3.209E-2</v>
      </c>
      <c r="AG238" t="s">
        <v>29</v>
      </c>
    </row>
    <row r="240" spans="1:33" x14ac:dyDescent="0.2">
      <c r="A240" t="str">
        <f>HYPERLINK("https://lindat.mff.cuni.cz/services/PDT-Vallex4.5/PDT-Vallex4.5.html?verb=požít", "požít")</f>
        <v>požít</v>
      </c>
      <c r="B240" t="str">
        <f>HYPERLINK("https://lindat.mff.cuni.cz/services/PDT-Vallex4.5/PDT-Vallex4.5.html?verb=požít#v41gxtA", "v41gxtA")</f>
        <v>v41gxtA</v>
      </c>
      <c r="E240">
        <v>61</v>
      </c>
      <c r="F240">
        <v>0.19977</v>
      </c>
      <c r="G240" s="1" t="s">
        <v>32</v>
      </c>
      <c r="K240" t="str">
        <f>HYPERLINK("https://lindat.mff.cuni.cz/services/SynSemClass55/SynSemClass55.html?veclass=vec00828", "vec00828 / jíst (v41bifB)")</f>
        <v>vec00828 / jíst (v41bifB)</v>
      </c>
      <c r="L240">
        <v>0.19977</v>
      </c>
      <c r="M240" t="s">
        <v>51</v>
      </c>
      <c r="P240" t="str">
        <f>HYPERLINK("https://lindat.mff.cuni.cz/services/SynSemClass55/SynSemClass55.html?veclass=vec00866", "vec00866 / pít (v41fluA)")</f>
        <v>vec00866 / pít (v41fluA)</v>
      </c>
      <c r="Q240">
        <v>0.19103999999999999</v>
      </c>
      <c r="R240" t="s">
        <v>51</v>
      </c>
      <c r="U240" t="str">
        <f>HYPERLINK("https://lindat.mff.cuni.cz/services/SynSemClass55/SynSemClass55.html?veclass=vec01004", "vec01004 / brát (v41hsK)")</f>
        <v>vec01004 / brát (v41hsK)</v>
      </c>
      <c r="V240">
        <v>0.18715999999999999</v>
      </c>
      <c r="W240" t="s">
        <v>31</v>
      </c>
      <c r="Z240" t="str">
        <f>HYPERLINK("https://lindat.mff.cuni.cz/services/SynSemClass55/SynSemClass55.html?veclass=vec00742", "vec00742 / užívat si (v41nfrA)")</f>
        <v>vec00742 / užívat si (v41nfrA)</v>
      </c>
      <c r="AA240">
        <v>6.8570000000000006E-2</v>
      </c>
      <c r="AB240" t="s">
        <v>29</v>
      </c>
      <c r="AE240" t="str">
        <f>HYPERLINK("https://lindat.mff.cuni.cz/services/SynSemClass55/SynSemClass55.html?veclass=vec00830", "vec00830 / kouřit (v41bttA)")</f>
        <v>vec00830 / kouřit (v41bttA)</v>
      </c>
      <c r="AF240">
        <v>2.0629999999999999E-2</v>
      </c>
      <c r="AG240" t="s">
        <v>29</v>
      </c>
    </row>
    <row r="242" spans="1:33" x14ac:dyDescent="0.2">
      <c r="A242" t="str">
        <f>HYPERLINK("https://lindat.mff.cuni.cz/services/PDT-Vallex4.5/PDT-Vallex4.5.html?verb=pramenit", "pramenit")</f>
        <v>pramenit</v>
      </c>
      <c r="B242" t="str">
        <f>HYPERLINK("https://lindat.mff.cuni.cz/services/PDT-Vallex4.5/PDT-Vallex4.5.html?verb=pramenit#v41gygB", "v41gygB")</f>
        <v>v41gygB</v>
      </c>
      <c r="E242">
        <v>262</v>
      </c>
      <c r="F242">
        <v>0.88441999999999998</v>
      </c>
      <c r="G242" s="1" t="s">
        <v>32</v>
      </c>
      <c r="K242" t="str">
        <f>HYPERLINK("https://lindat.mff.cuni.cz/services/SynSemClass55/SynSemClass55.html?veclass=vec00258", "vec00258 / pocházet (v41fyjA)")</f>
        <v>vec00258 / pocházet (v41fyjA)</v>
      </c>
      <c r="L242">
        <v>0.88441999999999998</v>
      </c>
      <c r="M242" t="s">
        <v>29</v>
      </c>
      <c r="P242" t="str">
        <f>HYPERLINK("https://lindat.mff.cuni.cz/services/SynSemClass55/SynSemClass55.html?veclass=vec00071", "vec00071 / pocházet (v41fyjB)")</f>
        <v>vec00071 / pocházet (v41fyjB)</v>
      </c>
      <c r="Q242">
        <v>3.3210000000000003E-2</v>
      </c>
      <c r="R242" t="s">
        <v>33</v>
      </c>
      <c r="U242" t="str">
        <f>HYPERLINK("https://lindat.mff.cuni.cz/services/SynSemClass55/SynSemClass55.html?veclass=vec00855", "vec00855 / odvodit (v41endA)")</f>
        <v>vec00855 / odvodit (v41endA)</v>
      </c>
      <c r="V242">
        <v>1.2800000000000001E-2</v>
      </c>
      <c r="W242" t="s">
        <v>29</v>
      </c>
      <c r="Z242" t="str">
        <f>HYPERLINK("https://lindat.mff.cuni.cz/services/SynSemClass55/SynSemClass55.html?veclass=vec01754", "vec01754 / klubat se (v41bmcA)")</f>
        <v>vec01754 / klubat se (v41bmcA)</v>
      </c>
      <c r="AA242">
        <v>1.103E-2</v>
      </c>
      <c r="AB242" t="s">
        <v>29</v>
      </c>
      <c r="AE242" t="str">
        <f>HYPERLINK("https://lindat.mff.cuni.cz/services/SynSemClass55/SynSemClass55.html?veclass=vec00510", "vec00510 / rozvíjet se (v41kbjB)")</f>
        <v>vec00510 / rozvíjet se (v41kbjB)</v>
      </c>
      <c r="AF242">
        <v>1.0789999999999999E-2</v>
      </c>
      <c r="AG242" t="s">
        <v>29</v>
      </c>
    </row>
    <row r="244" spans="1:33" x14ac:dyDescent="0.2">
      <c r="A244" t="str">
        <f>HYPERLINK("https://lindat.mff.cuni.cz/services/PDT-Vallex4.5/PDT-Vallex4.5.html?verb=pročesat", "pročesat")</f>
        <v>pročesat</v>
      </c>
      <c r="B244" t="str">
        <f>HYPERLINK("https://lindat.mff.cuni.cz/services/PDT-Vallex4.5/PDT-Vallex4.5.html?verb=pročesat#v41hbcB", "v41hbcB")</f>
        <v>v41hbcB</v>
      </c>
      <c r="E244">
        <v>74</v>
      </c>
      <c r="F244">
        <v>0.41909999999999997</v>
      </c>
      <c r="G244" s="1">
        <v>0</v>
      </c>
      <c r="I244" s="1" t="s">
        <v>113</v>
      </c>
      <c r="K244" t="str">
        <f>HYPERLINK("https://lindat.mff.cuni.cz/services/SynSemClass55/SynSemClass55.html?veclass=vec00684", "vec00684 / pročesávat (v41hbdA)")</f>
        <v>vec00684 / pročesávat (v41hbdA)</v>
      </c>
      <c r="L244">
        <v>0.41909999999999997</v>
      </c>
      <c r="M244" t="s">
        <v>29</v>
      </c>
      <c r="P244" t="str">
        <f>HYPERLINK("https://lindat.mff.cuni.cz/services/SynSemClass55/SynSemClass55.html?veclass=vec00879", "vec00879 / probrat se (v41hapB)")</f>
        <v>vec00879 / probrat se (v41hapB)</v>
      </c>
      <c r="Q244">
        <v>0.10285</v>
      </c>
      <c r="R244" t="s">
        <v>29</v>
      </c>
      <c r="U244" t="str">
        <f>HYPERLINK("https://lindat.mff.cuni.cz/services/SynSemClass55/SynSemClass55.html?veclass=vec00090", "vec00090 / prozkoumat (v41hsgA)")</f>
        <v>vec00090 / prozkoumat (v41hsgA)</v>
      </c>
      <c r="V244">
        <v>5.1839999999999997E-2</v>
      </c>
      <c r="W244" t="s">
        <v>29</v>
      </c>
      <c r="Z244" t="str">
        <f>HYPERLINK("https://lindat.mff.cuni.cz/services/SynSemClass55/SynSemClass55.html?veclass=vec01216", "vec01216 / hrabat se (v41aygA)")</f>
        <v>vec01216 / hrabat se (v41aygA)</v>
      </c>
      <c r="AA244">
        <v>4.0640000000000003E-2</v>
      </c>
      <c r="AB244" t="s">
        <v>29</v>
      </c>
      <c r="AE244" t="str">
        <f>HYPERLINK("https://lindat.mff.cuni.cz/services/SynSemClass55/SynSemClass55.html?veclass=vec00924", "vec00924 / smést (v41kvgB)")</f>
        <v>vec00924 / smést (v41kvgB)</v>
      </c>
      <c r="AF244">
        <v>4.027E-2</v>
      </c>
      <c r="AG244" t="s">
        <v>29</v>
      </c>
    </row>
    <row r="246" spans="1:33" x14ac:dyDescent="0.2">
      <c r="A246" t="str">
        <f>HYPERLINK("https://lindat.mff.cuni.cz/services/PDT-Vallex4.5/PDT-Vallex4.5.html?verb=pročesávat", "pročesávat")</f>
        <v>pročesávat</v>
      </c>
      <c r="B246" t="str">
        <f>HYPERLINK("https://lindat.mff.cuni.cz/services/PDT-Vallex4.5/PDT-Vallex4.5.html?verb=pročesávat#v41hbdB", "v41hbdB")</f>
        <v>v41hbdB</v>
      </c>
      <c r="E246">
        <v>159</v>
      </c>
      <c r="F246">
        <v>0.35249000000000003</v>
      </c>
      <c r="G246" s="1">
        <v>0</v>
      </c>
      <c r="I246" s="1" t="s">
        <v>113</v>
      </c>
      <c r="K246" t="str">
        <f>HYPERLINK("https://lindat.mff.cuni.cz/services/SynSemClass55/SynSemClass55.html?veclass=vec00684", "vec00684 / pročesávat (v41hbdA)")</f>
        <v>vec00684 / pročesávat (v41hbdA)</v>
      </c>
      <c r="L246">
        <v>0.35249000000000003</v>
      </c>
      <c r="M246" t="s">
        <v>29</v>
      </c>
      <c r="P246" t="str">
        <f>HYPERLINK("https://lindat.mff.cuni.cz/services/SynSemClass55/SynSemClass55.html?veclass=vec00879", "vec00879 / probrat se (v41hapB)")</f>
        <v>vec00879 / probrat se (v41hapB)</v>
      </c>
      <c r="Q246">
        <v>5.8720000000000001E-2</v>
      </c>
      <c r="R246" t="s">
        <v>29</v>
      </c>
      <c r="U246" t="str">
        <f>HYPERLINK("https://lindat.mff.cuni.cz/services/SynSemClass55/SynSemClass55.html?veclass=vec01216", "vec01216 / hrabat se (v41aygA)")</f>
        <v>vec01216 / hrabat se (v41aygA)</v>
      </c>
      <c r="V246">
        <v>5.2679999999999998E-2</v>
      </c>
      <c r="W246" t="s">
        <v>29</v>
      </c>
      <c r="Z246" t="str">
        <f>HYPERLINK("https://lindat.mff.cuni.cz/services/SynSemClass55/SynSemClass55.html?veclass=vec00924", "vec00924 / smést (v41kvgB)")</f>
        <v>vec00924 / smést (v41kvgB)</v>
      </c>
      <c r="AA246">
        <v>3.7229999999999999E-2</v>
      </c>
      <c r="AB246" t="s">
        <v>29</v>
      </c>
      <c r="AE246" t="str">
        <f>HYPERLINK("https://lindat.mff.cuni.cz/services/SynSemClass55/SynSemClass55.html?veclass=vec00090", "vec00090 / prozkoumat (v41hsgA)")</f>
        <v>vec00090 / prozkoumat (v41hsgA)</v>
      </c>
      <c r="AF246">
        <v>3.4279999999999998E-2</v>
      </c>
      <c r="AG246" t="s">
        <v>29</v>
      </c>
    </row>
    <row r="248" spans="1:33" x14ac:dyDescent="0.2">
      <c r="A248" t="str">
        <f>HYPERLINK("https://lindat.mff.cuni.cz/services/PDT-Vallex4.5/PDT-Vallex4.5.html?verb=prohodit si", "prohodit si")</f>
        <v>prohodit si</v>
      </c>
      <c r="B248" t="str">
        <f>HYPERLINK("https://lindat.mff.cuni.cz/services/PDT-Vallex4.5/PDT-Vallex4.5.html?verb=prohodit si#v41hebA", "v41hebA")</f>
        <v>v41hebA</v>
      </c>
      <c r="E248">
        <v>834</v>
      </c>
      <c r="F248">
        <v>0.14299999999999999</v>
      </c>
      <c r="G248" s="1" t="s">
        <v>114</v>
      </c>
      <c r="K248" t="str">
        <f>HYPERLINK("https://lindat.mff.cuni.cz/services/SynSemClass55/SynSemClass55.html?veclass=vec01060", "vec01060 / odseknout (v41eizA)")</f>
        <v>vec01060 / odseknout (v41eizA)</v>
      </c>
      <c r="L248">
        <v>0.14299999999999999</v>
      </c>
      <c r="M248" t="s">
        <v>29</v>
      </c>
      <c r="P248" t="str">
        <f>HYPERLINK("https://lindat.mff.cuni.cz/services/SynSemClass55/SynSemClass55.html?veclass=vec01056", "vec01056 / odfrknout si (v41dznA)")</f>
        <v>vec01056 / odfrknout si (v41dznA)</v>
      </c>
      <c r="Q248">
        <v>0.10241</v>
      </c>
      <c r="R248" t="s">
        <v>29</v>
      </c>
      <c r="U248" t="str">
        <f>HYPERLINK("https://lindat.mff.cuni.cz/services/SynSemClass55/SynSemClass55.html?veclass=vec01009", "vec01009 / citovat (v41lgA)")</f>
        <v>vec01009 / citovat (v41lgA)</v>
      </c>
      <c r="V248">
        <v>8.6739999999999998E-2</v>
      </c>
      <c r="W248" t="s">
        <v>29</v>
      </c>
      <c r="Z248" t="str">
        <f>HYPERLINK("https://lindat.mff.cuni.cz/services/SynSemClass55/SynSemClass55.html?veclass=vec00031", "vec00031 / mluvit (v41chxD)")</f>
        <v>vec00031 / mluvit (v41chxD)</v>
      </c>
      <c r="AA248">
        <v>7.5130000000000002E-2</v>
      </c>
      <c r="AB248" t="s">
        <v>29</v>
      </c>
      <c r="AE248" t="str">
        <f>HYPERLINK("https://lindat.mff.cuni.cz/services/SynSemClass55/SynSemClass55.html?veclass=vec01666", "vec01666 / příst (v41iyxB)")</f>
        <v>vec01666 / příst (v41iyxB)</v>
      </c>
      <c r="AF248">
        <v>5.8990000000000001E-2</v>
      </c>
      <c r="AG248" t="s">
        <v>29</v>
      </c>
    </row>
    <row r="250" spans="1:33" x14ac:dyDescent="0.2">
      <c r="A250" t="str">
        <f>HYPERLINK("https://lindat.mff.cuni.cz/services/PDT-Vallex4.5/PDT-Vallex4.5.html?verb=prohrabovat", "prohrabovat")</f>
        <v>prohrabovat</v>
      </c>
      <c r="B250" t="str">
        <f>HYPERLINK("https://lindat.mff.cuni.cz/services/PDT-Vallex4.5/PDT-Vallex4.5.html?verb=prohrabovat#v41hehA", "v41hehA")</f>
        <v>v41hehA</v>
      </c>
      <c r="E250">
        <v>128</v>
      </c>
      <c r="F250">
        <v>0.19397</v>
      </c>
      <c r="G250" s="1" t="s">
        <v>32</v>
      </c>
      <c r="K250" t="str">
        <f>HYPERLINK("https://lindat.mff.cuni.cz/services/SynSemClass55/SynSemClass55.html?veclass=vec01216", "vec01216 / hrabat se (v41aygA)")</f>
        <v>vec01216 / hrabat se (v41aygA)</v>
      </c>
      <c r="L250">
        <v>0.19397</v>
      </c>
      <c r="M250" t="s">
        <v>31</v>
      </c>
      <c r="P250" t="str">
        <f>HYPERLINK("https://lindat.mff.cuni.cz/services/SynSemClass55/SynSemClass55.html?veclass=vec00991", "vec00991 / zavrtět (v41qubA)")</f>
        <v>vec00991 / zavrtět (v41qubA)</v>
      </c>
      <c r="Q250">
        <v>4.0219999999999999E-2</v>
      </c>
      <c r="R250" t="s">
        <v>29</v>
      </c>
      <c r="U250" t="str">
        <f>HYPERLINK("https://lindat.mff.cuni.cz/services/SynSemClass55/SynSemClass55.html?veclass=vec01673", "vec01673 / rýt (v41kdeA)")</f>
        <v>vec01673 / rýt (v41kdeA)</v>
      </c>
      <c r="V250">
        <v>3.288E-2</v>
      </c>
      <c r="W250" t="s">
        <v>29</v>
      </c>
      <c r="Z250" t="str">
        <f>HYPERLINK("https://lindat.mff.cuni.cz/services/SynSemClass55/SynSemClass55.html?veclass=vec00522", "vec00522 / stabilizovat se (v41lhbA)")</f>
        <v>vec00522 / stabilizovat se (v41lhbA)</v>
      </c>
      <c r="AA250">
        <v>3.1699999999999999E-2</v>
      </c>
      <c r="AB250" t="s">
        <v>29</v>
      </c>
      <c r="AE250" t="str">
        <f>HYPERLINK("https://lindat.mff.cuni.cz/services/SynSemClass55/SynSemClass55.html?veclass=vec00818", "vec00818 / fušovat (v41askA)")</f>
        <v>vec00818 / fušovat (v41askA)</v>
      </c>
      <c r="AF250">
        <v>3.032E-2</v>
      </c>
      <c r="AG250" t="s">
        <v>29</v>
      </c>
    </row>
    <row r="252" spans="1:33" x14ac:dyDescent="0.2">
      <c r="A252" t="str">
        <f>HYPERLINK("https://lindat.mff.cuni.cz/services/PDT-Vallex4.5/PDT-Vallex4.5.html?verb=prokličkovat", "prokličkovat")</f>
        <v>prokličkovat</v>
      </c>
      <c r="B252" t="str">
        <f>HYPERLINK("https://lindat.mff.cuni.cz/services/PDT-Vallex4.5/PDT-Vallex4.5.html?verb=prokličkovat#v41hfyA", "v41hfyA")</f>
        <v>v41hfyA</v>
      </c>
      <c r="E252">
        <v>39</v>
      </c>
      <c r="F252">
        <v>0.13099</v>
      </c>
      <c r="G252" s="1" t="s">
        <v>32</v>
      </c>
      <c r="K252" t="str">
        <f>HYPERLINK("https://lindat.mff.cuni.cz/services/SynSemClass55/SynSemClass55.html?veclass=vec00665", "vec00665 / plazit se (v41fnbA)")</f>
        <v>vec00665 / plazit se (v41fnbA)</v>
      </c>
      <c r="L252">
        <v>0.13099</v>
      </c>
      <c r="M252" t="s">
        <v>29</v>
      </c>
      <c r="P252" t="str">
        <f>HYPERLINK("https://lindat.mff.cuni.cz/services/SynSemClass55/SynSemClass55.html?veclass=vec00685", "vec00685 / projít (v41hfiF)")</f>
        <v>vec00685 / projít (v41hfiF)</v>
      </c>
      <c r="Q252">
        <v>7.4469999999999995E-2</v>
      </c>
      <c r="R252" t="s">
        <v>29</v>
      </c>
      <c r="U252" t="str">
        <f>HYPERLINK("https://lindat.mff.cuni.cz/services/SynSemClass55/SynSemClass55.html?veclass=vec01287", "vec01287 / přeskakovat (v41iipB)")</f>
        <v>vec01287 / přeskakovat (v41iipB)</v>
      </c>
      <c r="V252">
        <v>5.6779999999999997E-2</v>
      </c>
      <c r="W252" t="s">
        <v>29</v>
      </c>
      <c r="Z252" t="str">
        <f>HYPERLINK("https://lindat.mff.cuni.cz/services/SynSemClass55/SynSemClass55.html?veclass=vec00279", "vec00279 / překonat (v41ibzC)")</f>
        <v>vec00279 / překonat (v41ibzC)</v>
      </c>
      <c r="AA252">
        <v>5.586E-2</v>
      </c>
      <c r="AB252" t="s">
        <v>29</v>
      </c>
      <c r="AE252" t="str">
        <f>HYPERLINK("https://lindat.mff.cuni.cz/services/SynSemClass55/SynSemClass55.html?veclass=vec00881", "vec00881 / prohnat se (v41hdxA)")</f>
        <v>vec00881 / prohnat se (v41hdxA)</v>
      </c>
      <c r="AF252">
        <v>4.394E-2</v>
      </c>
      <c r="AG252" t="s">
        <v>31</v>
      </c>
    </row>
    <row r="254" spans="1:33" x14ac:dyDescent="0.2">
      <c r="A254" t="str">
        <f>HYPERLINK("https://lindat.mff.cuni.cz/services/PDT-Vallex4.5/PDT-Vallex4.5.html?verb=prokopnout se", "prokopnout se")</f>
        <v>prokopnout se</v>
      </c>
      <c r="B254" t="str">
        <f>HYPERLINK("https://lindat.mff.cuni.cz/services/PDT-Vallex4.5/PDT-Vallex4.5.html?verb=prokopnout se#v41hgeA", "v41hgeA")</f>
        <v>v41hgeA</v>
      </c>
      <c r="E254">
        <v>9</v>
      </c>
      <c r="F254">
        <v>5.9540000000000003E-2</v>
      </c>
      <c r="G254" s="1" t="s">
        <v>115</v>
      </c>
      <c r="K254" t="str">
        <f>HYPERLINK("https://lindat.mff.cuni.cz/services/SynSemClass55/SynSemClass55.html?veclass=vec00888", "vec00888 / prorazit (v41hloE)")</f>
        <v>vec00888 / prorazit (v41hloE)</v>
      </c>
      <c r="L254">
        <v>5.9540000000000003E-2</v>
      </c>
      <c r="M254" t="s">
        <v>29</v>
      </c>
      <c r="P254" t="str">
        <f>HYPERLINK("https://lindat.mff.cuni.cz/services/SynSemClass55/SynSemClass55.html?veclass=vec01216", "vec01216 / hrabat se (v41aygA)")</f>
        <v>vec01216 / hrabat se (v41aygA)</v>
      </c>
      <c r="Q254">
        <v>5.2600000000000001E-2</v>
      </c>
      <c r="R254" t="s">
        <v>29</v>
      </c>
      <c r="U254" t="str">
        <f>HYPERLINK("https://lindat.mff.cuni.cz/services/SynSemClass55/SynSemClass55.html?veclass=vec00503", "vec00503 / přiznat se (v41jcjA)")</f>
        <v>vec00503 / přiznat se (v41jcjA)</v>
      </c>
      <c r="V254">
        <v>4.1110000000000001E-2</v>
      </c>
      <c r="W254" t="s">
        <v>29</v>
      </c>
      <c r="Z254" t="str">
        <f>HYPERLINK("https://lindat.mff.cuni.cz/services/SynSemClass55/SynSemClass55.html?veclass=vec01699", "vec01699 / veslovat (v41njuA)")</f>
        <v>vec01699 / veslovat (v41njuA)</v>
      </c>
      <c r="AA254">
        <v>3.807E-2</v>
      </c>
      <c r="AB254" t="s">
        <v>29</v>
      </c>
      <c r="AE254" t="str">
        <f>HYPERLINK("https://lindat.mff.cuni.cz/services/SynSemClass55/SynSemClass55.html?veclass=vec01673", "vec01673 / rýt (v41kdeA)")</f>
        <v>vec01673 / rýt (v41kdeA)</v>
      </c>
      <c r="AF254">
        <v>3.8010000000000002E-2</v>
      </c>
      <c r="AG254" t="s">
        <v>29</v>
      </c>
    </row>
    <row r="256" spans="1:33" x14ac:dyDescent="0.2">
      <c r="A256" t="str">
        <f>HYPERLINK("https://lindat.mff.cuni.cz/services/PDT-Vallex4.5/PDT-Vallex4.5.html?verb=proležet", "proležet")</f>
        <v>proležet</v>
      </c>
      <c r="B256" t="str">
        <f>HYPERLINK("https://lindat.mff.cuni.cz/services/PDT-Vallex4.5/PDT-Vallex4.5.html?verb=proležet#v41hgsB", "v41hgsB")</f>
        <v>v41hgsB</v>
      </c>
      <c r="E256">
        <v>73</v>
      </c>
      <c r="F256">
        <v>8.9370000000000005E-2</v>
      </c>
      <c r="G256" s="1">
        <v>0</v>
      </c>
      <c r="I256" s="1" t="s">
        <v>116</v>
      </c>
      <c r="K256" t="str">
        <f>HYPERLINK("https://lindat.mff.cuni.cz/services/SynSemClass55/SynSemClass55.html?veclass=vec00394", "vec00394 / zůstat (v41sadF)")</f>
        <v>vec00394 / zůstat (v41sadF)</v>
      </c>
      <c r="L256">
        <v>8.9370000000000005E-2</v>
      </c>
      <c r="M256" t="s">
        <v>29</v>
      </c>
      <c r="P256" t="str">
        <f>HYPERLINK("https://lindat.mff.cuni.cz/services/SynSemClass55/SynSemClass55.html?veclass=vec00325", "vec00325 / strávit (v41lluB)")</f>
        <v>vec00325 / strávit (v41lluB)</v>
      </c>
      <c r="Q256">
        <v>5.9119999999999999E-2</v>
      </c>
      <c r="R256" t="s">
        <v>29</v>
      </c>
      <c r="U256" t="str">
        <f>HYPERLINK("https://lindat.mff.cuni.cz/services/SynSemClass55/SynSemClass55.html?veclass=vec01843", "vec01843 / prosedět (v41hmoA)")</f>
        <v>vec01843 / prosedět (v41hmoA)</v>
      </c>
      <c r="V256">
        <v>3.6380000000000003E-2</v>
      </c>
      <c r="W256" t="s">
        <v>29</v>
      </c>
      <c r="Z256" t="str">
        <f>HYPERLINK("https://lindat.mff.cuni.cz/services/SynSemClass55/SynSemClass55.html?veclass=vec01059", "vec01059 / odpykávat si (v41ehqA)")</f>
        <v>vec01059 / odpykávat si (v41ehqA)</v>
      </c>
      <c r="AA256">
        <v>3.3689999999999998E-2</v>
      </c>
      <c r="AB256" t="s">
        <v>29</v>
      </c>
      <c r="AE256" t="str">
        <f>HYPERLINK("https://lindat.mff.cuni.cz/services/SynSemClass55/SynSemClass55.html?veclass=vec01458", "vec01458 / věnovat se (v41njfA)")</f>
        <v>vec01458 / věnovat se (v41njfA)</v>
      </c>
      <c r="AF256">
        <v>2.8680000000000001E-2</v>
      </c>
      <c r="AG256" t="s">
        <v>29</v>
      </c>
    </row>
    <row r="258" spans="1:33" x14ac:dyDescent="0.2">
      <c r="A258" t="str">
        <f>HYPERLINK("https://lindat.mff.cuni.cz/services/PDT-Vallex4.5/PDT-Vallex4.5.html?verb=promítnout si", "promítnout si")</f>
        <v>promítnout si</v>
      </c>
      <c r="B258" t="str">
        <f>HYPERLINK("https://lindat.mff.cuni.cz/services/PDT-Vallex4.5/PDT-Vallex4.5.html?verb=promítnout si#v41hhzA", "v41hhzA")</f>
        <v>v41hhzA</v>
      </c>
      <c r="E258">
        <v>106</v>
      </c>
      <c r="F258">
        <v>0.11045000000000001</v>
      </c>
      <c r="G258" s="1" t="s">
        <v>117</v>
      </c>
      <c r="K258" t="str">
        <f>HYPERLINK("https://lindat.mff.cuni.cz/services/SynSemClass55/SynSemClass55.html?veclass=vec00358", "vec00358 / vysílat (v41ovzD)")</f>
        <v>vec00358 / vysílat (v41ovzD)</v>
      </c>
      <c r="L258">
        <v>0.11045000000000001</v>
      </c>
      <c r="M258" t="s">
        <v>29</v>
      </c>
      <c r="P258" t="str">
        <f>HYPERLINK("https://lindat.mff.cuni.cz/services/SynSemClass55/SynSemClass55.html?veclass=vec01080", "vec01080 / promítnout se (v41hhyB)")</f>
        <v>vec01080 / promítnout se (v41hhyB)</v>
      </c>
      <c r="Q258">
        <v>0.10131</v>
      </c>
      <c r="R258" t="s">
        <v>29</v>
      </c>
      <c r="U258" t="str">
        <f>HYPERLINK("https://lindat.mff.cuni.cz/services/SynSemClass55/SynSemClass55.html?veclass=vec01793", "vec01793 / obrážet se (v41dsgA)")</f>
        <v>vec01793 / obrážet se (v41dsgA)</v>
      </c>
      <c r="V258">
        <v>3.8719999999999997E-2</v>
      </c>
      <c r="W258" t="s">
        <v>29</v>
      </c>
      <c r="Z258" t="str">
        <f>HYPERLINK("https://lindat.mff.cuni.cz/services/SynSemClass55/SynSemClass55.html?veclass=vec01868", "vec01868 / rozehrát (v41johA)")</f>
        <v>vec01868 / rozehrát (v41johA)</v>
      </c>
      <c r="AA258">
        <v>3.2590000000000001E-2</v>
      </c>
      <c r="AB258" t="s">
        <v>29</v>
      </c>
      <c r="AE258" t="str">
        <f>HYPERLINK("https://lindat.mff.cuni.cz/services/SynSemClass55/SynSemClass55.html?veclass=vec00640", "vec00640 / natočit (v41deyC)")</f>
        <v>vec00640 / natočit (v41deyC)</v>
      </c>
      <c r="AF258">
        <v>2.8969999999999999E-2</v>
      </c>
      <c r="AG258" t="s">
        <v>29</v>
      </c>
    </row>
    <row r="260" spans="1:33" x14ac:dyDescent="0.2">
      <c r="A260" t="str">
        <f>HYPERLINK("https://lindat.mff.cuni.cz/services/PDT-Vallex4.5/PDT-Vallex4.5.html?verb=promnout", "promnout")</f>
        <v>promnout</v>
      </c>
      <c r="B260" t="str">
        <f>HYPERLINK("https://lindat.mff.cuni.cz/services/PDT-Vallex4.5/PDT-Vallex4.5.html?verb=promnout#v41higA", "v41higA")</f>
        <v>v41higA</v>
      </c>
      <c r="E260">
        <v>265</v>
      </c>
      <c r="F260">
        <v>0.10043000000000001</v>
      </c>
      <c r="G260" s="1">
        <v>0</v>
      </c>
      <c r="I260" s="1" t="s">
        <v>118</v>
      </c>
      <c r="K260" t="str">
        <f>HYPERLINK("https://lindat.mff.cuni.cz/services/SynSemClass55/SynSemClass55.html?veclass=vec00991", "vec00991 / zavrtět (v41qubA)")</f>
        <v>vec00991 / zavrtět (v41qubA)</v>
      </c>
      <c r="L260">
        <v>0.10043000000000001</v>
      </c>
      <c r="M260" t="s">
        <v>29</v>
      </c>
      <c r="P260" t="str">
        <f>HYPERLINK("https://lindat.mff.cuni.cz/services/SynSemClass55/SynSemClass55.html?veclass=vec01565", "vec01565 / mazat (v41cfaB)")</f>
        <v>vec01565 / mazat (v41cfaB)</v>
      </c>
      <c r="Q260">
        <v>4.8099999999999997E-2</v>
      </c>
      <c r="R260" t="s">
        <v>29</v>
      </c>
      <c r="U260" t="str">
        <f>HYPERLINK("https://lindat.mff.cuni.cz/services/SynSemClass55/SynSemClass55.html?veclass=vec01699", "vec01699 / veslovat (v41njuA)")</f>
        <v>vec01699 / veslovat (v41njuA)</v>
      </c>
      <c r="V260">
        <v>3.8370000000000001E-2</v>
      </c>
      <c r="W260" t="s">
        <v>29</v>
      </c>
      <c r="Z260" t="str">
        <f>HYPERLINK("https://lindat.mff.cuni.cz/services/SynSemClass55/SynSemClass55.html?veclass=vec00674", "vec00674 / pohrdat (v41fxsA)")</f>
        <v>vec00674 / pohrdat (v41fxsA)</v>
      </c>
      <c r="AA260">
        <v>3.721E-2</v>
      </c>
      <c r="AB260" t="s">
        <v>29</v>
      </c>
      <c r="AE260" t="str">
        <f>HYPERLINK("https://lindat.mff.cuni.cz/services/SynSemClass55/SynSemClass55.html?veclass=vec01584", "vec01584 / oholit (v41eplB)")</f>
        <v>vec01584 / oholit (v41eplB)</v>
      </c>
      <c r="AF260">
        <v>3.2750000000000001E-2</v>
      </c>
      <c r="AG260" t="s">
        <v>29</v>
      </c>
    </row>
    <row r="262" spans="1:33" x14ac:dyDescent="0.2">
      <c r="A262" t="str">
        <f>HYPERLINK("https://lindat.mff.cuni.cz/services/PDT-Vallex4.5/PDT-Vallex4.5.html?verb=proplétat", "proplétat")</f>
        <v>proplétat</v>
      </c>
      <c r="B262" t="str">
        <f>HYPERLINK("https://lindat.mff.cuni.cz/services/PDT-Vallex4.5/PDT-Vallex4.5.html?verb=proplétat#v41hkhA", "v41hkhA")</f>
        <v>v41hkhA</v>
      </c>
      <c r="E262">
        <v>398</v>
      </c>
      <c r="F262">
        <v>7.2410000000000002E-2</v>
      </c>
      <c r="G262" s="1" t="s">
        <v>119</v>
      </c>
      <c r="K262" t="str">
        <f>HYPERLINK("https://lindat.mff.cuni.cz/services/SynSemClass55/SynSemClass55.html?veclass=vec00665", "vec00665 / plazit se (v41fnbA)")</f>
        <v>vec00665 / plazit se (v41fnbA)</v>
      </c>
      <c r="L262">
        <v>7.2410000000000002E-2</v>
      </c>
      <c r="M262" t="s">
        <v>29</v>
      </c>
      <c r="P262" t="str">
        <f>HYPERLINK("https://lindat.mff.cuni.cz/services/SynSemClass55/SynSemClass55.html?veclass=vec00881", "vec00881 / prohnat se (v41hdxA)")</f>
        <v>vec00881 / prohnat se (v41hdxA)</v>
      </c>
      <c r="Q262">
        <v>5.602E-2</v>
      </c>
      <c r="R262" t="s">
        <v>29</v>
      </c>
      <c r="U262" t="str">
        <f>HYPERLINK("https://lindat.mff.cuni.cz/services/SynSemClass55/SynSemClass55.html?veclass=vec00882", "vec00882 / projet (v41hfaE)")</f>
        <v>vec00882 / projet (v41hfaE)</v>
      </c>
      <c r="V262">
        <v>5.5E-2</v>
      </c>
      <c r="W262" t="s">
        <v>29</v>
      </c>
      <c r="Z262" t="str">
        <f>HYPERLINK("https://lindat.mff.cuni.cz/services/SynSemClass55/SynSemClass55.html?veclass=vec00949", "vec00949 / valit se (v41nghA)")</f>
        <v>vec00949 / valit se (v41nghA)</v>
      </c>
      <c r="AA262">
        <v>5.2920000000000002E-2</v>
      </c>
      <c r="AB262" t="s">
        <v>29</v>
      </c>
      <c r="AE262" t="str">
        <f>HYPERLINK("https://lindat.mff.cuni.cz/services/SynSemClass55/SynSemClass55.html?veclass=vec01856", "vec01856 / převalit se (v41imfB)")</f>
        <v>vec01856 / převalit se (v41imfB)</v>
      </c>
      <c r="AF262">
        <v>5.0599999999999999E-2</v>
      </c>
      <c r="AG262" t="s">
        <v>29</v>
      </c>
    </row>
    <row r="264" spans="1:33" x14ac:dyDescent="0.2">
      <c r="A264" t="str">
        <f>HYPERLINK("https://lindat.mff.cuni.cz/services/PDT-Vallex4.5/PDT-Vallex4.5.html?verb=proplýtvat", "proplýtvat")</f>
        <v>proplýtvat</v>
      </c>
      <c r="B264" t="str">
        <f>HYPERLINK("https://lindat.mff.cuni.cz/services/PDT-Vallex4.5/PDT-Vallex4.5.html?verb=proplýtvat#v41hkoA", "v41hkoA")</f>
        <v>v41hkoA</v>
      </c>
      <c r="E264">
        <v>3</v>
      </c>
      <c r="F264">
        <v>0.32131999999999999</v>
      </c>
      <c r="G264" s="1" t="s">
        <v>32</v>
      </c>
      <c r="K264" t="str">
        <f>HYPERLINK("https://lindat.mff.cuni.cz/services/SynSemClass55/SynSemClass55.html?veclass=vec00886", "vec00886 / promrhat (v41hikA)")</f>
        <v>vec00886 / promrhat (v41hikA)</v>
      </c>
      <c r="L264">
        <v>0.32131999999999999</v>
      </c>
      <c r="M264" t="s">
        <v>31</v>
      </c>
      <c r="P264" t="str">
        <f>HYPERLINK("https://lindat.mff.cuni.cz/services/SynSemClass55/SynSemClass55.html?veclass=vec00147", "vec00147 / utratit (v41nbeA)")</f>
        <v>vec00147 / utratit (v41nbeA)</v>
      </c>
      <c r="Q264">
        <v>0.27600999999999998</v>
      </c>
      <c r="R264" t="s">
        <v>29</v>
      </c>
      <c r="U264" t="str">
        <f>HYPERLINK("https://lindat.mff.cuni.cz/services/SynSemClass55/SynSemClass55.html?veclass=vec01430", "vec01430 / promeškat (v41hhnA)")</f>
        <v>vec01430 / promeškat (v41hhnA)</v>
      </c>
      <c r="V264">
        <v>7.7259999999999995E-2</v>
      </c>
      <c r="W264" t="s">
        <v>29</v>
      </c>
      <c r="Z264" t="str">
        <f>HYPERLINK("https://lindat.mff.cuni.cz/services/SynSemClass55/SynSemClass55.html?veclass=vec00915", "vec00915 / rozvířit (v41kbpA)")</f>
        <v>vec00915 / rozvířit (v41kbpA)</v>
      </c>
      <c r="AA264">
        <v>4.095E-2</v>
      </c>
      <c r="AB264" t="s">
        <v>29</v>
      </c>
      <c r="AE264" t="str">
        <f>HYPERLINK("https://lindat.mff.cuni.cz/services/SynSemClass55/SynSemClass55.html?veclass=vec00910", "vec00910 / rozptýlit (v41jxiB)")</f>
        <v>vec00910 / rozptýlit (v41jxiB)</v>
      </c>
      <c r="AF264">
        <v>3.2820000000000002E-2</v>
      </c>
      <c r="AG264" t="s">
        <v>29</v>
      </c>
    </row>
    <row r="266" spans="1:33" x14ac:dyDescent="0.2">
      <c r="A266" t="str">
        <f>HYPERLINK("https://lindat.mff.cuni.cz/services/PDT-Vallex4.5/PDT-Vallex4.5.html?verb=prořítit se", "prořítit se")</f>
        <v>prořítit se</v>
      </c>
      <c r="B266" t="str">
        <f>HYPERLINK("https://lindat.mff.cuni.cz/services/PDT-Vallex4.5/PDT-Vallex4.5.html?verb=prořítit se#v41hmaA", "v41hmaA")</f>
        <v>v41hmaA</v>
      </c>
      <c r="E266">
        <v>9</v>
      </c>
      <c r="F266">
        <v>0.13993</v>
      </c>
      <c r="G266" s="1" t="s">
        <v>32</v>
      </c>
      <c r="K266" t="str">
        <f>HYPERLINK("https://lindat.mff.cuni.cz/services/SynSemClass55/SynSemClass55.html?veclass=vec00881", "vec00881 / prohnat se (v41hdxA)")</f>
        <v>vec00881 / prohnat se (v41hdxA)</v>
      </c>
      <c r="L266">
        <v>0.13993</v>
      </c>
      <c r="M266" t="s">
        <v>31</v>
      </c>
      <c r="P266" t="str">
        <f>HYPERLINK("https://lindat.mff.cuni.cz/services/SynSemClass55/SynSemClass55.html?veclass=vec00665", "vec00665 / plazit se (v41fnbA)")</f>
        <v>vec00665 / plazit se (v41fnbA)</v>
      </c>
      <c r="Q266">
        <v>0.11988</v>
      </c>
      <c r="R266" t="s">
        <v>29</v>
      </c>
      <c r="U266" t="str">
        <f>HYPERLINK("https://lindat.mff.cuni.cz/services/SynSemClass55/SynSemClass55.html?veclass=vec01856", "vec01856 / převalit se (v41imfB)")</f>
        <v>vec01856 / převalit se (v41imfB)</v>
      </c>
      <c r="V266">
        <v>9.4579999999999997E-2</v>
      </c>
      <c r="W266" t="s">
        <v>29</v>
      </c>
      <c r="Z266" t="str">
        <f>HYPERLINK("https://lindat.mff.cuni.cz/services/SynSemClass55/SynSemClass55.html?veclass=vec00882", "vec00882 / projet (v41hfaE)")</f>
        <v>vec00882 / projet (v41hfaE)</v>
      </c>
      <c r="AA266">
        <v>5.4449999999999998E-2</v>
      </c>
      <c r="AB266" t="s">
        <v>29</v>
      </c>
      <c r="AE266" t="str">
        <f>HYPERLINK("https://lindat.mff.cuni.cz/services/SynSemClass55/SynSemClass55.html?veclass=vec00949", "vec00949 / valit se (v41nghA)")</f>
        <v>vec00949 / valit se (v41nghA)</v>
      </c>
      <c r="AF266">
        <v>5.0950000000000002E-2</v>
      </c>
      <c r="AG266" t="s">
        <v>29</v>
      </c>
    </row>
    <row r="268" spans="1:33" x14ac:dyDescent="0.2">
      <c r="A268" t="str">
        <f>HYPERLINK("https://lindat.mff.cuni.cz/services/PDT-Vallex4.5/PDT-Vallex4.5.html?verb=prosekat", "prosekat")</f>
        <v>prosekat</v>
      </c>
      <c r="B268" t="str">
        <f>HYPERLINK("https://lindat.mff.cuni.cz/services/PDT-Vallex4.5/PDT-Vallex4.5.html?verb=prosekat#v41hmpA", "v41hmpA")</f>
        <v>v41hmpA</v>
      </c>
      <c r="E268">
        <v>36</v>
      </c>
      <c r="F268">
        <v>5.9279999999999999E-2</v>
      </c>
      <c r="G268" s="1" t="s">
        <v>32</v>
      </c>
      <c r="K268" t="str">
        <f>HYPERLINK("https://lindat.mff.cuni.cz/services/SynSemClass55/SynSemClass55.html?veclass=vec01290", "vec01290 / přihlásit se (v41iqqD)")</f>
        <v>vec01290 / přihlásit se (v41iqqD)</v>
      </c>
      <c r="L268">
        <v>5.9279999999999999E-2</v>
      </c>
      <c r="M268" t="s">
        <v>29</v>
      </c>
      <c r="P268" t="str">
        <f>HYPERLINK("https://lindat.mff.cuni.cz/services/SynSemClass55/SynSemClass55.html?veclass=vec00665", "vec00665 / plazit se (v41fnbA)")</f>
        <v>vec00665 / plazit se (v41fnbA)</v>
      </c>
      <c r="Q268">
        <v>5.9060000000000001E-2</v>
      </c>
      <c r="R268" t="s">
        <v>29</v>
      </c>
      <c r="U268" t="str">
        <f>HYPERLINK("https://lindat.mff.cuni.cz/services/SynSemClass55/SynSemClass55.html?veclass=vec00884", "vec00884 / proklestit (v41hfxA)")</f>
        <v>vec00884 / proklestit (v41hfxA)</v>
      </c>
      <c r="V268">
        <v>5.0439999999999999E-2</v>
      </c>
      <c r="W268" t="s">
        <v>31</v>
      </c>
      <c r="Z268" t="str">
        <f>HYPERLINK("https://lindat.mff.cuni.cz/services/SynSemClass55/SynSemClass55.html?veclass=vec01213", "vec01213 / dvořit se (v41amiA)")</f>
        <v>vec01213 / dvořit se (v41amiA)</v>
      </c>
      <c r="AA268">
        <v>2.9499999999999998E-2</v>
      </c>
      <c r="AB268" t="s">
        <v>29</v>
      </c>
      <c r="AE268" t="str">
        <f>HYPERLINK("https://lindat.mff.cuni.cz/services/SynSemClass55/SynSemClass55.html?veclass=vec00272", "vec00272 / požadovat (v41gxnA)")</f>
        <v>vec00272 / požadovat (v41gxnA)</v>
      </c>
      <c r="AF268">
        <v>2.7029999999999998E-2</v>
      </c>
      <c r="AG268" t="s">
        <v>29</v>
      </c>
    </row>
    <row r="270" spans="1:33" x14ac:dyDescent="0.2">
      <c r="A270" t="str">
        <f>HYPERLINK("https://lindat.mff.cuni.cz/services/PDT-Vallex4.5/PDT-Vallex4.5.html?verb=prostoupit", "prostoupit")</f>
        <v>prostoupit</v>
      </c>
      <c r="B270" t="str">
        <f>HYPERLINK("https://lindat.mff.cuni.cz/services/PDT-Vallex4.5/PDT-Vallex4.5.html?verb=prostoupit#v41hntB", "v41hntB")</f>
        <v>v41hntB</v>
      </c>
      <c r="E270">
        <v>128</v>
      </c>
      <c r="F270">
        <v>9.4200000000000006E-2</v>
      </c>
      <c r="G270" s="1" t="s">
        <v>32</v>
      </c>
      <c r="K270" t="str">
        <f>HYPERLINK("https://lindat.mff.cuni.cz/services/SynSemClass55/SynSemClass55.html?veclass=vec00882", "vec00882 / projet (v41hfaE)")</f>
        <v>vec00882 / projet (v41hfaE)</v>
      </c>
      <c r="L270">
        <v>9.4200000000000006E-2</v>
      </c>
      <c r="M270" t="s">
        <v>29</v>
      </c>
      <c r="P270" t="str">
        <f>HYPERLINK("https://lindat.mff.cuni.cz/services/SynSemClass55/SynSemClass55.html?veclass=vec00685", "vec00685 / projít (v41hfiF)")</f>
        <v>vec00685 / projít (v41hfiF)</v>
      </c>
      <c r="Q270">
        <v>5.4859999999999999E-2</v>
      </c>
      <c r="R270" t="s">
        <v>31</v>
      </c>
      <c r="U270" t="str">
        <f>HYPERLINK("https://lindat.mff.cuni.cz/services/SynSemClass55/SynSemClass55.html?veclass=vec00885", "vec00885 / prolomit (v41hhaB)")</f>
        <v>vec00885 / prolomit (v41hhaB)</v>
      </c>
      <c r="V270">
        <v>5.3830000000000003E-2</v>
      </c>
      <c r="W270" t="s">
        <v>29</v>
      </c>
      <c r="Z270" t="str">
        <f>HYPERLINK("https://lindat.mff.cuni.cz/services/SynSemClass55/SynSemClass55.html?veclass=vec00881", "vec00881 / prohnat se (v41hdxA)")</f>
        <v>vec00881 / prohnat se (v41hdxA)</v>
      </c>
      <c r="AA270">
        <v>4.0009999999999997E-2</v>
      </c>
      <c r="AB270" t="s">
        <v>29</v>
      </c>
      <c r="AE270" t="str">
        <f>HYPERLINK("https://lindat.mff.cuni.cz/services/SynSemClass55/SynSemClass55.html?veclass=vec01856", "vec01856 / převalit se (v41imfB)")</f>
        <v>vec01856 / převalit se (v41imfB)</v>
      </c>
      <c r="AF270">
        <v>3.7780000000000001E-2</v>
      </c>
      <c r="AG270" t="s">
        <v>29</v>
      </c>
    </row>
    <row r="272" spans="1:33" x14ac:dyDescent="0.2">
      <c r="A272" t="str">
        <f>HYPERLINK("https://lindat.mff.cuni.cz/services/PDT-Vallex4.5/PDT-Vallex4.5.html?verb=prosvištět", "prosvištět")</f>
        <v>prosvištět</v>
      </c>
      <c r="B272" t="str">
        <f>HYPERLINK("https://lindat.mff.cuni.cz/services/PDT-Vallex4.5/PDT-Vallex4.5.html?verb=prosvištět#v41hokA", "v41hokA")</f>
        <v>v41hokA</v>
      </c>
      <c r="E272">
        <v>63</v>
      </c>
      <c r="F272">
        <v>8.634E-2</v>
      </c>
      <c r="G272" s="1" t="s">
        <v>32</v>
      </c>
      <c r="K272" t="str">
        <f>HYPERLINK("https://lindat.mff.cuni.cz/services/SynSemClass55/SynSemClass55.html?veclass=vec01856", "vec01856 / převalit se (v41imfB)")</f>
        <v>vec01856 / převalit se (v41imfB)</v>
      </c>
      <c r="L272">
        <v>8.634E-2</v>
      </c>
      <c r="M272" t="s">
        <v>29</v>
      </c>
      <c r="P272" t="str">
        <f>HYPERLINK("https://lindat.mff.cuni.cz/services/SynSemClass55/SynSemClass55.html?veclass=vec00881", "vec00881 / prohnat se (v41hdxA)")</f>
        <v>vec00881 / prohnat se (v41hdxA)</v>
      </c>
      <c r="Q272">
        <v>6.7769999999999997E-2</v>
      </c>
      <c r="R272" t="s">
        <v>31</v>
      </c>
      <c r="U272" t="str">
        <f>HYPERLINK("https://lindat.mff.cuni.cz/services/SynSemClass55/SynSemClass55.html?veclass=vec01336", "vec01336 / tyčit se (v41meuA)")</f>
        <v>vec01336 / tyčit se (v41meuA)</v>
      </c>
      <c r="V272">
        <v>5.8639999999999998E-2</v>
      </c>
      <c r="W272" t="s">
        <v>29</v>
      </c>
      <c r="Z272" t="str">
        <f>HYPERLINK("https://lindat.mff.cuni.cz/services/SynSemClass55/SynSemClass55.html?veclass=vec01219", "vec01219 / klouzat (v41bmaA)")</f>
        <v>vec01219 / klouzat (v41bmaA)</v>
      </c>
      <c r="AA272">
        <v>4.9880000000000001E-2</v>
      </c>
      <c r="AB272" t="s">
        <v>29</v>
      </c>
      <c r="AE272" t="str">
        <f>HYPERLINK("https://lindat.mff.cuni.cz/services/SynSemClass55/SynSemClass55.html?veclass=vec00882", "vec00882 / projet (v41hfaE)")</f>
        <v>vec00882 / projet (v41hfaE)</v>
      </c>
      <c r="AF272">
        <v>4.9779999999999998E-2</v>
      </c>
      <c r="AG272" t="s">
        <v>29</v>
      </c>
    </row>
    <row r="274" spans="1:33" x14ac:dyDescent="0.2">
      <c r="A274" t="str">
        <f>HYPERLINK("https://lindat.mff.cuni.cz/services/PDT-Vallex4.5/PDT-Vallex4.5.html?verb=prošoupávat", "prošoupávat")</f>
        <v>prošoupávat</v>
      </c>
      <c r="B274" t="str">
        <f>HYPERLINK("https://lindat.mff.cuni.cz/services/PDT-Vallex4.5/PDT-Vallex4.5.html?verb=prošoupávat#v41hoyA", "v41hoyA")</f>
        <v>v41hoyA</v>
      </c>
      <c r="E274">
        <v>2</v>
      </c>
      <c r="F274">
        <v>6.6040000000000001E-2</v>
      </c>
      <c r="G274" s="1" t="s">
        <v>112</v>
      </c>
      <c r="I274" s="1" t="s">
        <v>120</v>
      </c>
      <c r="K274" t="str">
        <f>HYPERLINK("https://lindat.mff.cuni.cz/services/SynSemClass55/SynSemClass55.html?veclass=vec01219", "vec01219 / klouzat (v41bmaA)")</f>
        <v>vec01219 / klouzat (v41bmaA)</v>
      </c>
      <c r="L274">
        <v>6.6040000000000001E-2</v>
      </c>
      <c r="M274" t="s">
        <v>29</v>
      </c>
      <c r="P274" t="str">
        <f>HYPERLINK("https://lindat.mff.cuni.cz/services/SynSemClass55/SynSemClass55.html?veclass=vec00322", "vec00322 / stanovit (v41lhzC)")</f>
        <v>vec00322 / stanovit (v41lhzC)</v>
      </c>
      <c r="Q274">
        <v>5.4280000000000002E-2</v>
      </c>
      <c r="R274" t="s">
        <v>29</v>
      </c>
      <c r="U274" t="str">
        <f>HYPERLINK("https://lindat.mff.cuni.cz/services/SynSemClass55/SynSemClass55.html?veclass=vec00991", "vec00991 / zavrtět (v41qubA)")</f>
        <v>vec00991 / zavrtět (v41qubA)</v>
      </c>
      <c r="V274">
        <v>4.6350000000000002E-2</v>
      </c>
      <c r="W274" t="s">
        <v>29</v>
      </c>
      <c r="Z274" t="str">
        <f>HYPERLINK("https://lindat.mff.cuni.cz/services/SynSemClass55/SynSemClass55.html?veclass=vec01517", "vec01517 / rozhořet se (v41jquA)")</f>
        <v>vec01517 / rozhořet se (v41jquA)</v>
      </c>
      <c r="AA274">
        <v>4.3729999999999998E-2</v>
      </c>
      <c r="AB274" t="s">
        <v>29</v>
      </c>
      <c r="AE274" t="str">
        <f>HYPERLINK("https://lindat.mff.cuni.cz/services/SynSemClass55/SynSemClass55.html?veclass=vec00865", "vec00865 / patřit (v41fjzE)")</f>
        <v>vec00865 / patřit (v41fjzE)</v>
      </c>
      <c r="AF274">
        <v>4.0340000000000001E-2</v>
      </c>
      <c r="AG274" t="s">
        <v>29</v>
      </c>
    </row>
    <row r="276" spans="1:33" x14ac:dyDescent="0.2">
      <c r="A276" t="str">
        <f>HYPERLINK("https://lindat.mff.cuni.cz/services/PDT-Vallex4.5/PDT-Vallex4.5.html?verb=protnout", "protnout")</f>
        <v>protnout</v>
      </c>
      <c r="B276" t="str">
        <f>HYPERLINK("https://lindat.mff.cuni.cz/services/PDT-Vallex4.5/PDT-Vallex4.5.html?verb=protnout#v41hqeB", "v41hqeB")</f>
        <v>v41hqeB</v>
      </c>
      <c r="E276">
        <v>112</v>
      </c>
      <c r="F276">
        <v>0.11135</v>
      </c>
      <c r="G276" s="1" t="s">
        <v>32</v>
      </c>
      <c r="K276" t="str">
        <f>HYPERLINK("https://lindat.mff.cuni.cz/services/SynSemClass55/SynSemClass55.html?veclass=vec00885", "vec00885 / prolomit (v41hhaB)")</f>
        <v>vec00885 / prolomit (v41hhaB)</v>
      </c>
      <c r="L276">
        <v>0.11135</v>
      </c>
      <c r="M276" t="s">
        <v>29</v>
      </c>
      <c r="P276" t="str">
        <f>HYPERLINK("https://lindat.mff.cuni.cz/services/SynSemClass55/SynSemClass55.html?veclass=vec00892", "vec00892 / překrývat se (v41icuA)")</f>
        <v>vec00892 / překrývat se (v41icuA)</v>
      </c>
      <c r="Q276">
        <v>6.9639999999999994E-2</v>
      </c>
      <c r="R276" t="s">
        <v>31</v>
      </c>
      <c r="U276" t="str">
        <f>HYPERLINK("https://lindat.mff.cuni.cz/services/SynSemClass55/SynSemClass55.html?veclass=vec00888", "vec00888 / prorazit (v41hloE)")</f>
        <v>vec00888 / prorazit (v41hloE)</v>
      </c>
      <c r="V276">
        <v>5.4989999999999997E-2</v>
      </c>
      <c r="W276" t="s">
        <v>29</v>
      </c>
      <c r="Z276" t="str">
        <f>HYPERLINK("https://lindat.mff.cuni.cz/services/SynSemClass55/SynSemClass55.html?veclass=vec00580", "vec00580 / zastínit (v41qmlA)")</f>
        <v>vec00580 / zastínit (v41qmlA)</v>
      </c>
      <c r="AA276">
        <v>4.2270000000000002E-2</v>
      </c>
      <c r="AB276" t="s">
        <v>29</v>
      </c>
      <c r="AE276" t="str">
        <f>HYPERLINK("https://lindat.mff.cuni.cz/services/SynSemClass55/SynSemClass55.html?veclass=vec00881", "vec00881 / prohnat se (v41hdxA)")</f>
        <v>vec00881 / prohnat se (v41hdxA)</v>
      </c>
      <c r="AF276">
        <v>4.19E-2</v>
      </c>
      <c r="AG276" t="s">
        <v>29</v>
      </c>
    </row>
    <row r="278" spans="1:33" x14ac:dyDescent="0.2">
      <c r="A278" t="str">
        <f>HYPERLINK("https://lindat.mff.cuni.cz/services/PDT-Vallex4.5/PDT-Vallex4.5.html?verb=provrtat", "provrtat")</f>
        <v>provrtat</v>
      </c>
      <c r="B278" t="str">
        <f>HYPERLINK("https://lindat.mff.cuni.cz/services/PDT-Vallex4.5/PDT-Vallex4.5.html?verb=provrtat#v41hsdA", "v41hsdA")</f>
        <v>v41hsdA</v>
      </c>
      <c r="E278">
        <v>98</v>
      </c>
      <c r="F278">
        <v>3.1460000000000002E-2</v>
      </c>
      <c r="G278" s="1">
        <v>0</v>
      </c>
      <c r="I278" s="1" t="s">
        <v>121</v>
      </c>
      <c r="K278" t="str">
        <f>HYPERLINK("https://lindat.mff.cuni.cz/services/SynSemClass55/SynSemClass55.html?veclass=vec00503", "vec00503 / přiznat se (v41jcjA)")</f>
        <v>vec00503 / přiznat se (v41jcjA)</v>
      </c>
      <c r="L278">
        <v>3.1460000000000002E-2</v>
      </c>
      <c r="M278" t="s">
        <v>29</v>
      </c>
      <c r="P278" t="str">
        <f>HYPERLINK("https://lindat.mff.cuni.cz/services/SynSemClass55/SynSemClass55.html?veclass=vec01699", "vec01699 / veslovat (v41njuA)")</f>
        <v>vec01699 / veslovat (v41njuA)</v>
      </c>
      <c r="Q278">
        <v>3.116E-2</v>
      </c>
      <c r="R278" t="s">
        <v>29</v>
      </c>
      <c r="U278" t="str">
        <f>HYPERLINK("https://lindat.mff.cuni.cz/services/SynSemClass55/SynSemClass55.html?veclass=vec00610", "vec00610 / hnát se (v41awbB)")</f>
        <v>vec00610 / hnát se (v41awbB)</v>
      </c>
      <c r="V278">
        <v>2.8240000000000001E-2</v>
      </c>
      <c r="W278" t="s">
        <v>29</v>
      </c>
      <c r="Z278" t="str">
        <f>HYPERLINK("https://lindat.mff.cuni.cz/services/SynSemClass55/SynSemClass55.html?veclass=vec01439", "vec01439 / rozchodit (v41jrgA)")</f>
        <v>vec01439 / rozchodit (v41jrgA)</v>
      </c>
      <c r="AA278">
        <v>2.572E-2</v>
      </c>
      <c r="AB278" t="s">
        <v>29</v>
      </c>
      <c r="AE278" t="str">
        <f>HYPERLINK("https://lindat.mff.cuni.cz/services/SynSemClass55/SynSemClass55.html?veclass=vec01216", "vec01216 / hrabat se (v41aygA)")</f>
        <v>vec01216 / hrabat se (v41aygA)</v>
      </c>
      <c r="AF278">
        <v>2.5020000000000001E-2</v>
      </c>
      <c r="AG278" t="s">
        <v>29</v>
      </c>
    </row>
    <row r="280" spans="1:33" x14ac:dyDescent="0.2">
      <c r="A280" t="str">
        <f>HYPERLINK("https://lindat.mff.cuni.cz/services/PDT-Vallex4.5/PDT-Vallex4.5.html?verb=prožrat", "prožrat")</f>
        <v>prožrat</v>
      </c>
      <c r="B280" t="str">
        <f>HYPERLINK("https://lindat.mff.cuni.cz/services/PDT-Vallex4.5/PDT-Vallex4.5.html?verb=prožrat#v41hswA", "v41hswA")</f>
        <v>v41hswA</v>
      </c>
      <c r="E280">
        <v>14</v>
      </c>
      <c r="F280">
        <v>0.37401000000000001</v>
      </c>
      <c r="G280" s="1" t="s">
        <v>112</v>
      </c>
      <c r="I280" s="1" t="s">
        <v>122</v>
      </c>
      <c r="K280" t="str">
        <f>HYPERLINK("https://lindat.mff.cuni.cz/services/SynSemClass55/SynSemClass55.html?veclass=vec00828", "vec00828 / jíst (v41bifB)")</f>
        <v>vec00828 / jíst (v41bifB)</v>
      </c>
      <c r="L280">
        <v>0.37401000000000001</v>
      </c>
      <c r="M280" t="s">
        <v>29</v>
      </c>
      <c r="P280" t="str">
        <f>HYPERLINK("https://lindat.mff.cuni.cz/services/SynSemClass55/SynSemClass55.html?veclass=vec01514", "vec01514 / předávkovat (v41hvjA)")</f>
        <v>vec01514 / předávkovat (v41hvjA)</v>
      </c>
      <c r="Q280">
        <v>0.17594000000000001</v>
      </c>
      <c r="R280" t="s">
        <v>29</v>
      </c>
      <c r="U280" t="str">
        <f>HYPERLINK("https://lindat.mff.cuni.cz/services/SynSemClass55/SynSemClass55.html?veclass=vec00476", "vec00476 / pohltit (v41fxaA)")</f>
        <v>vec00476 / pohltit (v41fxaA)</v>
      </c>
      <c r="V280">
        <v>6.2170000000000003E-2</v>
      </c>
      <c r="W280" t="s">
        <v>29</v>
      </c>
      <c r="Z280" t="str">
        <f>HYPERLINK("https://lindat.mff.cuni.cz/services/SynSemClass55/SynSemClass55.html?veclass=vec00576", "vec00576 / zaplavit (v41qflC)")</f>
        <v>vec00576 / zaplavit (v41qflC)</v>
      </c>
      <c r="AA280">
        <v>5.0479999999999997E-2</v>
      </c>
      <c r="AB280" t="s">
        <v>29</v>
      </c>
      <c r="AE280" t="str">
        <f>HYPERLINK("https://lindat.mff.cuni.cz/services/SynSemClass55/SynSemClass55.html?veclass=vec00785", "vec00785 / zhoršit (v41rcrA)")</f>
        <v>vec00785 / zhoršit (v41rcrA)</v>
      </c>
      <c r="AF280">
        <v>2.8719999999999999E-2</v>
      </c>
      <c r="AG280" t="s">
        <v>29</v>
      </c>
    </row>
    <row r="282" spans="1:33" x14ac:dyDescent="0.2">
      <c r="A282" t="str">
        <f>HYPERLINK("https://lindat.mff.cuni.cz/services/PDT-Vallex4.5/PDT-Vallex4.5.html?verb=přebásnit", "přebásnit")</f>
        <v>přebásnit</v>
      </c>
      <c r="B282" t="str">
        <f>HYPERLINK("https://lindat.mff.cuni.cz/services/PDT-Vallex4.5/PDT-Vallex4.5.html?verb=přebásnit#v41htxA", "v41htxA")</f>
        <v>v41htxA</v>
      </c>
      <c r="E282">
        <v>1</v>
      </c>
      <c r="F282">
        <v>0.74146999999999996</v>
      </c>
      <c r="G282" s="1" t="s">
        <v>32</v>
      </c>
      <c r="I282" s="1" t="s">
        <v>123</v>
      </c>
      <c r="K282" t="str">
        <f>HYPERLINK("https://lindat.mff.cuni.cz/services/SynSemClass55/SynSemClass55.html?veclass=vec00095", "vec00095 / přeměnit (v41iecA)")</f>
        <v>vec00095 / přeměnit (v41iecA)</v>
      </c>
      <c r="L282">
        <v>0.74146999999999996</v>
      </c>
      <c r="M282" t="s">
        <v>33</v>
      </c>
      <c r="P282" t="str">
        <f>HYPERLINK("https://lindat.mff.cuni.cz/services/SynSemClass55/SynSemClass55.html?veclass=vec01093", "vec01093 / přepočítat (v41igoB)")</f>
        <v>vec01093 / přepočítat (v41igoB)</v>
      </c>
      <c r="Q282">
        <v>0.11726</v>
      </c>
      <c r="R282" t="s">
        <v>29</v>
      </c>
      <c r="U282" t="str">
        <f>HYPERLINK("https://lindat.mff.cuni.cz/services/SynSemClass55/SynSemClass55.html?veclass=vec01714", "vec01714 / zkřivit (v41rhlA)")</f>
        <v>vec01714 / zkřivit (v41rhlA)</v>
      </c>
      <c r="V282">
        <v>7.6399999999999996E-2</v>
      </c>
      <c r="W282" t="s">
        <v>29</v>
      </c>
      <c r="Z282" t="str">
        <f>HYPERLINK("https://lindat.mff.cuni.cz/services/SynSemClass55/SynSemClass55.html?veclass=vec01868", "vec01868 / rozehrát (v41johA)")</f>
        <v>vec01868 / rozehrát (v41johA)</v>
      </c>
      <c r="AA282">
        <v>5.8040000000000001E-2</v>
      </c>
      <c r="AB282" t="s">
        <v>29</v>
      </c>
      <c r="AE282" t="str">
        <f>HYPERLINK("https://lindat.mff.cuni.cz/services/SynSemClass55/SynSemClass55.html?veclass=vec01167", "vec01167 / zabudovat (v41pqdB)")</f>
        <v>vec01167 / zabudovat (v41pqdB)</v>
      </c>
      <c r="AF282">
        <v>5.5800000000000002E-2</v>
      </c>
      <c r="AG282" t="s">
        <v>29</v>
      </c>
    </row>
    <row r="284" spans="1:33" x14ac:dyDescent="0.2">
      <c r="A284" t="str">
        <f>HYPERLINK("https://lindat.mff.cuni.cz/services/PDT-Vallex4.5/PDT-Vallex4.5.html?verb=přebrat", "přebrat")</f>
        <v>přebrat</v>
      </c>
      <c r="B284" t="str">
        <f>HYPERLINK("https://lindat.mff.cuni.cz/services/PDT-Vallex4.5/PDT-Vallex4.5.html?verb=přebrat#v41hugB", "v41hugB")</f>
        <v>v41hugB</v>
      </c>
      <c r="E284">
        <v>234</v>
      </c>
      <c r="F284">
        <v>0.19223000000000001</v>
      </c>
      <c r="G284" s="1" t="s">
        <v>32</v>
      </c>
      <c r="I284" s="1" t="s">
        <v>124</v>
      </c>
      <c r="K284" t="str">
        <f>HYPERLINK("https://lindat.mff.cuni.cz/services/SynSemClass55/SynSemClass55.html?veclass=vec01491", "vec01491 / fasovat (v41appA)")</f>
        <v>vec01491 / fasovat (v41appA)</v>
      </c>
      <c r="L284">
        <v>0.19223000000000001</v>
      </c>
      <c r="M284" t="s">
        <v>29</v>
      </c>
      <c r="P284" t="str">
        <f>HYPERLINK("https://lindat.mff.cuni.cz/services/SynSemClass55/SynSemClass55.html?veclass=vec00096", "vec00096 / převzít (v41inuB)")</f>
        <v>vec00096 / převzít (v41inuB)</v>
      </c>
      <c r="Q284">
        <v>0.11712</v>
      </c>
      <c r="R284" t="s">
        <v>31</v>
      </c>
      <c r="S284" t="s">
        <v>125</v>
      </c>
      <c r="U284" t="str">
        <f>HYPERLINK("https://lindat.mff.cuni.cz/services/SynSemClass55/SynSemClass55.html?veclass=vec00189", "vec00189 / získat (v41reiA)")</f>
        <v>vec00189 / získat (v41reiA)</v>
      </c>
      <c r="V284">
        <v>0.11380999999999999</v>
      </c>
      <c r="W284" t="s">
        <v>29</v>
      </c>
      <c r="Z284" t="str">
        <f>HYPERLINK("https://lindat.mff.cuni.cz/services/SynSemClass55/SynSemClass55.html?veclass=vec00704", "vec00704 / sebrat (v41khhA)")</f>
        <v>vec00704 / sebrat (v41khhA)</v>
      </c>
      <c r="AA284">
        <v>6.8599999999999994E-2</v>
      </c>
      <c r="AB284" t="s">
        <v>29</v>
      </c>
      <c r="AE284" t="str">
        <f>HYPERLINK("https://lindat.mff.cuni.cz/services/SynSemClass55/SynSemClass55.html?veclass=vec00613", "vec00613 / chopit se (v41bblA)")</f>
        <v>vec00613 / chopit se (v41bblA)</v>
      </c>
      <c r="AF284">
        <v>2.649E-2</v>
      </c>
      <c r="AG284" t="s">
        <v>29</v>
      </c>
    </row>
    <row r="286" spans="1:33" x14ac:dyDescent="0.2">
      <c r="A286" t="str">
        <f>HYPERLINK("https://lindat.mff.cuni.cz/services/PDT-Vallex4.5/PDT-Vallex4.5.html?verb=předbíhat se", "předbíhat se")</f>
        <v>předbíhat se</v>
      </c>
      <c r="B286" t="str">
        <f>HYPERLINK("https://lindat.mff.cuni.cz/services/PDT-Vallex4.5/PDT-Vallex4.5.html?verb=předbíhat se#v41hvnA", "v41hvnA")</f>
        <v>v41hvnA</v>
      </c>
      <c r="E286">
        <v>53</v>
      </c>
      <c r="F286">
        <v>0.27028999999999997</v>
      </c>
      <c r="G286" s="1" t="s">
        <v>32</v>
      </c>
      <c r="K286" t="str">
        <f>HYPERLINK("https://lindat.mff.cuni.cz/services/SynSemClass55/SynSemClass55.html?veclass=vec01851", "vec01851 / předstihovat (v41hyrA)")</f>
        <v>vec01851 / předstihovat (v41hyrA)</v>
      </c>
      <c r="L286">
        <v>0.27028999999999997</v>
      </c>
      <c r="M286" t="s">
        <v>31</v>
      </c>
      <c r="P286" t="str">
        <f>HYPERLINK("https://lindat.mff.cuni.cz/services/SynSemClass55/SynSemClass55.html?veclass=vec00370", "vec00370 / zaostávat (v41qdwA)")</f>
        <v>vec00370 / zaostávat (v41qdwA)</v>
      </c>
      <c r="Q286">
        <v>0.12495000000000001</v>
      </c>
      <c r="R286" t="s">
        <v>29</v>
      </c>
      <c r="U286" t="str">
        <f>HYPERLINK("https://lindat.mff.cuni.cz/services/SynSemClass55/SynSemClass55.html?veclass=vec01852", "vec01852 / přehnat (v41iaeA)")</f>
        <v>vec01852 / přehnat (v41iaeA)</v>
      </c>
      <c r="V286">
        <v>3.8039999999999997E-2</v>
      </c>
      <c r="W286" t="s">
        <v>29</v>
      </c>
      <c r="Z286" t="str">
        <f>HYPERLINK("https://lindat.mff.cuni.cz/services/SynSemClass55/SynSemClass55.html?veclass=vec00580", "vec00580 / zastínit (v41qmlA)")</f>
        <v>vec00580 / zastínit (v41qmlA)</v>
      </c>
      <c r="AA286">
        <v>3.245E-2</v>
      </c>
      <c r="AB286" t="s">
        <v>29</v>
      </c>
      <c r="AE286" t="str">
        <f>HYPERLINK("https://lindat.mff.cuni.cz/services/SynSemClass55/SynSemClass55.html?veclass=vec00279", "vec00279 / překonat (v41ibzC)")</f>
        <v>vec00279 / překonat (v41ibzC)</v>
      </c>
      <c r="AF286">
        <v>3.0689999999999999E-2</v>
      </c>
      <c r="AG286" t="s">
        <v>29</v>
      </c>
    </row>
    <row r="288" spans="1:33" x14ac:dyDescent="0.2">
      <c r="A288" t="str">
        <f>HYPERLINK("https://lindat.mff.cuni.cz/services/PDT-Vallex4.5/PDT-Vallex4.5.html?verb=předhazovat", "předhazovat")</f>
        <v>předhazovat</v>
      </c>
      <c r="B288" t="str">
        <f>HYPERLINK("https://lindat.mff.cuni.cz/services/PDT-Vallex4.5/PDT-Vallex4.5.html?verb=předhazovat#v41hwkA", "v41hwkA")</f>
        <v>v41hwkA</v>
      </c>
      <c r="E288">
        <v>94</v>
      </c>
      <c r="F288">
        <v>0.11589000000000001</v>
      </c>
      <c r="G288" s="1" t="s">
        <v>126</v>
      </c>
      <c r="K288" t="str">
        <f>HYPERLINK("https://lindat.mff.cuni.cz/services/SynSemClass55/SynSemClass55.html?veclass=vec00033", "vec00033 / nabídnout (v41cllA)")</f>
        <v>vec00033 / nabídnout (v41cllA)</v>
      </c>
      <c r="L288">
        <v>0.11589000000000001</v>
      </c>
      <c r="M288" t="s">
        <v>29</v>
      </c>
      <c r="P288" t="str">
        <f>HYPERLINK("https://lindat.mff.cuni.cz/services/SynSemClass55/SynSemClass55.html?veclass=vec00557", "vec00557 / vykládat (v41oeyD)")</f>
        <v>vec00557 / vykládat (v41oeyD)</v>
      </c>
      <c r="Q288">
        <v>5.2970000000000003E-2</v>
      </c>
      <c r="R288" t="s">
        <v>29</v>
      </c>
      <c r="U288" t="str">
        <f>HYPERLINK("https://lindat.mff.cuni.cz/services/SynSemClass55/SynSemClass55.html?veclass=vec01256", "vec01256 / podávat (v41fqoA)")</f>
        <v>vec01256 / podávat (v41fqoA)</v>
      </c>
      <c r="V288">
        <v>5.1270000000000003E-2</v>
      </c>
      <c r="W288" t="s">
        <v>29</v>
      </c>
      <c r="Z288" t="str">
        <f>HYPERLINK("https://lindat.mff.cuni.cz/services/SynSemClass55/SynSemClass55.html?veclass=vec01087", "vec01087 / předávat (v41hvhA)")</f>
        <v>vec01087 / předávat (v41hvhA)</v>
      </c>
      <c r="AA288">
        <v>4.7059999999999998E-2</v>
      </c>
      <c r="AB288" t="s">
        <v>29</v>
      </c>
      <c r="AE288" t="str">
        <f>HYPERLINK("https://lindat.mff.cuni.cz/services/SynSemClass55/SynSemClass55.html?veclass=vec00347", "vec00347 / vinit (v41nllA)")</f>
        <v>vec00347 / vinit (v41nllA)</v>
      </c>
      <c r="AF288">
        <v>3.993E-2</v>
      </c>
      <c r="AG288" t="s">
        <v>29</v>
      </c>
    </row>
    <row r="290" spans="1:33" x14ac:dyDescent="0.2">
      <c r="A290" t="str">
        <f>HYPERLINK("https://lindat.mff.cuni.cz/services/PDT-Vallex4.5/PDT-Vallex4.5.html?verb=přehrávat si", "přehrávat si")</f>
        <v>přehrávat si</v>
      </c>
      <c r="B290" t="str">
        <f>HYPERLINK("https://lindat.mff.cuni.cz/services/PDT-Vallex4.5/PDT-Vallex4.5.html?verb=přehrávat si#v41iaqA", "v41iaqA")</f>
        <v>v41iaqA</v>
      </c>
      <c r="E290">
        <v>162</v>
      </c>
      <c r="F290">
        <v>0.35776000000000002</v>
      </c>
      <c r="G290" s="1">
        <v>0</v>
      </c>
      <c r="I290" s="1" t="s">
        <v>127</v>
      </c>
      <c r="K290" t="str">
        <f>HYPERLINK("https://lindat.mff.cuni.cz/services/SynSemClass55/SynSemClass55.html?veclass=vec00823", "vec00823 / hrát (v41aypE)")</f>
        <v>vec00823 / hrát (v41aypE)</v>
      </c>
      <c r="L290">
        <v>0.35776000000000002</v>
      </c>
      <c r="M290" t="s">
        <v>29</v>
      </c>
      <c r="P290" t="str">
        <f>HYPERLINK("https://lindat.mff.cuni.cz/services/SynSemClass55/SynSemClass55.html?veclass=vec01868", "vec01868 / rozehrát (v41johA)")</f>
        <v>vec01868 / rozehrát (v41johA)</v>
      </c>
      <c r="Q290">
        <v>4.1930000000000002E-2</v>
      </c>
      <c r="R290" t="s">
        <v>29</v>
      </c>
      <c r="U290" t="str">
        <f>HYPERLINK("https://lindat.mff.cuni.cz/services/SynSemClass55/SynSemClass55.html?veclass=vec01575", "vec01575 / namluvit (v41cvkC)")</f>
        <v>vec01575 / namluvit (v41cvkC)</v>
      </c>
      <c r="V290">
        <v>2.6929999999999999E-2</v>
      </c>
      <c r="W290" t="s">
        <v>29</v>
      </c>
      <c r="Z290" t="str">
        <f>HYPERLINK("https://lindat.mff.cuni.cz/services/SynSemClass55/SynSemClass55.html?veclass=vec01861", "vec01861 / přiťuknout (v41jatA)")</f>
        <v>vec01861 / přiťuknout (v41jatA)</v>
      </c>
      <c r="AA290">
        <v>1.804E-2</v>
      </c>
      <c r="AB290" t="s">
        <v>29</v>
      </c>
      <c r="AE290" t="str">
        <f>HYPERLINK("https://lindat.mff.cuni.cz/services/SynSemClass55/SynSemClass55.html?veclass=vec00535", "vec00535 / ujistit (v41mkyA)")</f>
        <v>vec00535 / ujistit (v41mkyA)</v>
      </c>
      <c r="AF290">
        <v>1.7469999999999999E-2</v>
      </c>
      <c r="AG290" t="s">
        <v>29</v>
      </c>
    </row>
    <row r="292" spans="1:33" x14ac:dyDescent="0.2">
      <c r="A292" t="str">
        <f>HYPERLINK("https://lindat.mff.cuni.cz/services/PDT-Vallex4.5/PDT-Vallex4.5.html?verb=přehřát", "přehřát")</f>
        <v>přehřát</v>
      </c>
      <c r="B292" t="str">
        <f>HYPERLINK("https://lindat.mff.cuni.cz/services/PDT-Vallex4.5/PDT-Vallex4.5.html?verb=přehřát#v41iarA", "v41iarA")</f>
        <v>v41iarA</v>
      </c>
      <c r="E292">
        <v>19</v>
      </c>
      <c r="F292">
        <v>0.43994</v>
      </c>
      <c r="G292" s="1">
        <v>0</v>
      </c>
      <c r="I292" s="1" t="s">
        <v>128</v>
      </c>
      <c r="K292" t="str">
        <f>HYPERLINK("https://lindat.mff.cuni.cz/services/SynSemClass55/SynSemClass55.html?veclass=vec01617", "vec01617 / vařit (v41ngvC)")</f>
        <v>vec01617 / vařit (v41ngvC)</v>
      </c>
      <c r="L292">
        <v>0.43994</v>
      </c>
      <c r="M292" t="s">
        <v>29</v>
      </c>
      <c r="P292" t="str">
        <f>HYPERLINK("https://lindat.mff.cuni.cz/services/SynSemClass55/SynSemClass55.html?veclass=vec01553", "vec01553 / hřát (v41azjA)")</f>
        <v>vec01553 / hřát (v41azjA)</v>
      </c>
      <c r="Q292">
        <v>0.25062000000000001</v>
      </c>
      <c r="R292" t="s">
        <v>51</v>
      </c>
      <c r="U292" t="str">
        <f>HYPERLINK("https://lindat.mff.cuni.cz/services/SynSemClass55/SynSemClass55.html?veclass=vec01887", "vec01887 / slunit se (v41kueA)")</f>
        <v>vec01887 / slunit se (v41kueA)</v>
      </c>
      <c r="V292">
        <v>0.11169999999999999</v>
      </c>
      <c r="W292" t="s">
        <v>29</v>
      </c>
      <c r="Z292" t="str">
        <f>HYPERLINK("https://lindat.mff.cuni.cz/services/SynSemClass55/SynSemClass55.html?veclass=vec01215", "vec01215 / hořet (v41axjA)")</f>
        <v>vec01215 / hořet (v41axjA)</v>
      </c>
      <c r="AA292">
        <v>5.5660000000000001E-2</v>
      </c>
      <c r="AB292" t="s">
        <v>29</v>
      </c>
      <c r="AE292" t="str">
        <f>HYPERLINK("https://lindat.mff.cuni.cz/services/SynSemClass55/SynSemClass55.html?veclass=vec01103", "vec01103 / roztavit se (v41jztA)")</f>
        <v>vec01103 / roztavit se (v41jztA)</v>
      </c>
      <c r="AF292">
        <v>3.7479999999999999E-2</v>
      </c>
      <c r="AG292" t="s">
        <v>29</v>
      </c>
    </row>
    <row r="294" spans="1:33" x14ac:dyDescent="0.2">
      <c r="A294" t="str">
        <f>HYPERLINK("https://lindat.mff.cuni.cz/services/PDT-Vallex4.5/PDT-Vallex4.5.html?verb=překlápět se", "překlápět se")</f>
        <v>překlápět se</v>
      </c>
      <c r="B294" t="str">
        <f>HYPERLINK("https://lindat.mff.cuni.cz/services/PDT-Vallex4.5/PDT-Vallex4.5.html?verb=překlápět se#v41ibtA", "v41ibtA")</f>
        <v>v41ibtA</v>
      </c>
      <c r="E294">
        <v>5</v>
      </c>
      <c r="F294">
        <v>0.17548</v>
      </c>
      <c r="G294" s="1">
        <v>0</v>
      </c>
      <c r="I294" s="1" t="s">
        <v>129</v>
      </c>
      <c r="K294" t="str">
        <f>HYPERLINK("https://lindat.mff.cuni.cz/services/SynSemClass55/SynSemClass55.html?veclass=vec00626", "vec00626 / kymácet se (v41bxpA)")</f>
        <v>vec00626 / kymácet se (v41bxpA)</v>
      </c>
      <c r="L294">
        <v>0.17548</v>
      </c>
      <c r="M294" t="s">
        <v>29</v>
      </c>
      <c r="P294" t="str">
        <f>HYPERLINK("https://lindat.mff.cuni.cz/services/SynSemClass55/SynSemClass55.html?veclass=vec00949", "vec00949 / valit se (v41nghA)")</f>
        <v>vec00949 / valit se (v41nghA)</v>
      </c>
      <c r="Q294">
        <v>0.13668</v>
      </c>
      <c r="R294" t="s">
        <v>51</v>
      </c>
      <c r="U294" t="str">
        <f>HYPERLINK("https://lindat.mff.cuni.cz/services/SynSemClass55/SynSemClass55.html?veclass=vec00637", "vec00637 / naklonit se (v41csfB)")</f>
        <v>vec00637 / naklonit se (v41csfB)</v>
      </c>
      <c r="V294">
        <v>9.0550000000000005E-2</v>
      </c>
      <c r="W294" t="s">
        <v>29</v>
      </c>
      <c r="Z294" t="str">
        <f>HYPERLINK("https://lindat.mff.cuni.cz/services/SynSemClass55/SynSemClass55.html?veclass=vec00993", "vec00993 / zkroutit se (v41rhjA)")</f>
        <v>vec00993 / zkroutit se (v41rhjA)</v>
      </c>
      <c r="AA294">
        <v>8.9399999999999993E-2</v>
      </c>
      <c r="AB294" t="s">
        <v>29</v>
      </c>
      <c r="AE294" t="str">
        <f>HYPERLINK("https://lindat.mff.cuni.cz/services/SynSemClass55/SynSemClass55.html?veclass=vec00931", "vec00931 / stočit se (v41lkvA)")</f>
        <v>vec00931 / stočit se (v41lkvA)</v>
      </c>
      <c r="AF294">
        <v>4.9050000000000003E-2</v>
      </c>
      <c r="AG294" t="s">
        <v>29</v>
      </c>
    </row>
    <row r="296" spans="1:33" x14ac:dyDescent="0.2">
      <c r="A296" t="str">
        <f>HYPERLINK("https://lindat.mff.cuni.cz/services/PDT-Vallex4.5/PDT-Vallex4.5.html?verb=překlasifikovat", "překlasifikovat")</f>
        <v>překlasifikovat</v>
      </c>
      <c r="B296" t="str">
        <f>HYPERLINK("https://lindat.mff.cuni.cz/services/PDT-Vallex4.5/PDT-Vallex4.5.html?verb=překlasifikovat#v41ibuB", "v41ibuB")</f>
        <v>v41ibuB</v>
      </c>
      <c r="E296">
        <v>2</v>
      </c>
      <c r="F296">
        <v>0.34537000000000001</v>
      </c>
      <c r="G296" s="1" t="s">
        <v>32</v>
      </c>
      <c r="K296" t="str">
        <f>HYPERLINK("https://lindat.mff.cuni.cz/services/SynSemClass55/SynSemClass55.html?veclass=vec00095", "vec00095 / přeměnit (v41iecA)")</f>
        <v>vec00095 / přeměnit (v41iecA)</v>
      </c>
      <c r="L296">
        <v>0.34537000000000001</v>
      </c>
      <c r="M296" t="s">
        <v>31</v>
      </c>
      <c r="P296" t="str">
        <f>HYPERLINK("https://lindat.mff.cuni.cz/services/SynSemClass55/SynSemClass55.html?veclass=vec00417", "vec00417 / charakterizovat (v41barA)")</f>
        <v>vec00417 / charakterizovat (v41barA)</v>
      </c>
      <c r="Q296">
        <v>0.33982000000000001</v>
      </c>
      <c r="R296" t="s">
        <v>29</v>
      </c>
      <c r="U296" t="str">
        <f>HYPERLINK("https://lindat.mff.cuni.cz/services/SynSemClass55/SynSemClass55.html?veclass=vec00103", "vec00103 / redefinovat (v41jgiA)")</f>
        <v>vec00103 / redefinovat (v41jgiA)</v>
      </c>
      <c r="V296">
        <v>0.11512</v>
      </c>
      <c r="W296" t="s">
        <v>29</v>
      </c>
      <c r="Z296" t="str">
        <f>HYPERLINK("https://lindat.mff.cuni.cz/services/SynSemClass55/SynSemClass55.html?veclass=vec00402", "vec00402 / brát (v41hsE)")</f>
        <v>vec00402 / brát (v41hsE)</v>
      </c>
      <c r="AA296">
        <v>2.1440000000000001E-2</v>
      </c>
      <c r="AB296" t="s">
        <v>29</v>
      </c>
      <c r="AE296" t="str">
        <f>HYPERLINK("https://lindat.mff.cuni.cz/services/SynSemClass55/SynSemClass55.html?veclass=vec01093", "vec01093 / přepočítat (v41igoB)")</f>
        <v>vec01093 / přepočítat (v41igoB)</v>
      </c>
      <c r="AF296">
        <v>1.992E-2</v>
      </c>
      <c r="AG296" t="s">
        <v>29</v>
      </c>
    </row>
    <row r="298" spans="1:33" x14ac:dyDescent="0.2">
      <c r="A298" t="str">
        <f>HYPERLINK("https://lindat.mff.cuni.cz/services/PDT-Vallex4.5/PDT-Vallex4.5.html?verb=překlenout", "překlenout")</f>
        <v>překlenout</v>
      </c>
      <c r="B298" t="str">
        <f>HYPERLINK("https://lindat.mff.cuni.cz/services/PDT-Vallex4.5/PDT-Vallex4.5.html?verb=překlenout#v41ibvB", "v41ibvB")</f>
        <v>v41ibvB</v>
      </c>
      <c r="E298">
        <v>91</v>
      </c>
      <c r="F298">
        <v>0.62588999999999995</v>
      </c>
      <c r="G298" s="1">
        <v>0</v>
      </c>
      <c r="I298" s="1" t="s">
        <v>130</v>
      </c>
      <c r="K298" t="str">
        <f>HYPERLINK("https://lindat.mff.cuni.cz/services/SynSemClass55/SynSemClass55.html?veclass=vec00279", "vec00279 / překonat (v41ibzC)")</f>
        <v>vec00279 / překonat (v41ibzC)</v>
      </c>
      <c r="L298">
        <v>0.62588999999999995</v>
      </c>
      <c r="M298" t="s">
        <v>29</v>
      </c>
      <c r="P298" t="str">
        <f>HYPERLINK("https://lindat.mff.cuni.cz/services/SynSemClass55/SynSemClass55.html?veclass=vec01287", "vec01287 / přeskakovat (v41iipB)")</f>
        <v>vec01287 / přeskakovat (v41iipB)</v>
      </c>
      <c r="Q298">
        <v>5.0709999999999998E-2</v>
      </c>
      <c r="R298" t="s">
        <v>29</v>
      </c>
      <c r="U298" t="str">
        <f>HYPERLINK("https://lindat.mff.cuni.cz/services/SynSemClass55/SynSemClass55.html?veclass=vec00885", "vec00885 / prolomit (v41hhaB)")</f>
        <v>vec00885 / prolomit (v41hhaB)</v>
      </c>
      <c r="V298">
        <v>3.6769999999999997E-2</v>
      </c>
      <c r="W298" t="s">
        <v>29</v>
      </c>
      <c r="Z298" t="str">
        <f>HYPERLINK("https://lindat.mff.cuni.cz/services/SynSemClass55/SynSemClass55.html?veclass=vec00280", "vec00280 / překročit (v41icmB)")</f>
        <v>vec00280 / překročit (v41icmB)</v>
      </c>
      <c r="AA298">
        <v>3.5770000000000003E-2</v>
      </c>
      <c r="AB298" t="s">
        <v>29</v>
      </c>
      <c r="AE298" t="str">
        <f>HYPERLINK("https://lindat.mff.cuni.cz/services/SynSemClass55/SynSemClass55.html?veclass=vec00766", "vec00766 / vyzrát (v41pjjA)")</f>
        <v>vec00766 / vyzrát (v41pjjA)</v>
      </c>
      <c r="AF298">
        <v>3.3119999999999997E-2</v>
      </c>
      <c r="AG298" t="s">
        <v>29</v>
      </c>
    </row>
    <row r="300" spans="1:33" x14ac:dyDescent="0.2">
      <c r="A300" t="str">
        <f>HYPERLINK("https://lindat.mff.cuni.cz/services/PDT-Vallex4.5/PDT-Vallex4.5.html?verb=překypovat", "překypovat")</f>
        <v>překypovat</v>
      </c>
      <c r="B300" t="str">
        <f>HYPERLINK("https://lindat.mff.cuni.cz/services/PDT-Vallex4.5/PDT-Vallex4.5.html?verb=překypovat#v41ideB", "v41ideB")</f>
        <v>v41ideB</v>
      </c>
      <c r="E300">
        <v>275</v>
      </c>
      <c r="F300">
        <v>0.80206999999999995</v>
      </c>
      <c r="G300" s="1" t="s">
        <v>131</v>
      </c>
      <c r="K300" t="str">
        <f>HYPERLINK("https://lindat.mff.cuni.cz/services/SynSemClass55/SynSemClass55.html?veclass=vec00893", "vec00893 / překypovat (v41ideA)")</f>
        <v>vec00893 / překypovat (v41ideA)</v>
      </c>
      <c r="L300">
        <v>0.80206999999999995</v>
      </c>
      <c r="M300" t="s">
        <v>29</v>
      </c>
      <c r="P300" t="str">
        <f>HYPERLINK("https://lindat.mff.cuni.cz/services/SynSemClass55/SynSemClass55.html?veclass=vec00258", "vec00258 / pocházet (v41fyjA)")</f>
        <v>vec00258 / pocházet (v41fyjA)</v>
      </c>
      <c r="Q300">
        <v>8.4879999999999997E-2</v>
      </c>
      <c r="R300" t="s">
        <v>29</v>
      </c>
      <c r="U300" t="str">
        <f>HYPERLINK("https://lindat.mff.cuni.cz/services/SynSemClass55/SynSemClass55.html?veclass=vec00857", "vec00857 / oplývat (v41ewgA)")</f>
        <v>vec00857 / oplývat (v41ewgA)</v>
      </c>
      <c r="V300">
        <v>5.1799999999999999E-2</v>
      </c>
      <c r="W300" t="s">
        <v>29</v>
      </c>
      <c r="Z300" t="str">
        <f>HYPERLINK("https://lindat.mff.cuni.cz/services/SynSemClass55/SynSemClass55.html?veclass=vec01376", "vec01376 / zasypávat (v41qnxA)")</f>
        <v>vec01376 / zasypávat (v41qnxA)</v>
      </c>
      <c r="AA300">
        <v>2.6550000000000001E-2</v>
      </c>
      <c r="AB300" t="s">
        <v>29</v>
      </c>
      <c r="AE300" t="str">
        <f>HYPERLINK("https://lindat.mff.cuni.cz/services/SynSemClass55/SynSemClass55.html?veclass=vec01103", "vec01103 / roztavit se (v41jztA)")</f>
        <v>vec01103 / roztavit se (v41jztA)</v>
      </c>
      <c r="AF300">
        <v>2.537E-2</v>
      </c>
      <c r="AG300" t="s">
        <v>29</v>
      </c>
    </row>
    <row r="302" spans="1:33" x14ac:dyDescent="0.2">
      <c r="A302" t="str">
        <f>HYPERLINK("https://lindat.mff.cuni.cz/services/PDT-Vallex4.5/PDT-Vallex4.5.html?verb=překypět", "překypět")</f>
        <v>překypět</v>
      </c>
      <c r="B302" t="str">
        <f>HYPERLINK("https://lindat.mff.cuni.cz/services/PDT-Vallex4.5/PDT-Vallex4.5.html?verb=překypět#v41iddA", "v41iddA")</f>
        <v>v41iddA</v>
      </c>
      <c r="E302">
        <v>20</v>
      </c>
      <c r="F302">
        <v>0.11584</v>
      </c>
      <c r="G302" s="1">
        <v>0</v>
      </c>
      <c r="I302" s="1" t="s">
        <v>132</v>
      </c>
      <c r="K302" t="str">
        <f>HYPERLINK("https://lindat.mff.cuni.cz/services/SynSemClass55/SynSemClass55.html?veclass=vec01103", "vec01103 / roztavit se (v41jztA)")</f>
        <v>vec01103 / roztavit se (v41jztA)</v>
      </c>
      <c r="L302">
        <v>0.11584</v>
      </c>
      <c r="M302" t="s">
        <v>29</v>
      </c>
      <c r="P302" t="str">
        <f>HYPERLINK("https://lindat.mff.cuni.cz/services/SynSemClass55/SynSemClass55.html?veclass=vec00810", "vec00810 / dojít (v41zdJ)")</f>
        <v>vec00810 / dojít (v41zdJ)</v>
      </c>
      <c r="Q302">
        <v>7.356E-2</v>
      </c>
      <c r="R302" t="s">
        <v>29</v>
      </c>
      <c r="U302" t="str">
        <f>HYPERLINK("https://lindat.mff.cuni.cz/services/SynSemClass55/SynSemClass55.html?veclass=vec00113", "vec00113 / skončit (v41krfH)")</f>
        <v>vec00113 / skončit (v41krfH)</v>
      </c>
      <c r="V302">
        <v>7.3340000000000002E-2</v>
      </c>
      <c r="W302" t="s">
        <v>29</v>
      </c>
      <c r="Z302" t="str">
        <f>HYPERLINK("https://lindat.mff.cuni.cz/services/SynSemClass55/SynSemClass55.html?veclass=vec01215", "vec01215 / hořet (v41axjA)")</f>
        <v>vec01215 / hořet (v41axjA)</v>
      </c>
      <c r="AA302">
        <v>5.0650000000000001E-2</v>
      </c>
      <c r="AB302" t="s">
        <v>29</v>
      </c>
      <c r="AE302" t="str">
        <f>HYPERLINK("https://lindat.mff.cuni.cz/services/SynSemClass55/SynSemClass55.html?veclass=vec01517", "vec01517 / rozhořet se (v41jquA)")</f>
        <v>vec01517 / rozhořet se (v41jquA)</v>
      </c>
      <c r="AF302">
        <v>4.9050000000000003E-2</v>
      </c>
      <c r="AG302" t="s">
        <v>29</v>
      </c>
    </row>
    <row r="304" spans="1:33" x14ac:dyDescent="0.2">
      <c r="A304" t="str">
        <f>HYPERLINK("https://lindat.mff.cuni.cz/services/PDT-Vallex4.5/PDT-Vallex4.5.html?verb=přelidnit se", "přelidnit se")</f>
        <v>přelidnit se</v>
      </c>
      <c r="B304" t="str">
        <f>HYPERLINK("https://lindat.mff.cuni.cz/services/PDT-Vallex4.5/PDT-Vallex4.5.html?verb=přelidnit se#v41idsA", "v41idsA")</f>
        <v>v41idsA</v>
      </c>
      <c r="E304">
        <v>2</v>
      </c>
      <c r="F304">
        <v>0.11029</v>
      </c>
      <c r="G304" s="1" t="s">
        <v>32</v>
      </c>
      <c r="K304" t="str">
        <f>HYPERLINK("https://lindat.mff.cuni.cz/services/SynSemClass55/SynSemClass55.html?veclass=vec00984", "vec00984 / zalidnit (v41pzvA)")</f>
        <v>vec00984 / zalidnit (v41pzvA)</v>
      </c>
      <c r="L304">
        <v>0.11029</v>
      </c>
      <c r="M304" t="s">
        <v>31</v>
      </c>
      <c r="P304" t="str">
        <f>HYPERLINK("https://lindat.mff.cuni.cz/services/SynSemClass55/SynSemClass55.html?veclass=vec00576", "vec00576 / zaplavit (v41qflC)")</f>
        <v>vec00576 / zaplavit (v41qflC)</v>
      </c>
      <c r="Q304">
        <v>7.9750000000000001E-2</v>
      </c>
      <c r="R304" t="s">
        <v>29</v>
      </c>
      <c r="U304" t="str">
        <f>HYPERLINK("https://lindat.mff.cuni.cz/services/SynSemClass55/SynSemClass55.html?veclass=vec00833", "vec00833 / mačkat se (v41cdaA)")</f>
        <v>vec00833 / mačkat se (v41cdaA)</v>
      </c>
      <c r="V304">
        <v>4.8129999999999999E-2</v>
      </c>
      <c r="W304" t="s">
        <v>29</v>
      </c>
      <c r="Z304" t="str">
        <f>HYPERLINK("https://lindat.mff.cuni.cz/services/SynSemClass55/SynSemClass55.html?veclass=vec01336", "vec01336 / tyčit se (v41meuA)")</f>
        <v>vec01336 / tyčit se (v41meuA)</v>
      </c>
      <c r="AA304">
        <v>4.283E-2</v>
      </c>
      <c r="AB304" t="s">
        <v>29</v>
      </c>
      <c r="AE304" t="str">
        <f>HYPERLINK("https://lindat.mff.cuni.cz/services/SynSemClass55/SynSemClass55.html?veclass=vec01304", "vec01304 / revidovat (v41jjxA)")</f>
        <v>vec01304 / revidovat (v41jjxA)</v>
      </c>
      <c r="AF304">
        <v>3.7330000000000002E-2</v>
      </c>
      <c r="AG304" t="s">
        <v>29</v>
      </c>
    </row>
    <row r="306" spans="1:33" x14ac:dyDescent="0.2">
      <c r="A306" t="str">
        <f>HYPERLINK("https://lindat.mff.cuni.cz/services/PDT-Vallex4.5/PDT-Vallex4.5.html?verb=přeorientovat se", "přeorientovat se")</f>
        <v>přeorientovat se</v>
      </c>
      <c r="B306" t="str">
        <f>HYPERLINK("https://lindat.mff.cuni.cz/services/PDT-Vallex4.5/PDT-Vallex4.5.html?verb=přeorientovat se#v41ifoB", "v41ifoB")</f>
        <v>v41ifoB</v>
      </c>
      <c r="E306">
        <v>23</v>
      </c>
      <c r="F306">
        <v>0.36475000000000002</v>
      </c>
      <c r="G306" s="1" t="s">
        <v>32</v>
      </c>
      <c r="K306" t="str">
        <f>HYPERLINK("https://lindat.mff.cuni.cz/services/SynSemClass55/SynSemClass55.html?veclass=vec00496", "vec00496 / přejít (v41ibiA)")</f>
        <v>vec00496 / přejít (v41ibiA)</v>
      </c>
      <c r="L306">
        <v>0.36475000000000002</v>
      </c>
      <c r="M306" t="s">
        <v>29</v>
      </c>
      <c r="P306" t="str">
        <f>HYPERLINK("https://lindat.mff.cuni.cz/services/SynSemClass55/SynSemClass55.html?veclass=vec00895", "vec00895 / přeorientovat (v41ifnA)")</f>
        <v>vec00895 / přeorientovat (v41ifnA)</v>
      </c>
      <c r="Q306">
        <v>0.20024</v>
      </c>
      <c r="R306" t="s">
        <v>29</v>
      </c>
      <c r="U306" t="str">
        <f>HYPERLINK("https://lindat.mff.cuni.cz/services/SynSemClass55/SynSemClass55.html?veclass=vec00645", "vec00645 / obrátit se (v41dsdG)")</f>
        <v>vec00645 / obrátit se (v41dsdG)</v>
      </c>
      <c r="V306">
        <v>5.9619999999999999E-2</v>
      </c>
      <c r="W306" t="s">
        <v>31</v>
      </c>
      <c r="Z306" t="str">
        <f>HYPERLINK("https://lindat.mff.cuni.cz/services/SynSemClass55/SynSemClass55.html?veclass=vec01086", "vec01086 / přebíhat (v41huaA)")</f>
        <v>vec01086 / přebíhat (v41huaA)</v>
      </c>
      <c r="AA306">
        <v>5.0680000000000003E-2</v>
      </c>
      <c r="AB306" t="s">
        <v>29</v>
      </c>
      <c r="AE306" t="str">
        <f>HYPERLINK("https://lindat.mff.cuni.cz/services/SynSemClass55/SynSemClass55.html?veclass=vec01251", "vec01251 / otáčet (v41fciA)")</f>
        <v>vec01251 / otáčet (v41fciA)</v>
      </c>
      <c r="AF306">
        <v>2.615E-2</v>
      </c>
      <c r="AG306" t="s">
        <v>29</v>
      </c>
    </row>
    <row r="308" spans="1:33" x14ac:dyDescent="0.2">
      <c r="A308" t="str">
        <f>HYPERLINK("https://lindat.mff.cuni.cz/services/PDT-Vallex4.5/PDT-Vallex4.5.html?verb=přeplnit", "přeplnit")</f>
        <v>přeplnit</v>
      </c>
      <c r="B308" t="str">
        <f>HYPERLINK("https://lindat.mff.cuni.cz/services/PDT-Vallex4.5/PDT-Vallex4.5.html?verb=přeplnit#v41igjA", "v41igjA")</f>
        <v>v41igjA</v>
      </c>
      <c r="E308">
        <v>105</v>
      </c>
      <c r="F308">
        <v>0.47204000000000002</v>
      </c>
      <c r="G308" s="1">
        <v>0</v>
      </c>
      <c r="I308" s="1" t="s">
        <v>133</v>
      </c>
      <c r="K308" t="str">
        <f>HYPERLINK("https://lindat.mff.cuni.cz/services/SynSemClass55/SynSemClass55.html?veclass=vec00833", "vec00833 / mačkat se (v41cdaA)")</f>
        <v>vec00833 / mačkat se (v41cdaA)</v>
      </c>
      <c r="L308">
        <v>0.47204000000000002</v>
      </c>
      <c r="M308" t="s">
        <v>29</v>
      </c>
      <c r="P308" t="str">
        <f>HYPERLINK("https://lindat.mff.cuni.cz/services/SynSemClass55/SynSemClass55.html?veclass=vec00577", "vec00577 / zaplnit (v41qfqA)")</f>
        <v>vec00577 / zaplnit (v41qfqA)</v>
      </c>
      <c r="Q308">
        <v>0.18917999999999999</v>
      </c>
      <c r="R308" t="s">
        <v>29</v>
      </c>
      <c r="U308" t="str">
        <f>HYPERLINK("https://lindat.mff.cuni.cz/services/SynSemClass55/SynSemClass55.html?veclass=vec00841", "vec00841 / nacpat (v41cmpB)")</f>
        <v>vec00841 / nacpat (v41cmpB)</v>
      </c>
      <c r="V308">
        <v>8.6349999999999996E-2</v>
      </c>
      <c r="W308" t="s">
        <v>29</v>
      </c>
      <c r="Z308" t="str">
        <f>HYPERLINK("https://lindat.mff.cuni.cz/services/SynSemClass55/SynSemClass55.html?veclass=vec01376", "vec01376 / zasypávat (v41qnxA)")</f>
        <v>vec01376 / zasypávat (v41qnxA)</v>
      </c>
      <c r="AA308">
        <v>4.7480000000000001E-2</v>
      </c>
      <c r="AB308" t="s">
        <v>29</v>
      </c>
      <c r="AE308" t="str">
        <f>HYPERLINK("https://lindat.mff.cuni.cz/services/SynSemClass55/SynSemClass55.html?veclass=vec00576", "vec00576 / zaplavit (v41qflC)")</f>
        <v>vec00576 / zaplavit (v41qflC)</v>
      </c>
      <c r="AF308">
        <v>4.0500000000000001E-2</v>
      </c>
      <c r="AG308" t="s">
        <v>29</v>
      </c>
    </row>
    <row r="310" spans="1:33" x14ac:dyDescent="0.2">
      <c r="A310" t="str">
        <f>HYPERLINK("https://lindat.mff.cuni.cz/services/PDT-Vallex4.5/PDT-Vallex4.5.html?verb=přepnout", "přepnout")</f>
        <v>přepnout</v>
      </c>
      <c r="B310" t="str">
        <f>HYPERLINK("https://lindat.mff.cuni.cz/services/PDT-Vallex4.5/PDT-Vallex4.5.html?verb=přepnout#v41igkA", "v41igkA")</f>
        <v>v41igkA</v>
      </c>
      <c r="E310">
        <v>203</v>
      </c>
      <c r="F310">
        <v>0.32769999999999999</v>
      </c>
      <c r="G310" s="1">
        <v>0</v>
      </c>
      <c r="I310" s="1" t="s">
        <v>69</v>
      </c>
      <c r="K310" t="str">
        <f>HYPERLINK("https://lindat.mff.cuni.cz/services/SynSemClass55/SynSemClass55.html?veclass=vec00496", "vec00496 / přejít (v41ibiA)")</f>
        <v>vec00496 / přejít (v41ibiA)</v>
      </c>
      <c r="L310">
        <v>0.32769999999999999</v>
      </c>
      <c r="M310" t="s">
        <v>29</v>
      </c>
      <c r="P310" t="str">
        <f>HYPERLINK("https://lindat.mff.cuni.cz/services/SynSemClass55/SynSemClass55.html?veclass=vec00182", "vec00182 / zapínat (v41qepA)")</f>
        <v>vec00182 / zapínat (v41qepA)</v>
      </c>
      <c r="Q310">
        <v>0.10648000000000001</v>
      </c>
      <c r="R310" t="s">
        <v>29</v>
      </c>
      <c r="U310" t="str">
        <f>HYPERLINK("https://lindat.mff.cuni.cz/services/SynSemClass55/SynSemClass55.html?veclass=vec00283", "vec00283 / převést (v41imqC)")</f>
        <v>vec00283 / převést (v41imqC)</v>
      </c>
      <c r="V310">
        <v>9.0980000000000005E-2</v>
      </c>
      <c r="W310" t="s">
        <v>29</v>
      </c>
      <c r="Z310" t="str">
        <f>HYPERLINK("https://lindat.mff.cuni.cz/services/SynSemClass55/SynSemClass55.html?veclass=vec00895", "vec00895 / přeorientovat (v41ifnA)")</f>
        <v>vec00895 / přeorientovat (v41ifnA)</v>
      </c>
      <c r="AA310">
        <v>5.1409999999999997E-2</v>
      </c>
      <c r="AB310" t="s">
        <v>29</v>
      </c>
      <c r="AE310" t="str">
        <f>HYPERLINK("https://lindat.mff.cuni.cz/services/SynSemClass55/SynSemClass55.html?veclass=vec01086", "vec01086 / přebíhat (v41huaA)")</f>
        <v>vec01086 / přebíhat (v41huaA)</v>
      </c>
      <c r="AF310">
        <v>3.5979999999999998E-2</v>
      </c>
      <c r="AG310" t="s">
        <v>29</v>
      </c>
    </row>
    <row r="311" spans="1:33" x14ac:dyDescent="0.2">
      <c r="A311" t="str">
        <f>HYPERLINK("https://lindat.mff.cuni.cz/services/PDT-Vallex4.5/PDT-Vallex4.5.html?verb=přepnout", "přepnout")</f>
        <v>přepnout</v>
      </c>
      <c r="B311" t="str">
        <f>HYPERLINK("https://lindat.mff.cuni.cz/services/PDT-Vallex4.5/PDT-Vallex4.5.html?verb=přepnout#v41igkB", "v41igkB")</f>
        <v>v41igkB</v>
      </c>
      <c r="E311">
        <v>203</v>
      </c>
      <c r="F311">
        <v>0.32769999999999999</v>
      </c>
      <c r="G311" s="1" t="s">
        <v>32</v>
      </c>
      <c r="K311" t="str">
        <f>HYPERLINK("https://lindat.mff.cuni.cz/services/SynSemClass55/SynSemClass55.html?veclass=vec00496", "vec00496 / přejít (v41ibiA)")</f>
        <v>vec00496 / přejít (v41ibiA)</v>
      </c>
      <c r="L311">
        <v>0.32769999999999999</v>
      </c>
      <c r="M311" t="s">
        <v>31</v>
      </c>
      <c r="P311" t="str">
        <f>HYPERLINK("https://lindat.mff.cuni.cz/services/SynSemClass55/SynSemClass55.html?veclass=vec00182", "vec00182 / zapínat (v41qepA)")</f>
        <v>vec00182 / zapínat (v41qepA)</v>
      </c>
      <c r="Q311">
        <v>0.10648000000000001</v>
      </c>
      <c r="R311" t="s">
        <v>29</v>
      </c>
      <c r="U311" t="str">
        <f>HYPERLINK("https://lindat.mff.cuni.cz/services/SynSemClass55/SynSemClass55.html?veclass=vec00283", "vec00283 / převést (v41imqC)")</f>
        <v>vec00283 / převést (v41imqC)</v>
      </c>
      <c r="V311">
        <v>9.0980000000000005E-2</v>
      </c>
      <c r="W311" t="s">
        <v>29</v>
      </c>
      <c r="Z311" t="str">
        <f>HYPERLINK("https://lindat.mff.cuni.cz/services/SynSemClass55/SynSemClass55.html?veclass=vec00895", "vec00895 / přeorientovat (v41ifnA)")</f>
        <v>vec00895 / přeorientovat (v41ifnA)</v>
      </c>
      <c r="AA311">
        <v>5.1409999999999997E-2</v>
      </c>
      <c r="AB311" t="s">
        <v>29</v>
      </c>
      <c r="AE311" t="str">
        <f>HYPERLINK("https://lindat.mff.cuni.cz/services/SynSemClass55/SynSemClass55.html?veclass=vec01086", "vec01086 / přebíhat (v41huaA)")</f>
        <v>vec01086 / přebíhat (v41huaA)</v>
      </c>
      <c r="AF311">
        <v>3.5979999999999998E-2</v>
      </c>
      <c r="AG311" t="s">
        <v>29</v>
      </c>
    </row>
    <row r="313" spans="1:33" x14ac:dyDescent="0.2">
      <c r="A313" t="str">
        <f>HYPERLINK("https://lindat.mff.cuni.cz/services/PDT-Vallex4.5/PDT-Vallex4.5.html?verb=přesedlat", "přesedlat")</f>
        <v>přesedlat</v>
      </c>
      <c r="B313" t="str">
        <f>HYPERLINK("https://lindat.mff.cuni.cz/services/PDT-Vallex4.5/PDT-Vallex4.5.html?verb=přesedlat#v41iihB", "v41iihB")</f>
        <v>v41iihB</v>
      </c>
      <c r="E313">
        <v>41</v>
      </c>
      <c r="F313">
        <v>0.64266000000000001</v>
      </c>
      <c r="G313" s="1">
        <v>0</v>
      </c>
      <c r="I313" s="1" t="s">
        <v>134</v>
      </c>
      <c r="K313" t="str">
        <f>HYPERLINK("https://lindat.mff.cuni.cz/services/SynSemClass55/SynSemClass55.html?veclass=vec00496", "vec00496 / přejít (v41ibiA)")</f>
        <v>vec00496 / přejít (v41ibiA)</v>
      </c>
      <c r="L313">
        <v>0.64266000000000001</v>
      </c>
      <c r="M313" t="s">
        <v>29</v>
      </c>
      <c r="P313" t="str">
        <f>HYPERLINK("https://lindat.mff.cuni.cz/services/SynSemClass55/SynSemClass55.html?veclass=vec01086", "vec01086 / přebíhat (v41huaA)")</f>
        <v>vec01086 / přebíhat (v41huaA)</v>
      </c>
      <c r="Q313">
        <v>6.8720000000000003E-2</v>
      </c>
      <c r="R313" t="s">
        <v>29</v>
      </c>
      <c r="U313" t="str">
        <f>HYPERLINK("https://lindat.mff.cuni.cz/services/SynSemClass55/SynSemClass55.html?veclass=vec00048", "vec00048 / odejít (v41dyrA)")</f>
        <v>vec00048 / odejít (v41dyrA)</v>
      </c>
      <c r="V313">
        <v>5.2310000000000002E-2</v>
      </c>
      <c r="W313" t="s">
        <v>29</v>
      </c>
      <c r="Z313" t="str">
        <f>HYPERLINK("https://lindat.mff.cuni.cz/services/SynSemClass55/SynSemClass55.html?veclass=vec00705", "vec00705 / sednout si (v41khwC)")</f>
        <v>vec00705 / sednout si (v41khwC)</v>
      </c>
      <c r="AA313">
        <v>3.7740000000000003E-2</v>
      </c>
      <c r="AB313" t="s">
        <v>29</v>
      </c>
      <c r="AE313" t="str">
        <f>HYPERLINK("https://lindat.mff.cuni.cz/services/SynSemClass55/SynSemClass55.html?veclass=vec00022", "vec00022 / hnout se (v41awhA)")</f>
        <v>vec00022 / hnout se (v41awhA)</v>
      </c>
      <c r="AF313">
        <v>2.86E-2</v>
      </c>
      <c r="AG313" t="s">
        <v>29</v>
      </c>
    </row>
    <row r="315" spans="1:33" x14ac:dyDescent="0.2">
      <c r="A315" t="str">
        <f>HYPERLINK("https://lindat.mff.cuni.cz/services/PDT-Vallex4.5/PDT-Vallex4.5.html?verb=přesunovat", "přesunovat")</f>
        <v>přesunovat</v>
      </c>
      <c r="B315" t="str">
        <f>HYPERLINK("https://lindat.mff.cuni.cz/services/PDT-Vallex4.5/PDT-Vallex4.5.html?verb=přesunovat#v41ijzB", "v41ijzB")</f>
        <v>v41ijzB</v>
      </c>
      <c r="E315">
        <v>101</v>
      </c>
      <c r="F315">
        <v>0.34525</v>
      </c>
      <c r="G315" s="1" t="s">
        <v>32</v>
      </c>
      <c r="I315" s="1" t="s">
        <v>135</v>
      </c>
      <c r="K315" t="str">
        <f>HYPERLINK("https://lindat.mff.cuni.cz/services/SynSemClass55/SynSemClass55.html?veclass=vec00048", "vec00048 / odejít (v41dyrA)")</f>
        <v>vec00048 / odejít (v41dyrA)</v>
      </c>
      <c r="L315">
        <v>0.34525</v>
      </c>
      <c r="M315" t="s">
        <v>29</v>
      </c>
      <c r="P315" t="str">
        <f>HYPERLINK("https://lindat.mff.cuni.cz/services/SynSemClass55/SynSemClass55.html?veclass=vec00283", "vec00283 / převést (v41imqC)")</f>
        <v>vec00283 / převést (v41imqC)</v>
      </c>
      <c r="Q315">
        <v>0.22756000000000001</v>
      </c>
      <c r="R315" t="s">
        <v>31</v>
      </c>
      <c r="U315" t="str">
        <f>HYPERLINK("https://lindat.mff.cuni.cz/services/SynSemClass55/SynSemClass55.html?veclass=vec00894", "vec00894 / přeložit (v41idwB)")</f>
        <v>vec00894 / přeložit (v41idwB)</v>
      </c>
      <c r="V315">
        <v>0.19500000000000001</v>
      </c>
      <c r="W315" t="s">
        <v>29</v>
      </c>
      <c r="Z315" t="str">
        <f>HYPERLINK("https://lindat.mff.cuni.cz/services/SynSemClass55/SynSemClass55.html?veclass=vec00022", "vec00022 / hnout se (v41awhA)")</f>
        <v>vec00022 / hnout se (v41awhA)</v>
      </c>
      <c r="AA315">
        <v>0.11700000000000001</v>
      </c>
      <c r="AB315" t="s">
        <v>29</v>
      </c>
      <c r="AE315" t="str">
        <f>HYPERLINK("https://lindat.mff.cuni.cz/services/SynSemClass55/SynSemClass55.html?veclass=vec01577", "vec01577 / nastěhovat (v41dcnA)")</f>
        <v>vec01577 / nastěhovat (v41dcnA)</v>
      </c>
      <c r="AF315">
        <v>3.0499999999999999E-2</v>
      </c>
      <c r="AG315" t="s">
        <v>29</v>
      </c>
    </row>
    <row r="317" spans="1:33" x14ac:dyDescent="0.2">
      <c r="A317" t="str">
        <f>HYPERLINK("https://lindat.mff.cuni.cz/services/PDT-Vallex4.5/PDT-Vallex4.5.html?verb=přeškolit", "přeškolit")</f>
        <v>přeškolit</v>
      </c>
      <c r="B317" t="str">
        <f>HYPERLINK("https://lindat.mff.cuni.cz/services/PDT-Vallex4.5/PDT-Vallex4.5.html?verb=přeškolit#v41ikoA", "v41ikoA")</f>
        <v>v41ikoA</v>
      </c>
      <c r="E317">
        <v>13</v>
      </c>
      <c r="F317">
        <v>0.29630000000000001</v>
      </c>
      <c r="G317" s="1" t="s">
        <v>32</v>
      </c>
      <c r="K317" t="str">
        <f>HYPERLINK("https://lindat.mff.cuni.cz/services/SynSemClass55/SynSemClass55.html?veclass=vec00763", "vec00763 / vyškolit (v41pauA)")</f>
        <v>vec00763 / vyškolit (v41pauA)</v>
      </c>
      <c r="L317">
        <v>0.29630000000000001</v>
      </c>
      <c r="M317" t="s">
        <v>33</v>
      </c>
      <c r="P317" t="str">
        <f>HYPERLINK("https://lindat.mff.cuni.cz/services/SynSemClass55/SynSemClass55.html?veclass=vec00369", "vec00369 / zaměstnávat (v41qbfA)")</f>
        <v>vec00369 / zaměstnávat (v41qbfA)</v>
      </c>
      <c r="Q317">
        <v>4.086E-2</v>
      </c>
      <c r="R317" t="s">
        <v>29</v>
      </c>
      <c r="U317" t="str">
        <f>HYPERLINK("https://lindat.mff.cuni.cz/services/SynSemClass55/SynSemClass55.html?veclass=vec00280", "vec00280 / překročit (v41icmB)")</f>
        <v>vec00280 / překročit (v41icmB)</v>
      </c>
      <c r="V317">
        <v>2.4729999999999999E-2</v>
      </c>
      <c r="W317" t="s">
        <v>29</v>
      </c>
      <c r="Z317" t="str">
        <f>HYPERLINK("https://lindat.mff.cuni.cz/services/SynSemClass55/SynSemClass55.html?veclass=vec00095", "vec00095 / přeměnit (v41iecA)")</f>
        <v>vec00095 / přeměnit (v41iecA)</v>
      </c>
      <c r="AA317">
        <v>2.3949999999999999E-2</v>
      </c>
      <c r="AB317" t="s">
        <v>29</v>
      </c>
      <c r="AE317" t="str">
        <f>HYPERLINK("https://lindat.mff.cuni.cz/services/SynSemClass55/SynSemClass55.html?veclass=vec00827", "vec00827 / instruovat (v41bfuA)")</f>
        <v>vec00827 / instruovat (v41bfuA)</v>
      </c>
      <c r="AF317">
        <v>2.1510000000000001E-2</v>
      </c>
      <c r="AG317" t="s">
        <v>29</v>
      </c>
    </row>
    <row r="319" spans="1:33" x14ac:dyDescent="0.2">
      <c r="A319" t="str">
        <f>HYPERLINK("https://lindat.mff.cuni.cz/services/PDT-Vallex4.5/PDT-Vallex4.5.html?verb=přetahovat se", "přetahovat se")</f>
        <v>přetahovat se</v>
      </c>
      <c r="B319" t="str">
        <f>HYPERLINK("https://lindat.mff.cuni.cz/services/PDT-Vallex4.5/PDT-Vallex4.5.html?verb=přetahovat se#v41ikxB", "v41ikxB")</f>
        <v>v41ikxB</v>
      </c>
      <c r="E319">
        <v>83</v>
      </c>
      <c r="F319">
        <v>0.11466</v>
      </c>
      <c r="G319" s="1" t="s">
        <v>136</v>
      </c>
      <c r="K319" t="str">
        <f>HYPERLINK("https://lindat.mff.cuni.cz/services/SynSemClass55/SynSemClass55.html?veclass=vec01600", "vec01600 / roztáhnout (v41jzkA)")</f>
        <v>vec01600 / roztáhnout (v41jzkA)</v>
      </c>
      <c r="L319">
        <v>0.11466</v>
      </c>
      <c r="M319" t="s">
        <v>29</v>
      </c>
      <c r="P319" t="str">
        <f>HYPERLINK("https://lindat.mff.cuni.cz/services/SynSemClass55/SynSemClass55.html?veclass=vec00121", "vec00121 / soupeřit (v41kyvA)")</f>
        <v>vec00121 / soupeřit (v41kyvA)</v>
      </c>
      <c r="Q319">
        <v>0.11153</v>
      </c>
      <c r="R319" t="s">
        <v>29</v>
      </c>
      <c r="U319" t="str">
        <f>HYPERLINK("https://lindat.mff.cuni.cz/services/SynSemClass55/SynSemClass55.html?veclass=vec01578", "vec01578 / natahovat (v41dekB)")</f>
        <v>vec01578 / natahovat (v41dekB)</v>
      </c>
      <c r="V319">
        <v>8.1729999999999997E-2</v>
      </c>
      <c r="W319" t="s">
        <v>29</v>
      </c>
      <c r="Z319" t="str">
        <f>HYPERLINK("https://lindat.mff.cuni.cz/services/SynSemClass55/SynSemClass55.html?veclass=vec01845", "vec01845 / prostrkat (v41hnvA)")</f>
        <v>vec01845 / prostrkat (v41hnvA)</v>
      </c>
      <c r="AA319">
        <v>5.883E-2</v>
      </c>
      <c r="AB319" t="s">
        <v>29</v>
      </c>
      <c r="AE319" t="str">
        <f>HYPERLINK("https://lindat.mff.cuni.cz/services/SynSemClass55/SynSemClass55.html?veclass=vec00019", "vec00019 / handrkovat se (v41atvA)")</f>
        <v>vec00019 / handrkovat se (v41atvA)</v>
      </c>
      <c r="AF319">
        <v>3.5979999999999998E-2</v>
      </c>
      <c r="AG319" t="s">
        <v>29</v>
      </c>
    </row>
    <row r="321" spans="1:33" x14ac:dyDescent="0.2">
      <c r="A321" t="str">
        <f>HYPERLINK("https://lindat.mff.cuni.cz/services/PDT-Vallex4.5/PDT-Vallex4.5.html?verb=přetrhnout", "přetrhnout")</f>
        <v>přetrhnout</v>
      </c>
      <c r="B321" t="str">
        <f>HYPERLINK("https://lindat.mff.cuni.cz/services/PDT-Vallex4.5/PDT-Vallex4.5.html?verb=přetrhnout#v41ilmA", "v41ilmA")</f>
        <v>v41ilmA</v>
      </c>
      <c r="E321">
        <v>433</v>
      </c>
      <c r="F321">
        <v>9.1730000000000006E-2</v>
      </c>
      <c r="G321" s="1" t="s">
        <v>32</v>
      </c>
      <c r="K321" t="str">
        <f>HYPERLINK("https://lindat.mff.cuni.cz/services/SynSemClass55/SynSemClass55.html?veclass=vec00681", "vec00681 / prasknout (v41gykA)")</f>
        <v>vec00681 / prasknout (v41gykA)</v>
      </c>
      <c r="L321">
        <v>9.1730000000000006E-2</v>
      </c>
      <c r="M321" t="s">
        <v>29</v>
      </c>
      <c r="P321" t="str">
        <f>HYPERLINK("https://lindat.mff.cuni.cz/services/SynSemClass55/SynSemClass55.html?veclass=vec01286", "vec01286 / přerušit (v41ihsD)")</f>
        <v>vec01286 / přerušit (v41ihsD)</v>
      </c>
      <c r="Q321">
        <v>6.5699999999999995E-2</v>
      </c>
      <c r="R321" t="s">
        <v>29</v>
      </c>
      <c r="U321" t="str">
        <f>HYPERLINK("https://lindat.mff.cuni.cz/services/SynSemClass55/SynSemClass55.html?veclass=vec00903", "vec00903 / rozcupovat (v41jmmA)")</f>
        <v>vec00903 / rozcupovat (v41jmmA)</v>
      </c>
      <c r="V321">
        <v>4.8180000000000001E-2</v>
      </c>
      <c r="W321" t="s">
        <v>31</v>
      </c>
      <c r="Z321" t="str">
        <f>HYPERLINK("https://lindat.mff.cuni.cz/services/SynSemClass55/SynSemClass55.html?veclass=vec00885", "vec00885 / prolomit (v41hhaB)")</f>
        <v>vec00885 / prolomit (v41hhaB)</v>
      </c>
      <c r="AA321">
        <v>3.5380000000000002E-2</v>
      </c>
      <c r="AB321" t="s">
        <v>29</v>
      </c>
      <c r="AE321" t="str">
        <f>HYPERLINK("https://lindat.mff.cuni.cz/services/SynSemClass55/SynSemClass55.html?veclass=vec00486", "vec00486 / pozdržet (v41gwdA)")</f>
        <v>vec00486 / pozdržet (v41gwdA)</v>
      </c>
      <c r="AF321">
        <v>2.938E-2</v>
      </c>
      <c r="AG321" t="s">
        <v>29</v>
      </c>
    </row>
    <row r="322" spans="1:33" x14ac:dyDescent="0.2">
      <c r="A322" t="str">
        <f>HYPERLINK("https://lindat.mff.cuni.cz/services/PDT-Vallex4.5/PDT-Vallex4.5.html?verb=přetrhnout", "přetrhnout")</f>
        <v>přetrhnout</v>
      </c>
      <c r="B322" t="str">
        <f>HYPERLINK("https://lindat.mff.cuni.cz/services/PDT-Vallex4.5/PDT-Vallex4.5.html?verb=přetrhnout#v41ilmB", "v41ilmB")</f>
        <v>v41ilmB</v>
      </c>
      <c r="E322">
        <v>433</v>
      </c>
      <c r="F322">
        <v>9.1730000000000006E-2</v>
      </c>
      <c r="G322" s="1" t="s">
        <v>32</v>
      </c>
      <c r="K322" t="str">
        <f>HYPERLINK("https://lindat.mff.cuni.cz/services/SynSemClass55/SynSemClass55.html?veclass=vec00681", "vec00681 / prasknout (v41gykA)")</f>
        <v>vec00681 / prasknout (v41gykA)</v>
      </c>
      <c r="L322">
        <v>9.1730000000000006E-2</v>
      </c>
      <c r="M322" t="s">
        <v>29</v>
      </c>
      <c r="P322" t="str">
        <f>HYPERLINK("https://lindat.mff.cuni.cz/services/SynSemClass55/SynSemClass55.html?veclass=vec01286", "vec01286 / přerušit (v41ihsD)")</f>
        <v>vec01286 / přerušit (v41ihsD)</v>
      </c>
      <c r="Q322">
        <v>6.5699999999999995E-2</v>
      </c>
      <c r="R322" t="s">
        <v>31</v>
      </c>
      <c r="U322" t="str">
        <f>HYPERLINK("https://lindat.mff.cuni.cz/services/SynSemClass55/SynSemClass55.html?veclass=vec00903", "vec00903 / rozcupovat (v41jmmA)")</f>
        <v>vec00903 / rozcupovat (v41jmmA)</v>
      </c>
      <c r="V322">
        <v>4.8180000000000001E-2</v>
      </c>
      <c r="W322" t="s">
        <v>29</v>
      </c>
      <c r="Z322" t="str">
        <f>HYPERLINK("https://lindat.mff.cuni.cz/services/SynSemClass55/SynSemClass55.html?veclass=vec00885", "vec00885 / prolomit (v41hhaB)")</f>
        <v>vec00885 / prolomit (v41hhaB)</v>
      </c>
      <c r="AA322">
        <v>3.5380000000000002E-2</v>
      </c>
      <c r="AB322" t="s">
        <v>29</v>
      </c>
      <c r="AE322" t="str">
        <f>HYPERLINK("https://lindat.mff.cuni.cz/services/SynSemClass55/SynSemClass55.html?veclass=vec00486", "vec00486 / pozdržet (v41gwdA)")</f>
        <v>vec00486 / pozdržet (v41gwdA)</v>
      </c>
      <c r="AF322">
        <v>2.938E-2</v>
      </c>
      <c r="AG322" t="s">
        <v>29</v>
      </c>
    </row>
    <row r="324" spans="1:33" x14ac:dyDescent="0.2">
      <c r="A324" t="str">
        <f>HYPERLINK("https://lindat.mff.cuni.cz/services/PDT-Vallex4.5/PDT-Vallex4.5.html?verb=převézt", "převézt")</f>
        <v>převézt</v>
      </c>
      <c r="B324" t="str">
        <f>HYPERLINK("https://lindat.mff.cuni.cz/services/PDT-Vallex4.5/PDT-Vallex4.5.html?verb=převézt#v41imrB", "v41imrB")</f>
        <v>v41imrB</v>
      </c>
      <c r="E324">
        <v>418</v>
      </c>
      <c r="F324">
        <v>0.53520999999999996</v>
      </c>
      <c r="G324" s="1" t="s">
        <v>137</v>
      </c>
      <c r="K324" t="str">
        <f>HYPERLINK("https://lindat.mff.cuni.cz/services/SynSemClass55/SynSemClass55.html?veclass=vec00283", "vec00283 / převést (v41imqC)")</f>
        <v>vec00283 / převést (v41imqC)</v>
      </c>
      <c r="L324">
        <v>0.53520999999999996</v>
      </c>
      <c r="M324" t="s">
        <v>29</v>
      </c>
      <c r="P324" t="str">
        <f>HYPERLINK("https://lindat.mff.cuni.cz/services/SynSemClass55/SynSemClass55.html?veclass=vec00172", "vec00172 / vzít (v41pmaS)")</f>
        <v>vec00172 / vzít (v41pmaS)</v>
      </c>
      <c r="Q324">
        <v>0.33058999999999999</v>
      </c>
      <c r="R324" t="s">
        <v>29</v>
      </c>
      <c r="U324" t="str">
        <f>HYPERLINK("https://lindat.mff.cuni.cz/services/SynSemClass55/SynSemClass55.html?veclass=vec00011", "vec00011 / dovézt (v41ailB)")</f>
        <v>vec00011 / dovézt (v41ailB)</v>
      </c>
      <c r="V324">
        <v>4.9880000000000001E-2</v>
      </c>
      <c r="W324" t="s">
        <v>29</v>
      </c>
      <c r="Z324" t="str">
        <f>HYPERLINK("https://lindat.mff.cuni.cz/services/SynSemClass55/SynSemClass55.html?veclass=vec01577", "vec01577 / nastěhovat (v41dcnA)")</f>
        <v>vec01577 / nastěhovat (v41dcnA)</v>
      </c>
      <c r="AA324">
        <v>4.0349999999999997E-2</v>
      </c>
      <c r="AB324" t="s">
        <v>29</v>
      </c>
      <c r="AE324" t="str">
        <f>HYPERLINK("https://lindat.mff.cuni.cz/services/SynSemClass55/SynSemClass55.html?veclass=vec00894", "vec00894 / přeložit (v41idwB)")</f>
        <v>vec00894 / přeložit (v41idwB)</v>
      </c>
      <c r="AF324">
        <v>3.3959999999999997E-2</v>
      </c>
      <c r="AG324" t="s">
        <v>29</v>
      </c>
    </row>
    <row r="326" spans="1:33" x14ac:dyDescent="0.2">
      <c r="A326" t="str">
        <f>HYPERLINK("https://lindat.mff.cuni.cz/services/PDT-Vallex4.5/PDT-Vallex4.5.html?verb=převléci", "převléci")</f>
        <v>převléci</v>
      </c>
      <c r="B326" t="str">
        <f>HYPERLINK("https://lindat.mff.cuni.cz/services/PDT-Vallex4.5/PDT-Vallex4.5.html?verb=převléci#v41imvA", "v41imvA")</f>
        <v>v41imvA</v>
      </c>
      <c r="E326">
        <v>195</v>
      </c>
      <c r="F326">
        <v>5.1220000000000002E-2</v>
      </c>
      <c r="G326" s="1" t="s">
        <v>138</v>
      </c>
      <c r="K326" t="str">
        <f>HYPERLINK("https://lindat.mff.cuni.cz/services/SynSemClass55/SynSemClass55.html?veclass=vec01050", "vec01050 / oblékat (v41dqoA)")</f>
        <v>vec01050 / oblékat (v41dqoA)</v>
      </c>
      <c r="L326">
        <v>5.1220000000000002E-2</v>
      </c>
      <c r="M326" t="s">
        <v>29</v>
      </c>
      <c r="P326" t="str">
        <f>HYPERLINK("https://lindat.mff.cuni.cz/services/SynSemClass55/SynSemClass55.html?veclass=vec00629", "vec00629 / lehnout si (v41bzeA)")</f>
        <v>vec00629 / lehnout si (v41bzeA)</v>
      </c>
      <c r="Q326">
        <v>3.9210000000000002E-2</v>
      </c>
      <c r="R326" t="s">
        <v>29</v>
      </c>
      <c r="U326" t="str">
        <f>HYPERLINK("https://lindat.mff.cuni.cz/services/SynSemClass55/SynSemClass55.html?veclass=vec00972", "vec00972 / vyšperkovat (v41pbiA)")</f>
        <v>vec00972 / vyšperkovat (v41pbiA)</v>
      </c>
      <c r="V326">
        <v>3.065E-2</v>
      </c>
      <c r="W326" t="s">
        <v>29</v>
      </c>
      <c r="Z326" t="str">
        <f>HYPERLINK("https://lindat.mff.cuni.cz/services/SynSemClass55/SynSemClass55.html?veclass=vec01500", "vec01500 / obouvat (v41drsA)")</f>
        <v>vec01500 / obouvat (v41drsA)</v>
      </c>
      <c r="AA326">
        <v>3.039E-2</v>
      </c>
      <c r="AB326" t="s">
        <v>29</v>
      </c>
      <c r="AE326" t="str">
        <f>HYPERLINK("https://lindat.mff.cuni.cz/services/SynSemClass55/SynSemClass55.html?veclass=vec00766", "vec00766 / vyzrát (v41pjjA)")</f>
        <v>vec00766 / vyzrát (v41pjjA)</v>
      </c>
      <c r="AF326">
        <v>2.9440000000000001E-2</v>
      </c>
      <c r="AG326" t="s">
        <v>29</v>
      </c>
    </row>
    <row r="328" spans="1:33" x14ac:dyDescent="0.2">
      <c r="A328" t="str">
        <f>HYPERLINK("https://lindat.mff.cuni.cz/services/PDT-Vallex4.5/PDT-Vallex4.5.html?verb=přibarvovat", "přibarvovat")</f>
        <v>přibarvovat</v>
      </c>
      <c r="B328" t="str">
        <f>HYPERLINK("https://lindat.mff.cuni.cz/services/PDT-Vallex4.5/PDT-Vallex4.5.html?verb=přibarvovat#v41ionA", "v41ionA")</f>
        <v>v41ionA</v>
      </c>
      <c r="E328">
        <v>5</v>
      </c>
      <c r="F328">
        <v>0.35731000000000002</v>
      </c>
      <c r="G328" s="1" t="s">
        <v>139</v>
      </c>
      <c r="K328" t="str">
        <f>HYPERLINK("https://lindat.mff.cuni.cz/services/SynSemClass55/SynSemClass55.html?veclass=vec01481", "vec01481 / zbarvit (v41qvlA)")</f>
        <v>vec01481 / zbarvit (v41qvlA)</v>
      </c>
      <c r="L328">
        <v>0.35731000000000002</v>
      </c>
      <c r="M328" t="s">
        <v>29</v>
      </c>
      <c r="P328" t="str">
        <f>HYPERLINK("https://lindat.mff.cuni.cz/services/SynSemClass55/SynSemClass55.html?veclass=vec01363", "vec01363 / vyzdobit (v41pieA)")</f>
        <v>vec01363 / vyzdobit (v41pieA)</v>
      </c>
      <c r="Q328">
        <v>9.6079999999999999E-2</v>
      </c>
      <c r="R328" t="s">
        <v>29</v>
      </c>
      <c r="U328" t="str">
        <f>HYPERLINK("https://lindat.mff.cuni.cz/services/SynSemClass55/SynSemClass55.html?veclass=vec00782", "vec00782 / zdobit (v41qyhB)")</f>
        <v>vec00782 / zdobit (v41qyhB)</v>
      </c>
      <c r="V328">
        <v>5.1580000000000001E-2</v>
      </c>
      <c r="W328" t="s">
        <v>29</v>
      </c>
      <c r="Z328" t="str">
        <f>HYPERLINK("https://lindat.mff.cuni.cz/services/SynSemClass55/SynSemClass55.html?veclass=vec00972", "vec00972 / vyšperkovat (v41pbiA)")</f>
        <v>vec00972 / vyšperkovat (v41pbiA)</v>
      </c>
      <c r="AA328">
        <v>3.9379999999999998E-2</v>
      </c>
      <c r="AB328" t="s">
        <v>29</v>
      </c>
      <c r="AE328" t="str">
        <f>HYPERLINK("https://lindat.mff.cuni.cz/services/SynSemClass55/SynSemClass55.html?veclass=vec01182", "vec01182 / znečišťovat (v41rnoA)")</f>
        <v>vec01182 / znečišťovat (v41rnoA)</v>
      </c>
      <c r="AF328">
        <v>3.6310000000000002E-2</v>
      </c>
      <c r="AG328" t="s">
        <v>29</v>
      </c>
    </row>
    <row r="330" spans="1:33" x14ac:dyDescent="0.2">
      <c r="A330" t="str">
        <f>HYPERLINK("https://lindat.mff.cuni.cz/services/PDT-Vallex4.5/PDT-Vallex4.5.html?verb=přibíjet", "přibíjet")</f>
        <v>přibíjet</v>
      </c>
      <c r="B330" t="str">
        <f>HYPERLINK("https://lindat.mff.cuni.cz/services/PDT-Vallex4.5/PDT-Vallex4.5.html?verb=přibíjet#v41ioqA", "v41ioqA")</f>
        <v>v41ioqA</v>
      </c>
      <c r="E330">
        <v>34</v>
      </c>
      <c r="F330">
        <v>0.16785</v>
      </c>
      <c r="G330" s="1" t="s">
        <v>32</v>
      </c>
      <c r="K330" t="str">
        <f>HYPERLINK("https://lindat.mff.cuni.cz/services/SynSemClass55/SynSemClass55.html?veclass=vec00899", "vec00899 / připevnit (v41ivdA)")</f>
        <v>vec00899 / připevnit (v41ivdA)</v>
      </c>
      <c r="L330">
        <v>0.16785</v>
      </c>
      <c r="M330" t="s">
        <v>31</v>
      </c>
      <c r="P330" t="str">
        <f>HYPERLINK("https://lindat.mff.cuni.cz/services/SynSemClass55/SynSemClass55.html?veclass=vec01500", "vec01500 / obouvat (v41drsA)")</f>
        <v>vec01500 / obouvat (v41drsA)</v>
      </c>
      <c r="Q330">
        <v>8.1879999999999994E-2</v>
      </c>
      <c r="R330" t="s">
        <v>29</v>
      </c>
      <c r="U330" t="str">
        <f>HYPERLINK("https://lindat.mff.cuni.cz/services/SynSemClass55/SynSemClass55.html?veclass=vec01403", "vec01403 / kopat (v41bsgD)")</f>
        <v>vec01403 / kopat (v41bsgD)</v>
      </c>
      <c r="V330">
        <v>6.1210000000000001E-2</v>
      </c>
      <c r="W330" t="s">
        <v>29</v>
      </c>
      <c r="Z330" t="str">
        <f>HYPERLINK("https://lindat.mff.cuni.cz/services/SynSemClass55/SynSemClass55.html?veclass=vec00943", "vec00943 / utáhnout (v41mzjC)")</f>
        <v>vec00943 / utáhnout (v41mzjC)</v>
      </c>
      <c r="AA330">
        <v>5.774E-2</v>
      </c>
      <c r="AB330" t="s">
        <v>29</v>
      </c>
      <c r="AE330" t="str">
        <f>HYPERLINK("https://lindat.mff.cuni.cz/services/SynSemClass55/SynSemClass55.html?veclass=vec01668", "vec01668 / přisunout (v41izrA)")</f>
        <v>vec01668 / přisunout (v41izrA)</v>
      </c>
      <c r="AF330">
        <v>5.3370000000000001E-2</v>
      </c>
      <c r="AG330" t="s">
        <v>29</v>
      </c>
    </row>
    <row r="332" spans="1:33" x14ac:dyDescent="0.2">
      <c r="A332" t="str">
        <f>HYPERLINK("https://lindat.mff.cuni.cz/services/PDT-Vallex4.5/PDT-Vallex4.5.html?verb=přihrnout", "přihrnout")</f>
        <v>přihrnout</v>
      </c>
      <c r="B332" t="str">
        <f>HYPERLINK("https://lindat.mff.cuni.cz/services/PDT-Vallex4.5/PDT-Vallex4.5.html?verb=přihrnout#v41irkA", "v41irkA")</f>
        <v>v41irkA</v>
      </c>
      <c r="E332">
        <v>81</v>
      </c>
      <c r="F332">
        <v>7.4440000000000006E-2</v>
      </c>
      <c r="G332" s="1" t="s">
        <v>140</v>
      </c>
      <c r="K332" t="str">
        <f>HYPERLINK("https://lindat.mff.cuni.cz/services/SynSemClass55/SynSemClass55.html?veclass=vec00833", "vec00833 / mačkat se (v41cdaA)")</f>
        <v>vec00833 / mačkat se (v41cdaA)</v>
      </c>
      <c r="L332">
        <v>7.4440000000000006E-2</v>
      </c>
      <c r="M332" t="s">
        <v>29</v>
      </c>
      <c r="P332" t="str">
        <f>HYPERLINK("https://lindat.mff.cuni.cz/services/SynSemClass55/SynSemClass55.html?veclass=vec00665", "vec00665 / plazit se (v41fnbA)")</f>
        <v>vec00665 / plazit se (v41fnbA)</v>
      </c>
      <c r="Q332">
        <v>6.1690000000000002E-2</v>
      </c>
      <c r="R332" t="s">
        <v>29</v>
      </c>
      <c r="U332" t="str">
        <f>HYPERLINK("https://lindat.mff.cuni.cz/services/SynSemClass55/SynSemClass55.html?veclass=vec00713", "vec00713 / skočit (v41kraD)")</f>
        <v>vec00713 / skočit (v41kraD)</v>
      </c>
      <c r="V332">
        <v>4.487E-2</v>
      </c>
      <c r="W332" t="s">
        <v>29</v>
      </c>
      <c r="Z332" t="str">
        <f>HYPERLINK("https://lindat.mff.cuni.cz/services/SynSemClass55/SynSemClass55.html?veclass=vec00218", "vec00218 / dostat se (v41afyI)")</f>
        <v>vec00218 / dostat se (v41afyI)</v>
      </c>
      <c r="AA332">
        <v>3.8780000000000002E-2</v>
      </c>
      <c r="AB332" t="s">
        <v>29</v>
      </c>
      <c r="AE332" t="str">
        <f>HYPERLINK("https://lindat.mff.cuni.cz/services/SynSemClass55/SynSemClass55.html?veclass=vec00710", "vec00710 / shromáždit se (v41kndA)")</f>
        <v>vec00710 / shromáždit se (v41kndA)</v>
      </c>
      <c r="AF332">
        <v>3.39E-2</v>
      </c>
      <c r="AG332" t="s">
        <v>29</v>
      </c>
    </row>
    <row r="334" spans="1:33" x14ac:dyDescent="0.2">
      <c r="A334" t="str">
        <f>HYPERLINK("https://lindat.mff.cuni.cz/services/PDT-Vallex4.5/PDT-Vallex4.5.html?verb=přihřát si", "přihřát si")</f>
        <v>přihřát si</v>
      </c>
      <c r="B334" t="str">
        <f>HYPERLINK("https://lindat.mff.cuni.cz/services/PDT-Vallex4.5/PDT-Vallex4.5.html?verb=přihřát si#v41irnA", "v41irnA")</f>
        <v>v41irnA</v>
      </c>
      <c r="E334">
        <v>14</v>
      </c>
      <c r="F334">
        <v>0.42975000000000002</v>
      </c>
      <c r="G334" s="1" t="s">
        <v>100</v>
      </c>
      <c r="H334" s="1" t="s">
        <v>141</v>
      </c>
      <c r="I334" s="1" t="s">
        <v>42</v>
      </c>
      <c r="K334" t="str">
        <f>HYPERLINK("https://lindat.mff.cuni.cz/services/SynSemClass55/SynSemClass55.html?veclass=vec01553", "vec01553 / hřát (v41azjA)")</f>
        <v>vec01553 / hřát (v41azjA)</v>
      </c>
      <c r="L334">
        <v>0.42975000000000002</v>
      </c>
      <c r="M334" t="s">
        <v>29</v>
      </c>
      <c r="P334" t="str">
        <f>HYPERLINK("https://lindat.mff.cuni.cz/services/SynSemClass55/SynSemClass55.html?veclass=vec01617", "vec01617 / vařit (v41ngvC)")</f>
        <v>vec01617 / vařit (v41ngvC)</v>
      </c>
      <c r="Q334">
        <v>0.13256000000000001</v>
      </c>
      <c r="R334" t="s">
        <v>29</v>
      </c>
      <c r="U334" t="str">
        <f>HYPERLINK("https://lindat.mff.cuni.cz/services/SynSemClass55/SynSemClass55.html?veclass=vec01610", "vec01610 / topit (v41maaA)")</f>
        <v>vec01610 / topit (v41maaA)</v>
      </c>
      <c r="V334">
        <v>0.10802</v>
      </c>
      <c r="W334" t="s">
        <v>29</v>
      </c>
      <c r="Z334" t="str">
        <f>HYPERLINK("https://lindat.mff.cuni.cz/services/SynSemClass55/SynSemClass55.html?veclass=vec01887", "vec01887 / slunit se (v41kueA)")</f>
        <v>vec01887 / slunit se (v41kueA)</v>
      </c>
      <c r="AA334">
        <v>9.1310000000000002E-2</v>
      </c>
      <c r="AB334" t="s">
        <v>29</v>
      </c>
      <c r="AE334" t="str">
        <f>HYPERLINK("https://lindat.mff.cuni.cz/services/SynSemClass55/SynSemClass55.html?veclass=vec00915", "vec00915 / rozvířit (v41kbpA)")</f>
        <v>vec00915 / rozvířit (v41kbpA)</v>
      </c>
      <c r="AF334">
        <v>7.9430000000000001E-2</v>
      </c>
      <c r="AG334" t="s">
        <v>29</v>
      </c>
    </row>
    <row r="336" spans="1:33" x14ac:dyDescent="0.2">
      <c r="A336" t="str">
        <f>HYPERLINK("https://lindat.mff.cuni.cz/services/PDT-Vallex4.5/PDT-Vallex4.5.html?verb=přicházet si", "přicházet si")</f>
        <v>přicházet si</v>
      </c>
      <c r="B336" t="str">
        <f>HYPERLINK("https://lindat.mff.cuni.cz/services/PDT-Vallex4.5/PDT-Vallex4.5.html?verb=přicházet si#v41irrA", "v41irrA")</f>
        <v>v41irrA</v>
      </c>
      <c r="E336">
        <v>2404</v>
      </c>
      <c r="F336">
        <v>0.46365000000000001</v>
      </c>
      <c r="G336" s="1" t="s">
        <v>142</v>
      </c>
      <c r="H336" s="1" t="s">
        <v>143</v>
      </c>
      <c r="I336" s="1" t="s">
        <v>42</v>
      </c>
      <c r="K336" t="str">
        <f>HYPERLINK("https://lindat.mff.cuni.cz/services/SynSemClass55/SynSemClass55.html?veclass=vec00218", "vec00218 / dostat se (v41afyI)")</f>
        <v>vec00218 / dostat se (v41afyI)</v>
      </c>
      <c r="L336">
        <v>0.46365000000000001</v>
      </c>
      <c r="M336" t="s">
        <v>29</v>
      </c>
      <c r="P336" t="str">
        <f>HYPERLINK("https://lindat.mff.cuni.cz/services/SynSemClass55/SynSemClass55.html?veclass=vec00097", "vec00097 / přicházet (v41irqL)")</f>
        <v>vec00097 / přicházet (v41irqL)</v>
      </c>
      <c r="Q336">
        <v>9.2899999999999996E-2</v>
      </c>
      <c r="R336" t="s">
        <v>29</v>
      </c>
      <c r="U336" t="str">
        <f>HYPERLINK("https://lindat.mff.cuni.cz/services/SynSemClass55/SynSemClass55.html?veclass=vec00071", "vec00071 / pocházet (v41fyjB)")</f>
        <v>vec00071 / pocházet (v41fyjB)</v>
      </c>
      <c r="V336">
        <v>8.4540000000000004E-2</v>
      </c>
      <c r="W336" t="s">
        <v>29</v>
      </c>
      <c r="Z336" t="str">
        <f>HYPERLINK("https://lindat.mff.cuni.cz/services/SynSemClass55/SynSemClass55.html?veclass=vec00227", "vec00227 / jít (v41bikAI)")</f>
        <v>vec00227 / jít (v41bikAI)</v>
      </c>
      <c r="AA336">
        <v>5.6460000000000003E-2</v>
      </c>
      <c r="AB336" t="s">
        <v>29</v>
      </c>
      <c r="AE336" t="str">
        <f>HYPERLINK("https://lindat.mff.cuni.cz/services/SynSemClass55/SynSemClass55.html?veclass=vec00086", "vec00086 / projevit se (v41hfeC)")</f>
        <v>vec00086 / projevit se (v41hfeC)</v>
      </c>
      <c r="AF336">
        <v>4.811E-2</v>
      </c>
      <c r="AG336" t="s">
        <v>29</v>
      </c>
    </row>
    <row r="338" spans="1:33" x14ac:dyDescent="0.2">
      <c r="A338" t="str">
        <f>HYPERLINK("https://lindat.mff.cuni.cz/services/PDT-Vallex4.5/PDT-Vallex4.5.html?verb=přijet", "přijet")</f>
        <v>přijet</v>
      </c>
      <c r="B338" t="str">
        <f>HYPERLINK("https://lindat.mff.cuni.cz/services/PDT-Vallex4.5/PDT-Vallex4.5.html?verb=přijet#v41isaA", "v41isaA")</f>
        <v>v41isaA</v>
      </c>
      <c r="E338">
        <v>5000</v>
      </c>
      <c r="F338">
        <v>0.92074999999999996</v>
      </c>
      <c r="G338" s="1">
        <v>0</v>
      </c>
      <c r="I338" s="1" t="s">
        <v>251</v>
      </c>
      <c r="K338" t="str">
        <f>HYPERLINK("https://lindat.mff.cuni.cz/services/SynSemClass55/SynSemClass55.html?veclass=vec00218", "vec00218 / dostat se (v41afyI)")</f>
        <v>vec00218 / dostat se (v41afyI)</v>
      </c>
      <c r="L338">
        <v>0.92074999999999996</v>
      </c>
      <c r="M338" t="s">
        <v>29</v>
      </c>
      <c r="P338" t="str">
        <f>HYPERLINK("https://lindat.mff.cuni.cz/services/SynSemClass55/SynSemClass55.html?veclass=vec00042", "vec00042 / navštěvovat (v41dhjB)")</f>
        <v>vec00042 / navštěvovat (v41dhjB)</v>
      </c>
      <c r="Q338">
        <v>2.7019999999999999E-2</v>
      </c>
      <c r="R338" t="s">
        <v>29</v>
      </c>
      <c r="U338" t="str">
        <f>HYPERLINK("https://lindat.mff.cuni.cz/services/SynSemClass55/SynSemClass55.html?veclass=vec00086", "vec00086 / projevit se (v41hfeC)")</f>
        <v>vec00086 / projevit se (v41hfeC)</v>
      </c>
      <c r="V338">
        <v>1.695E-2</v>
      </c>
      <c r="W338" t="s">
        <v>29</v>
      </c>
      <c r="Z338" t="str">
        <f>HYPERLINK("https://lindat.mff.cuni.cz/services/SynSemClass55/SynSemClass55.html?veclass=vec00403", "vec00403 / cestovat (v41kpA)")</f>
        <v>vec00403 / cestovat (v41kpA)</v>
      </c>
      <c r="AA338">
        <v>1.469E-2</v>
      </c>
      <c r="AB338" t="s">
        <v>29</v>
      </c>
      <c r="AE338" t="str">
        <f>HYPERLINK("https://lindat.mff.cuni.cz/services/SynSemClass55/SynSemClass55.html?veclass=vec00227", "vec00227 / jít (v41bikAI)")</f>
        <v>vec00227 / jít (v41bikAI)</v>
      </c>
      <c r="AF338">
        <v>1.231E-2</v>
      </c>
      <c r="AG338" t="s">
        <v>29</v>
      </c>
    </row>
    <row r="340" spans="1:33" x14ac:dyDescent="0.2">
      <c r="A340" t="str">
        <f>HYPERLINK("https://lindat.mff.cuni.cz/services/PDT-Vallex4.5/PDT-Vallex4.5.html?verb=přilít", "přilít")</f>
        <v>přilít</v>
      </c>
      <c r="B340" t="str">
        <f>HYPERLINK("https://lindat.mff.cuni.cz/services/PDT-Vallex4.5/PDT-Vallex4.5.html?verb=přilít#v41itrA", "v41itrA")</f>
        <v>v41itrA</v>
      </c>
      <c r="E340">
        <v>67</v>
      </c>
      <c r="F340">
        <v>0.14624000000000001</v>
      </c>
      <c r="G340" s="1" t="s">
        <v>32</v>
      </c>
      <c r="K340" t="str">
        <f>HYPERLINK("https://lindat.mff.cuni.cz/services/SynSemClass55/SynSemClass55.html?veclass=vec01300", "vec01300 / přitopit (v41jaoB)")</f>
        <v>vec01300 / přitopit (v41jaoB)</v>
      </c>
      <c r="L340">
        <v>0.14624000000000001</v>
      </c>
      <c r="M340" t="s">
        <v>29</v>
      </c>
      <c r="P340" t="str">
        <f>HYPERLINK("https://lindat.mff.cuni.cz/services/SynSemClass55/SynSemClass55.html?veclass=vec00407", "vec00407 / doplnit (v41acpC)")</f>
        <v>vec00407 / doplnit (v41acpC)</v>
      </c>
      <c r="Q340">
        <v>0.11353000000000001</v>
      </c>
      <c r="R340" t="s">
        <v>31</v>
      </c>
      <c r="U340" t="str">
        <f>HYPERLINK("https://lindat.mff.cuni.cz/services/SynSemClass55/SynSemClass55.html?veclass=vec01893", "vec01893 / stříkat (v41lnpB)")</f>
        <v>vec01893 / stříkat (v41lnpB)</v>
      </c>
      <c r="V340">
        <v>7.7369999999999994E-2</v>
      </c>
      <c r="W340" t="s">
        <v>29</v>
      </c>
      <c r="Z340" t="str">
        <f>HYPERLINK("https://lindat.mff.cuni.cz/services/SynSemClass55/SynSemClass55.html?veclass=vec01942", "vec01942 / vylít (v41oijA)")</f>
        <v>vec01942 / vylít (v41oijA)</v>
      </c>
      <c r="AA340">
        <v>6.6979999999999998E-2</v>
      </c>
      <c r="AB340" t="s">
        <v>29</v>
      </c>
      <c r="AE340" t="str">
        <f>HYPERLINK("https://lindat.mff.cuni.cz/services/SynSemClass55/SynSemClass55.html?veclass=vec01599", "vec01599 / přihodit (v41irdA)")</f>
        <v>vec01599 / přihodit (v41irdA)</v>
      </c>
      <c r="AF340">
        <v>6.6979999999999998E-2</v>
      </c>
      <c r="AG340" t="s">
        <v>29</v>
      </c>
    </row>
    <row r="342" spans="1:33" x14ac:dyDescent="0.2">
      <c r="A342" t="str">
        <f>HYPERLINK("https://lindat.mff.cuni.cz/services/PDT-Vallex4.5/PDT-Vallex4.5.html?verb=přilívat", "přilívat")</f>
        <v>přilívat</v>
      </c>
      <c r="B342" t="str">
        <f>HYPERLINK("https://lindat.mff.cuni.cz/services/PDT-Vallex4.5/PDT-Vallex4.5.html?verb=přilívat#v41ituA", "v41ituA")</f>
        <v>v41ituA</v>
      </c>
      <c r="E342">
        <v>6</v>
      </c>
      <c r="F342">
        <v>0.43343999999999999</v>
      </c>
      <c r="G342" s="1" t="s">
        <v>144</v>
      </c>
      <c r="H342" s="1" t="s">
        <v>145</v>
      </c>
      <c r="I342" s="1" t="s">
        <v>42</v>
      </c>
      <c r="K342" t="str">
        <f>HYPERLINK("https://lindat.mff.cuni.cz/services/SynSemClass55/SynSemClass55.html?veclass=vec01300", "vec01300 / přitopit (v41jaoB)")</f>
        <v>vec01300 / přitopit (v41jaoB)</v>
      </c>
      <c r="L342">
        <v>0.43343999999999999</v>
      </c>
      <c r="M342" t="s">
        <v>29</v>
      </c>
      <c r="P342" t="str">
        <f>HYPERLINK("https://lindat.mff.cuni.cz/services/SynSemClass55/SynSemClass55.html?veclass=vec01893", "vec01893 / stříkat (v41lnpB)")</f>
        <v>vec01893 / stříkat (v41lnpB)</v>
      </c>
      <c r="Q342">
        <v>0.17449000000000001</v>
      </c>
      <c r="R342" t="s">
        <v>29</v>
      </c>
      <c r="U342" t="str">
        <f>HYPERLINK("https://lindat.mff.cuni.cz/services/SynSemClass55/SynSemClass55.html?veclass=vec01942", "vec01942 / vylít (v41oijA)")</f>
        <v>vec01942 / vylít (v41oijA)</v>
      </c>
      <c r="V342">
        <v>0.12758</v>
      </c>
      <c r="W342" t="s">
        <v>29</v>
      </c>
      <c r="Z342" t="str">
        <f>HYPERLINK("https://lindat.mff.cuni.cz/services/SynSemClass55/SynSemClass55.html?veclass=vec01599", "vec01599 / přihodit (v41irdA)")</f>
        <v>vec01599 / přihodit (v41irdA)</v>
      </c>
      <c r="AA342">
        <v>6.8229999999999999E-2</v>
      </c>
      <c r="AB342" t="s">
        <v>29</v>
      </c>
      <c r="AE342" t="str">
        <f>HYPERLINK("https://lindat.mff.cuni.cz/services/SynSemClass55/SynSemClass55.html?veclass=vec00407", "vec00407 / doplnit (v41acpC)")</f>
        <v>vec00407 / doplnit (v41acpC)</v>
      </c>
      <c r="AF342">
        <v>4.5159999999999999E-2</v>
      </c>
      <c r="AG342" t="s">
        <v>29</v>
      </c>
    </row>
    <row r="344" spans="1:33" x14ac:dyDescent="0.2">
      <c r="A344" t="str">
        <f>HYPERLINK("https://lindat.mff.cuni.cz/services/PDT-Vallex4.5/PDT-Vallex4.5.html?verb=přimknout se", "přimknout se")</f>
        <v>přimknout se</v>
      </c>
      <c r="B344" t="str">
        <f>HYPERLINK("https://lindat.mff.cuni.cz/services/PDT-Vallex4.5/PDT-Vallex4.5.html?verb=přimknout se#v41iueB", "v41iueB")</f>
        <v>v41iueB</v>
      </c>
      <c r="E344">
        <v>129</v>
      </c>
      <c r="F344">
        <v>0.19037000000000001</v>
      </c>
      <c r="G344" s="1">
        <v>0</v>
      </c>
      <c r="I344" s="1" t="s">
        <v>146</v>
      </c>
      <c r="K344" t="str">
        <f>HYPERLINK("https://lindat.mff.cuni.cz/services/SynSemClass55/SynSemClass55.html?veclass=vec00899", "vec00899 / připevnit (v41ivdA)")</f>
        <v>vec00899 / připevnit (v41ivdA)</v>
      </c>
      <c r="L344">
        <v>0.19037000000000001</v>
      </c>
      <c r="M344" t="s">
        <v>29</v>
      </c>
      <c r="P344" t="str">
        <f>HYPERLINK("https://lindat.mff.cuni.cz/services/SynSemClass55/SynSemClass55.html?veclass=vec01912", "vec01912 / upnout se (v41msbA)")</f>
        <v>vec01912 / upnout se (v41msbA)</v>
      </c>
      <c r="Q344">
        <v>0.11194</v>
      </c>
      <c r="R344" t="s">
        <v>29</v>
      </c>
      <c r="U344" t="str">
        <f>HYPERLINK("https://lindat.mff.cuni.cz/services/SynSemClass55/SynSemClass55.html?veclass=vec00943", "vec00943 / utáhnout (v41mzjC)")</f>
        <v>vec00943 / utáhnout (v41mzjC)</v>
      </c>
      <c r="V344">
        <v>3.2739999999999998E-2</v>
      </c>
      <c r="W344" t="s">
        <v>29</v>
      </c>
      <c r="Z344" t="str">
        <f>HYPERLINK("https://lindat.mff.cuni.cz/services/SynSemClass55/SynSemClass55.html?veclass=vec00833", "vec00833 / mačkat se (v41cdaA)")</f>
        <v>vec00833 / mačkat se (v41cdaA)</v>
      </c>
      <c r="AA344">
        <v>3.2140000000000002E-2</v>
      </c>
      <c r="AB344" t="s">
        <v>29</v>
      </c>
      <c r="AE344" t="str">
        <f>HYPERLINK("https://lindat.mff.cuni.cz/services/SynSemClass55/SynSemClass55.html?veclass=vec01668", "vec01668 / přisunout (v41izrA)")</f>
        <v>vec01668 / přisunout (v41izrA)</v>
      </c>
      <c r="AF344">
        <v>3.1759999999999997E-2</v>
      </c>
      <c r="AG344" t="s">
        <v>29</v>
      </c>
    </row>
    <row r="346" spans="1:33" x14ac:dyDescent="0.2">
      <c r="A346" t="str">
        <f>HYPERLINK("https://lindat.mff.cuni.cz/services/PDT-Vallex4.5/PDT-Vallex4.5.html?verb=přiostřit", "přiostřit")</f>
        <v>přiostřit</v>
      </c>
      <c r="B346" t="str">
        <f>HYPERLINK("https://lindat.mff.cuni.cz/services/PDT-Vallex4.5/PDT-Vallex4.5.html?verb=přiostřit#v41iutA", "v41iutA")</f>
        <v>v41iutA</v>
      </c>
      <c r="E346">
        <v>24</v>
      </c>
      <c r="F346">
        <v>0.29326000000000002</v>
      </c>
      <c r="G346" s="1" t="s">
        <v>147</v>
      </c>
      <c r="K346" t="str">
        <f>HYPERLINK("https://lindat.mff.cuni.cz/services/SynSemClass55/SynSemClass55.html?veclass=vec01498", "vec01498 / napnout se (v41cxgA)")</f>
        <v>vec01498 / napnout se (v41cxgA)</v>
      </c>
      <c r="L346">
        <v>0.29326000000000002</v>
      </c>
      <c r="M346" t="s">
        <v>29</v>
      </c>
      <c r="P346" t="str">
        <f>HYPERLINK("https://lindat.mff.cuni.cz/services/SynSemClass55/SynSemClass55.html?veclass=vec00785", "vec00785 / zhoršit (v41rcrA)")</f>
        <v>vec00785 / zhoršit (v41rcrA)</v>
      </c>
      <c r="Q346">
        <v>9.2109999999999997E-2</v>
      </c>
      <c r="R346" t="s">
        <v>29</v>
      </c>
      <c r="U346" t="str">
        <f>HYPERLINK("https://lindat.mff.cuni.cz/services/SynSemClass55/SynSemClass55.html?veclass=vec01301", "vec01301 / přitvrdit (v41javA)")</f>
        <v>vec01301 / přitvrdit (v41javA)</v>
      </c>
      <c r="V346">
        <v>8.4260000000000002E-2</v>
      </c>
      <c r="W346" t="s">
        <v>29</v>
      </c>
      <c r="Z346" t="str">
        <f>HYPERLINK("https://lindat.mff.cuni.cz/services/SynSemClass55/SynSemClass55.html?veclass=vec00539", "vec00539 / upevnit (v41mquD)")</f>
        <v>vec00539 / upevnit (v41mquD)</v>
      </c>
      <c r="AA346">
        <v>3.9219999999999998E-2</v>
      </c>
      <c r="AB346" t="s">
        <v>29</v>
      </c>
      <c r="AE346" t="str">
        <f>HYPERLINK("https://lindat.mff.cuni.cz/services/SynSemClass55/SynSemClass55.html?veclass=vec00730", "vec00730 / stupňovat se (v41lnxA)")</f>
        <v>vec00730 / stupňovat se (v41lnxA)</v>
      </c>
      <c r="AF346">
        <v>3.7139999999999999E-2</v>
      </c>
      <c r="AG346" t="s">
        <v>29</v>
      </c>
    </row>
    <row r="348" spans="1:33" x14ac:dyDescent="0.2">
      <c r="A348" t="str">
        <f>HYPERLINK("https://lindat.mff.cuni.cz/services/PDT-Vallex4.5/PDT-Vallex4.5.html?verb=přistát", "přistát")</f>
        <v>přistát</v>
      </c>
      <c r="B348" t="str">
        <f>HYPERLINK("https://lindat.mff.cuni.cz/services/PDT-Vallex4.5/PDT-Vallex4.5.html?verb=přistát#v41iyzB", "v41iyzB")</f>
        <v>v41iyzB</v>
      </c>
      <c r="E348">
        <v>1576</v>
      </c>
      <c r="F348">
        <v>0.57228000000000001</v>
      </c>
      <c r="G348" s="1" t="s">
        <v>32</v>
      </c>
      <c r="K348" t="str">
        <f>HYPERLINK("https://lindat.mff.cuni.cz/services/SynSemClass55/SynSemClass55.html?veclass=vec00901", "vec00901 / přistát (v41iyzA)")</f>
        <v>vec00901 / přistát (v41iyzA)</v>
      </c>
      <c r="L348">
        <v>0.57228000000000001</v>
      </c>
      <c r="M348" t="s">
        <v>31</v>
      </c>
      <c r="P348" t="str">
        <f>HYPERLINK("https://lindat.mff.cuni.cz/services/SynSemClass55/SynSemClass55.html?veclass=vec00218", "vec00218 / dostat se (v41afyI)")</f>
        <v>vec00218 / dostat se (v41afyI)</v>
      </c>
      <c r="Q348">
        <v>8.2019999999999996E-2</v>
      </c>
      <c r="R348" t="s">
        <v>29</v>
      </c>
      <c r="U348" t="str">
        <f>HYPERLINK("https://lindat.mff.cuni.cz/services/SynSemClass55/SynSemClass55.html?veclass=vec00579", "vec00579 / zastavit se (v41qmhA)")</f>
        <v>vec00579 / zastavit se (v41qmhA)</v>
      </c>
      <c r="V348">
        <v>4.9939999999999998E-2</v>
      </c>
      <c r="W348" t="s">
        <v>29</v>
      </c>
      <c r="Z348" t="str">
        <f>HYPERLINK("https://lindat.mff.cuni.cz/services/SynSemClass55/SynSemClass55.html?veclass=vec01390", "vec01390 / blížit se (v41gbC)")</f>
        <v>vec01390 / blížit se (v41gbC)</v>
      </c>
      <c r="AA348">
        <v>3.074E-2</v>
      </c>
      <c r="AB348" t="s">
        <v>29</v>
      </c>
      <c r="AE348" t="str">
        <f>HYPERLINK("https://lindat.mff.cuni.cz/services/SynSemClass55/SynSemClass55.html?veclass=vec01113", "vec01113 / skákat (v41kpoB)")</f>
        <v>vec01113 / skákat (v41kpoB)</v>
      </c>
      <c r="AF348">
        <v>1.8380000000000001E-2</v>
      </c>
      <c r="AG348" t="s">
        <v>29</v>
      </c>
    </row>
    <row r="350" spans="1:33" x14ac:dyDescent="0.2">
      <c r="A350" t="str">
        <f>HYPERLINK("https://lindat.mff.cuni.cz/services/PDT-Vallex4.5/PDT-Vallex4.5.html?verb=přitížit se", "přitížit se")</f>
        <v>přitížit se</v>
      </c>
      <c r="B350" t="str">
        <f>HYPERLINK("https://lindat.mff.cuni.cz/services/PDT-Vallex4.5/PDT-Vallex4.5.html?verb=přitížit se#v41jaiA", "v41jaiA")</f>
        <v>v41jaiA</v>
      </c>
      <c r="E350">
        <v>54</v>
      </c>
      <c r="F350">
        <v>6.9029999999999994E-2</v>
      </c>
      <c r="G350" s="1" t="s">
        <v>148</v>
      </c>
      <c r="K350" t="str">
        <f>HYPERLINK("https://lindat.mff.cuni.cz/services/SynSemClass55/SynSemClass55.html?veclass=vec00547", "vec00547 / vadit (v41nfwA)")</f>
        <v>vec00547 / vadit (v41nfwA)</v>
      </c>
      <c r="L350">
        <v>6.9029999999999994E-2</v>
      </c>
      <c r="M350" t="s">
        <v>29</v>
      </c>
      <c r="P350" t="str">
        <f>HYPERLINK("https://lindat.mff.cuni.cz/services/SynSemClass55/SynSemClass55.html?veclass=vec00740", "vec00740 / utrpět (v41nbkB)")</f>
        <v>vec00740 / utrpět (v41nbkB)</v>
      </c>
      <c r="Q350">
        <v>6.6540000000000002E-2</v>
      </c>
      <c r="R350" t="s">
        <v>29</v>
      </c>
      <c r="U350" t="str">
        <f>HYPERLINK("https://lindat.mff.cuni.cz/services/SynSemClass55/SynSemClass55.html?veclass=vec01820", "vec01820 / poranit se (v41givA)")</f>
        <v>vec01820 / poranit se (v41givA)</v>
      </c>
      <c r="V350">
        <v>5.0529999999999999E-2</v>
      </c>
      <c r="W350" t="s">
        <v>29</v>
      </c>
      <c r="Z350" t="str">
        <f>HYPERLINK("https://lindat.mff.cuni.cz/services/SynSemClass55/SynSemClass55.html?veclass=vec01613", "vec01613 / unavit (v41mqbA)")</f>
        <v>vec01613 / unavit (v41mqbA)</v>
      </c>
      <c r="AA350">
        <v>5.0020000000000002E-2</v>
      </c>
      <c r="AB350" t="s">
        <v>29</v>
      </c>
      <c r="AE350" t="str">
        <f>HYPERLINK("https://lindat.mff.cuni.cz/services/SynSemClass55/SynSemClass55.html?veclass=vec00372", "vec00372 / zasáhnout (v41qjyA)")</f>
        <v>vec00372 / zasáhnout (v41qjyA)</v>
      </c>
      <c r="AF350">
        <v>4.9910000000000003E-2</v>
      </c>
      <c r="AG350" t="s">
        <v>29</v>
      </c>
    </row>
    <row r="352" spans="1:33" x14ac:dyDescent="0.2">
      <c r="A352" t="str">
        <f>HYPERLINK("https://lindat.mff.cuni.cz/services/PDT-Vallex4.5/PDT-Vallex4.5.html?verb=ptát se", "ptát se")</f>
        <v>ptát se</v>
      </c>
      <c r="B352" t="str">
        <f>HYPERLINK("https://lindat.mff.cuni.cz/services/PDT-Vallex4.5/PDT-Vallex4.5.html?verb=ptát se#v41jdfB", "v41jdfB")</f>
        <v>v41jdfB</v>
      </c>
      <c r="E352">
        <v>5000</v>
      </c>
      <c r="F352">
        <v>0.93033999999999994</v>
      </c>
      <c r="G352" s="1" t="s">
        <v>149</v>
      </c>
      <c r="K352" t="str">
        <f>HYPERLINK("https://lindat.mff.cuni.cz/services/SynSemClass55/SynSemClass55.html?veclass=vec00384", "vec00384 / zeptat se (v41raoA)")</f>
        <v>vec00384 / zeptat se (v41raoA)</v>
      </c>
      <c r="L352">
        <v>0.93033999999999994</v>
      </c>
      <c r="M352" t="s">
        <v>29</v>
      </c>
      <c r="P352" t="str">
        <f>HYPERLINK("https://lindat.mff.cuni.cz/services/SynSemClass55/SynSemClass55.html?veclass=vec01529", "vec01529 / špitnout (v41lutA)")</f>
        <v>vec01529 / špitnout (v41lutA)</v>
      </c>
      <c r="Q352">
        <v>1.9460000000000002E-2</v>
      </c>
      <c r="R352" t="s">
        <v>29</v>
      </c>
      <c r="U352" t="str">
        <f>HYPERLINK("https://lindat.mff.cuni.cz/services/SynSemClass55/SynSemClass55.html?veclass=vec00499", "vec00499 / přidat (v41ipvA)")</f>
        <v>vec00499 / přidat (v41ipvA)</v>
      </c>
      <c r="V352">
        <v>7.1900000000000002E-3</v>
      </c>
      <c r="W352" t="s">
        <v>29</v>
      </c>
      <c r="Z352" t="str">
        <f>HYPERLINK("https://lindat.mff.cuni.cz/services/SynSemClass55/SynSemClass55.html?veclass=vec01301", "vec01301 / přitvrdit (v41javA)")</f>
        <v>vec01301 / přitvrdit (v41javA)</v>
      </c>
      <c r="AA352">
        <v>6.9800000000000001E-3</v>
      </c>
      <c r="AB352" t="s">
        <v>29</v>
      </c>
      <c r="AE352" t="str">
        <f>HYPERLINK("https://lindat.mff.cuni.cz/services/SynSemClass55/SynSemClass55.html?veclass=vec00250", "vec00250 / odpovídat (v41egyF)")</f>
        <v>vec00250 / odpovídat (v41egyF)</v>
      </c>
      <c r="AF352">
        <v>6.4099999999999999E-3</v>
      </c>
      <c r="AG352" t="s">
        <v>29</v>
      </c>
    </row>
    <row r="354" spans="1:33" x14ac:dyDescent="0.2">
      <c r="A354" t="str">
        <f>HYPERLINK("https://lindat.mff.cuni.cz/services/PDT-Vallex4.5/PDT-Vallex4.5.html?verb=racionalizovat", "racionalizovat")</f>
        <v>racionalizovat</v>
      </c>
      <c r="B354" t="str">
        <f>HYPERLINK("https://lindat.mff.cuni.cz/services/PDT-Vallex4.5/PDT-Vallex4.5.html?verb=racionalizovat#v41jeoA", "v41jeoA")</f>
        <v>v41jeoA</v>
      </c>
      <c r="E354">
        <v>3</v>
      </c>
      <c r="F354">
        <v>7.5130000000000002E-2</v>
      </c>
      <c r="G354" s="1" t="s">
        <v>32</v>
      </c>
      <c r="K354" t="str">
        <f>HYPERLINK("https://lindat.mff.cuni.cz/services/SynSemClass55/SynSemClass55.html?veclass=vec00801", "vec00801 / bagatelizovat (v41dnA)")</f>
        <v>vec00801 / bagatelizovat (v41dnA)</v>
      </c>
      <c r="L354">
        <v>7.5130000000000002E-2</v>
      </c>
      <c r="M354" t="s">
        <v>29</v>
      </c>
      <c r="P354" t="str">
        <f>HYPERLINK("https://lindat.mff.cuni.cz/services/SynSemClass55/SynSemClass55.html?veclass=vec01361", "vec01361 / vyvodit (v41pgzA)")</f>
        <v>vec01361 / vyvodit (v41pgzA)</v>
      </c>
      <c r="Q354">
        <v>3.7350000000000001E-2</v>
      </c>
      <c r="R354" t="s">
        <v>29</v>
      </c>
      <c r="U354" t="str">
        <f>HYPERLINK("https://lindat.mff.cuni.cz/services/SynSemClass55/SynSemClass55.html?veclass=vec01184", "vec01184 / zobecňovat (v41rqhA)")</f>
        <v>vec01184 / zobecňovat (v41rqhA)</v>
      </c>
      <c r="V354">
        <v>3.5020000000000003E-2</v>
      </c>
      <c r="W354" t="s">
        <v>29</v>
      </c>
      <c r="Z354" t="str">
        <f>HYPERLINK("https://lindat.mff.cuni.cz/services/SynSemClass55/SynSemClass55.html?veclass=vec00464", "vec00464 / ospravedlňovat (v41fakA)")</f>
        <v>vec00464 / ospravedlňovat (v41fakA)</v>
      </c>
      <c r="AA354">
        <v>3.3689999999999998E-2</v>
      </c>
      <c r="AB354" t="s">
        <v>29</v>
      </c>
      <c r="AE354" t="str">
        <f>HYPERLINK("https://lindat.mff.cuni.cz/services/SynSemClass55/SynSemClass55.html?veclass=vec00201", "vec00201 / argumentovat (v41ceA)")</f>
        <v>vec00201 / argumentovat (v41ceA)</v>
      </c>
      <c r="AF354">
        <v>3.1949999999999999E-2</v>
      </c>
      <c r="AG354" t="s">
        <v>31</v>
      </c>
    </row>
    <row r="356" spans="1:33" x14ac:dyDescent="0.2">
      <c r="A356" t="str">
        <f>HYPERLINK("https://lindat.mff.cuni.cz/services/PDT-Vallex4.5/PDT-Vallex4.5.html?verb=ranit", "ranit")</f>
        <v>ranit</v>
      </c>
      <c r="B356" t="str">
        <f>HYPERLINK("https://lindat.mff.cuni.cz/services/PDT-Vallex4.5/PDT-Vallex4.5.html?verb=ranit#v41jffA", "v41jffA")</f>
        <v>v41jffA</v>
      </c>
      <c r="E356">
        <v>505</v>
      </c>
      <c r="F356">
        <v>0.34654000000000001</v>
      </c>
      <c r="G356" s="1" t="s">
        <v>150</v>
      </c>
      <c r="K356" t="str">
        <f>HYPERLINK("https://lindat.mff.cuni.cz/services/SynSemClass55/SynSemClass55.html?veclass=vec00372", "vec00372 / zasáhnout (v41qjyA)")</f>
        <v>vec00372 / zasáhnout (v41qjyA)</v>
      </c>
      <c r="L356">
        <v>0.34654000000000001</v>
      </c>
      <c r="M356" t="s">
        <v>29</v>
      </c>
      <c r="P356" t="str">
        <f>HYPERLINK("https://lindat.mff.cuni.cz/services/SynSemClass55/SynSemClass55.html?veclass=vec01656", "vec01656 / postřelit (v41gobA)")</f>
        <v>vec01656 / postřelit (v41gobA)</v>
      </c>
      <c r="Q356">
        <v>0.17813999999999999</v>
      </c>
      <c r="R356" t="s">
        <v>29</v>
      </c>
      <c r="U356" t="str">
        <f>HYPERLINK("https://lindat.mff.cuni.cz/services/SynSemClass55/SynSemClass55.html?veclass=vec01820", "vec01820 / poranit se (v41givA)")</f>
        <v>vec01820 / poranit se (v41givA)</v>
      </c>
      <c r="V356">
        <v>0.10919</v>
      </c>
      <c r="W356" t="s">
        <v>29</v>
      </c>
      <c r="Z356" t="str">
        <f>HYPERLINK("https://lindat.mff.cuni.cz/services/SynSemClass55/SynSemClass55.html?veclass=vec01488", "vec01488 / boxovat (v41hkA)")</f>
        <v>vec01488 / boxovat (v41hkA)</v>
      </c>
      <c r="AA356">
        <v>3.356E-2</v>
      </c>
      <c r="AB356" t="s">
        <v>29</v>
      </c>
      <c r="AE356" t="str">
        <f>HYPERLINK("https://lindat.mff.cuni.cz/services/SynSemClass55/SynSemClass55.html?veclass=vec00992", "vec00992 / zbít (v41qvwA)")</f>
        <v>vec00992 / zbít (v41qvwA)</v>
      </c>
      <c r="AF356">
        <v>2.7199999999999998E-2</v>
      </c>
      <c r="AG356" t="s">
        <v>29</v>
      </c>
    </row>
    <row r="358" spans="1:33" x14ac:dyDescent="0.2">
      <c r="A358" t="str">
        <f>HYPERLINK("https://lindat.mff.cuni.cz/services/PDT-Vallex4.5/PDT-Vallex4.5.html?verb=razítkovat", "razítkovat")</f>
        <v>razítkovat</v>
      </c>
      <c r="B358" t="str">
        <f>HYPERLINK("https://lindat.mff.cuni.cz/services/PDT-Vallex4.5/PDT-Vallex4.5.html?verb=razítkovat#v41jfjA", "v41jfjA")</f>
        <v>v41jfjA</v>
      </c>
      <c r="E358">
        <v>10</v>
      </c>
      <c r="F358">
        <v>0.37387999999999999</v>
      </c>
      <c r="G358" s="1" t="s">
        <v>32</v>
      </c>
      <c r="K358" t="str">
        <f>HYPERLINK("https://lindat.mff.cuni.cz/services/SynSemClass55/SynSemClass55.html?veclass=vec00858", "vec00858 / orazítkovat (v41exyA)")</f>
        <v>vec00858 / orazítkovat (v41exyA)</v>
      </c>
      <c r="L358">
        <v>0.37387999999999999</v>
      </c>
      <c r="M358" t="s">
        <v>31</v>
      </c>
      <c r="P358" t="str">
        <f>HYPERLINK("https://lindat.mff.cuni.cz/services/SynSemClass55/SynSemClass55.html?veclass=vec01479", "vec01479 / zalepit (v41pziB)")</f>
        <v>vec01479 / zalepit (v41pziB)</v>
      </c>
      <c r="Q358">
        <v>3.1370000000000002E-2</v>
      </c>
      <c r="R358" t="s">
        <v>29</v>
      </c>
      <c r="U358" t="str">
        <f>HYPERLINK("https://lindat.mff.cuni.cz/services/SynSemClass55/SynSemClass55.html?veclass=vec01855", "vec01855 / přetisknout (v41ilfA)")</f>
        <v>vec01855 / přetisknout (v41ilfA)</v>
      </c>
      <c r="V358">
        <v>2.9440000000000001E-2</v>
      </c>
      <c r="W358" t="s">
        <v>29</v>
      </c>
      <c r="Z358" t="str">
        <f>HYPERLINK("https://lindat.mff.cuni.cz/services/SynSemClass55/SynSemClass55.html?veclass=vec00962", "vec00962 / vymazat (v41ojwA)")</f>
        <v>vec00962 / vymazat (v41ojwA)</v>
      </c>
      <c r="AA358">
        <v>2.453E-2</v>
      </c>
      <c r="AB358" t="s">
        <v>29</v>
      </c>
      <c r="AE358" t="str">
        <f>HYPERLINK("https://lindat.mff.cuni.cz/services/SynSemClass55/SynSemClass55.html?veclass=vec01341", "vec01341 / uvěřit (v41ndiA)")</f>
        <v>vec01341 / uvěřit (v41ndiA)</v>
      </c>
      <c r="AF358">
        <v>2.2040000000000001E-2</v>
      </c>
      <c r="AG358" t="s">
        <v>29</v>
      </c>
    </row>
    <row r="360" spans="1:33" x14ac:dyDescent="0.2">
      <c r="A360" t="str">
        <f>HYPERLINK("https://lindat.mff.cuni.cz/services/PDT-Vallex4.5/PDT-Vallex4.5.html?verb=referovat", "referovat")</f>
        <v>referovat</v>
      </c>
      <c r="B360" t="str">
        <f>HYPERLINK("https://lindat.mff.cuni.cz/services/PDT-Vallex4.5/PDT-Vallex4.5.html?verb=referovat#v41jgtA", "v41jgtA")</f>
        <v>v41jgtA</v>
      </c>
      <c r="E360">
        <v>165</v>
      </c>
      <c r="F360">
        <v>0.60751999999999995</v>
      </c>
      <c r="G360" s="1" t="s">
        <v>32</v>
      </c>
      <c r="I360" s="1" t="s">
        <v>93</v>
      </c>
      <c r="K360" t="str">
        <f>HYPERLINK("https://lindat.mff.cuni.cz/services/SynSemClass55/SynSemClass55.html?veclass=vec00060", "vec00060 / oznámit (v41fgeD)")</f>
        <v>vec00060 / oznámit (v41fgeD)</v>
      </c>
      <c r="L360">
        <v>0.60751999999999995</v>
      </c>
      <c r="M360" t="s">
        <v>31</v>
      </c>
      <c r="P360" t="str">
        <f>HYPERLINK("https://lindat.mff.cuni.cz/services/SynSemClass55/SynSemClass55.html?veclass=vec01353", "vec01353 / vyprávět (v41orhA)")</f>
        <v>vec01353 / vyprávět (v41orhA)</v>
      </c>
      <c r="Q360">
        <v>0.15432000000000001</v>
      </c>
      <c r="R360" t="s">
        <v>29</v>
      </c>
      <c r="U360" t="str">
        <f>HYPERLINK("https://lindat.mff.cuni.cz/services/SynSemClass55/SynSemClass55.html?veclass=vec00031", "vec00031 / mluvit (v41chxD)")</f>
        <v>vec00031 / mluvit (v41chxD)</v>
      </c>
      <c r="V360">
        <v>3.4000000000000002E-2</v>
      </c>
      <c r="W360" t="s">
        <v>29</v>
      </c>
      <c r="Z360" t="str">
        <f>HYPERLINK("https://lindat.mff.cuni.cz/services/SynSemClass55/SynSemClass55.html?veclass=vec00561", "vec00561 / vypovídat (v41oqqF)")</f>
        <v>vec00561 / vypovídat (v41oqqF)</v>
      </c>
      <c r="AA360">
        <v>2.2589999999999999E-2</v>
      </c>
      <c r="AB360" t="s">
        <v>29</v>
      </c>
      <c r="AE360" t="str">
        <f>HYPERLINK("https://lindat.mff.cuni.cz/services/SynSemClass55/SynSemClass55.html?veclass=vec00994", "vec00994 / zmínit se (v41rkqB)")</f>
        <v>vec00994 / zmínit se (v41rkqB)</v>
      </c>
      <c r="AF360">
        <v>1.41E-2</v>
      </c>
      <c r="AG360" t="s">
        <v>29</v>
      </c>
    </row>
    <row r="362" spans="1:33" x14ac:dyDescent="0.2">
      <c r="A362" t="str">
        <f>HYPERLINK("https://lindat.mff.cuni.cz/services/PDT-Vallex4.5/PDT-Vallex4.5.html?verb=rotovat", "rotovat")</f>
        <v>rotovat</v>
      </c>
      <c r="B362" t="str">
        <f>HYPERLINK("https://lindat.mff.cuni.cz/services/PDT-Vallex4.5/PDT-Vallex4.5.html?verb=rotovat#v41jlhA", "v41jlhA")</f>
        <v>v41jlhA</v>
      </c>
      <c r="E362">
        <v>73</v>
      </c>
      <c r="F362">
        <v>0.16228999999999999</v>
      </c>
      <c r="G362" s="1" t="s">
        <v>32</v>
      </c>
      <c r="K362" t="str">
        <f>HYPERLINK("https://lindat.mff.cuni.cz/services/SynSemClass55/SynSemClass55.html?veclass=vec00626", "vec00626 / kymácet se (v41bxpA)")</f>
        <v>vec00626 / kymácet se (v41bxpA)</v>
      </c>
      <c r="L362">
        <v>0.16228999999999999</v>
      </c>
      <c r="M362" t="s">
        <v>29</v>
      </c>
      <c r="P362" t="str">
        <f>HYPERLINK("https://lindat.mff.cuni.cz/services/SynSemClass55/SynSemClass55.html?veclass=vec00831", "vec00831 / kroužit (v41bvnA)")</f>
        <v>vec00831 / kroužit (v41bvnA)</v>
      </c>
      <c r="Q362">
        <v>0.14951</v>
      </c>
      <c r="R362" t="s">
        <v>31</v>
      </c>
      <c r="U362" t="str">
        <f>HYPERLINK("https://lindat.mff.cuni.cz/services/SynSemClass55/SynSemClass55.html?veclass=vec01566", "vec01566 / míhat se (v41cgbA)")</f>
        <v>vec01566 / míhat se (v41cgbA)</v>
      </c>
      <c r="V362">
        <v>0.10689</v>
      </c>
      <c r="W362" t="s">
        <v>29</v>
      </c>
      <c r="Z362" t="str">
        <f>HYPERLINK("https://lindat.mff.cuni.cz/services/SynSemClass55/SynSemClass55.html?veclass=vec01147", "vec01147 / vlnit se (v41nnjA)")</f>
        <v>vec01147 / vlnit se (v41nnjA)</v>
      </c>
      <c r="AA362">
        <v>5.2639999999999999E-2</v>
      </c>
      <c r="AB362" t="s">
        <v>29</v>
      </c>
      <c r="AE362" t="str">
        <f>HYPERLINK("https://lindat.mff.cuni.cz/services/SynSemClass55/SynSemClass55.html?veclass=vec01634", "vec01634 / zmítat se (v41rldA)")</f>
        <v>vec01634 / zmítat se (v41rldA)</v>
      </c>
      <c r="AF362">
        <v>5.169E-2</v>
      </c>
      <c r="AG362" t="s">
        <v>29</v>
      </c>
    </row>
    <row r="364" spans="1:33" x14ac:dyDescent="0.2">
      <c r="A364" t="str">
        <f>HYPERLINK("https://lindat.mff.cuni.cz/services/PDT-Vallex4.5/PDT-Vallex4.5.html?verb=rozesílat", "rozesílat")</f>
        <v>rozesílat</v>
      </c>
      <c r="B364" t="str">
        <f>HYPERLINK("https://lindat.mff.cuni.cz/services/PDT-Vallex4.5/PDT-Vallex4.5.html?verb=rozesílat#v41joyB", "v41joyB")</f>
        <v>v41joyB</v>
      </c>
      <c r="E364">
        <v>67</v>
      </c>
      <c r="F364">
        <v>0.96379000000000004</v>
      </c>
      <c r="G364" s="1" t="s">
        <v>32</v>
      </c>
      <c r="K364" t="str">
        <f>HYPERLINK("https://lindat.mff.cuni.cz/services/SynSemClass55/SynSemClass55.html?veclass=vec00209", "vec00209 / distribuovat (v41uwB)")</f>
        <v>vec00209 / distribuovat (v41uwB)</v>
      </c>
      <c r="L364">
        <v>0.96379000000000004</v>
      </c>
      <c r="M364" t="s">
        <v>31</v>
      </c>
      <c r="P364" t="str">
        <f>HYPERLINK("https://lindat.mff.cuni.cz/services/SynSemClass55/SynSemClass55.html?veclass=vec01795", "vec01795 / odbavovat (v41dvtA)")</f>
        <v>vec01795 / odbavovat (v41dvtA)</v>
      </c>
      <c r="Q364">
        <v>1.1440000000000001E-2</v>
      </c>
      <c r="R364" t="s">
        <v>29</v>
      </c>
      <c r="U364" t="str">
        <f>HYPERLINK("https://lindat.mff.cuni.cz/services/SynSemClass55/SynSemClass55.html?veclass=vec01491", "vec01491 / fasovat (v41appA)")</f>
        <v>vec01491 / fasovat (v41appA)</v>
      </c>
      <c r="V364">
        <v>9.4999999999999998E-3</v>
      </c>
      <c r="W364" t="s">
        <v>29</v>
      </c>
      <c r="Z364" t="str">
        <f>HYPERLINK("https://lindat.mff.cuni.cz/services/SynSemClass55/SynSemClass55.html?veclass=vec00060", "vec00060 / oznámit (v41fgeD)")</f>
        <v>vec00060 / oznámit (v41fgeD)</v>
      </c>
      <c r="AA364">
        <v>7.6299999999999996E-3</v>
      </c>
      <c r="AB364" t="s">
        <v>29</v>
      </c>
      <c r="AE364" t="str">
        <f>HYPERLINK("https://lindat.mff.cuni.cz/services/SynSemClass55/SynSemClass55.html?veclass=vec01665", "vec01665 / přenášet se (v41ifcA)")</f>
        <v>vec01665 / přenášet se (v41ifcA)</v>
      </c>
      <c r="AF364">
        <v>7.3899999999999999E-3</v>
      </c>
      <c r="AG364" t="s">
        <v>29</v>
      </c>
    </row>
    <row r="366" spans="1:33" x14ac:dyDescent="0.2">
      <c r="A366" t="str">
        <f>HYPERLINK("https://lindat.mff.cuni.cz/services/PDT-Vallex4.5/PDT-Vallex4.5.html?verb=rozežrat", "rozežrat")</f>
        <v>rozežrat</v>
      </c>
      <c r="B366" t="str">
        <f>HYPERLINK("https://lindat.mff.cuni.cz/services/PDT-Vallex4.5/PDT-Vallex4.5.html?verb=rozežrat#v41jptA", "v41jptA")</f>
        <v>v41jptA</v>
      </c>
      <c r="E366">
        <v>20</v>
      </c>
      <c r="F366">
        <v>0.14713000000000001</v>
      </c>
      <c r="G366" s="1" t="s">
        <v>112</v>
      </c>
      <c r="I366" s="1" t="s">
        <v>60</v>
      </c>
      <c r="K366" t="str">
        <f>HYPERLINK("https://lindat.mff.cuni.cz/services/SynSemClass55/SynSemClass55.html?veclass=vec00576", "vec00576 / zaplavit (v41qflC)")</f>
        <v>vec00576 / zaplavit (v41qflC)</v>
      </c>
      <c r="L366">
        <v>0.14713000000000001</v>
      </c>
      <c r="M366" t="s">
        <v>29</v>
      </c>
      <c r="P366" t="str">
        <f>HYPERLINK("https://lindat.mff.cuni.cz/services/SynSemClass55/SynSemClass55.html?veclass=vec01514", "vec01514 / předávkovat (v41hvjA)")</f>
        <v>vec01514 / předávkovat (v41hvjA)</v>
      </c>
      <c r="Q366">
        <v>0.13117999999999999</v>
      </c>
      <c r="R366" t="s">
        <v>29</v>
      </c>
      <c r="U366" t="str">
        <f>HYPERLINK("https://lindat.mff.cuni.cz/services/SynSemClass55/SynSemClass55.html?veclass=vec00828", "vec00828 / jíst (v41bifB)")</f>
        <v>vec00828 / jíst (v41bifB)</v>
      </c>
      <c r="V366">
        <v>0.10702</v>
      </c>
      <c r="W366" t="s">
        <v>29</v>
      </c>
      <c r="Z366" t="str">
        <f>HYPERLINK("https://lindat.mff.cuni.cz/services/SynSemClass55/SynSemClass55.html?veclass=vec00790", "vec00790 / zkazit se (v41rfkA)")</f>
        <v>vec00790 / zkazit se (v41rfkA)</v>
      </c>
      <c r="AA366">
        <v>0.10600999999999999</v>
      </c>
      <c r="AB366" t="s">
        <v>29</v>
      </c>
      <c r="AE366" t="str">
        <f>HYPERLINK("https://lindat.mff.cuni.cz/services/SynSemClass55/SynSemClass55.html?veclass=vec00785", "vec00785 / zhoršit (v41rcrA)")</f>
        <v>vec00785 / zhoršit (v41rcrA)</v>
      </c>
      <c r="AF366">
        <v>4.3619999999999999E-2</v>
      </c>
      <c r="AG366" t="s">
        <v>29</v>
      </c>
    </row>
    <row r="368" spans="1:33" x14ac:dyDescent="0.2">
      <c r="A368" t="str">
        <f>HYPERLINK("https://lindat.mff.cuni.cz/services/PDT-Vallex4.5/PDT-Vallex4.5.html?verb=rozfázovat", "rozfázovat")</f>
        <v>rozfázovat</v>
      </c>
      <c r="B368" t="str">
        <f>HYPERLINK("https://lindat.mff.cuni.cz/services/PDT-Vallex4.5/PDT-Vallex4.5.html?verb=rozfázovat#v41jpuA", "v41jpuA")</f>
        <v>v41jpuA</v>
      </c>
      <c r="E368">
        <v>2</v>
      </c>
      <c r="F368">
        <v>0.26673999999999998</v>
      </c>
      <c r="G368" s="1">
        <v>0</v>
      </c>
      <c r="I368" s="1" t="s">
        <v>157</v>
      </c>
      <c r="K368" t="str">
        <f>HYPERLINK("https://lindat.mff.cuni.cz/services/SynSemClass55/SynSemClass55.html?veclass=vec00296", "vec00296 / rozdělit (v41jniC)")</f>
        <v>vec00296 / rozdělit (v41jniC)</v>
      </c>
      <c r="L368">
        <v>0.26673999999999998</v>
      </c>
      <c r="M368" t="s">
        <v>29</v>
      </c>
      <c r="P368" t="str">
        <f>HYPERLINK("https://lindat.mff.cuni.cz/services/SynSemClass55/SynSemClass55.html?veclass=vec01444", "vec01444 / skládat (v41kqdC)")</f>
        <v>vec01444 / skládat (v41kqdC)</v>
      </c>
      <c r="Q368">
        <v>0.14044999999999999</v>
      </c>
      <c r="R368" t="s">
        <v>29</v>
      </c>
      <c r="U368" t="str">
        <f>HYPERLINK("https://lindat.mff.cuni.cz/services/SynSemClass55/SynSemClass55.html?veclass=vec01744", "vec01744 / chátrat (v41bawA)")</f>
        <v>vec01744 / chátrat (v41bawA)</v>
      </c>
      <c r="V368">
        <v>9.0469999999999995E-2</v>
      </c>
      <c r="W368" t="s">
        <v>29</v>
      </c>
      <c r="Z368" t="str">
        <f>HYPERLINK("https://lindat.mff.cuni.cz/services/SynSemClass55/SynSemClass55.html?veclass=vec01876", "vec01876 / rozpracovávat (v41jwrA)")</f>
        <v>vec01876 / rozpracovávat (v41jwrA)</v>
      </c>
      <c r="AA368">
        <v>6.8599999999999994E-2</v>
      </c>
      <c r="AB368" t="s">
        <v>29</v>
      </c>
      <c r="AE368" t="str">
        <f>HYPERLINK("https://lindat.mff.cuni.cz/services/SynSemClass55/SynSemClass55.html?veclass=vec01576", "vec01576 / narovnat (v41czjA)")</f>
        <v>vec01576 / narovnat (v41czjA)</v>
      </c>
      <c r="AF368">
        <v>6.0679999999999998E-2</v>
      </c>
      <c r="AG368" t="s">
        <v>29</v>
      </c>
    </row>
    <row r="370" spans="1:33" x14ac:dyDescent="0.2">
      <c r="A370" t="str">
        <f>HYPERLINK("https://lindat.mff.cuni.cz/services/PDT-Vallex4.5/PDT-Vallex4.5.html?verb=rozhlédnout se", "rozhlédnout se")</f>
        <v>rozhlédnout se</v>
      </c>
      <c r="B370" t="str">
        <f>HYPERLINK("https://lindat.mff.cuni.cz/services/PDT-Vallex4.5/PDT-Vallex4.5.html?verb=rozhlédnout se#v41jqbA", "v41jqbA")</f>
        <v>v41jqbA</v>
      </c>
      <c r="E370">
        <v>3884</v>
      </c>
      <c r="F370">
        <v>0.92457999999999996</v>
      </c>
      <c r="G370" s="1" t="s">
        <v>151</v>
      </c>
      <c r="K370" t="str">
        <f>HYPERLINK("https://lindat.mff.cuni.cz/services/SynSemClass55/SynSemClass55.html?veclass=vec01263", "vec01263 / porozhlédnout se (v41gjlB)")</f>
        <v>vec01263 / porozhlédnout se (v41gjlB)</v>
      </c>
      <c r="L370">
        <v>0.92457999999999996</v>
      </c>
      <c r="M370" t="s">
        <v>29</v>
      </c>
      <c r="P370" t="str">
        <f>HYPERLINK("https://lindat.mff.cuni.cz/services/SynSemClass55/SynSemClass55.html?veclass=vec00869", "vec00869 / podívat se (v41fsdH)")</f>
        <v>vec00869 / podívat se (v41fsdH)</v>
      </c>
      <c r="Q370">
        <v>5.2209999999999999E-2</v>
      </c>
      <c r="R370" t="s">
        <v>29</v>
      </c>
      <c r="U370" t="str">
        <f>HYPERLINK("https://lindat.mff.cuni.cz/services/SynSemClass55/SynSemClass55.html?veclass=vec01224", "vec01224 / listovat (v41cbiA)")</f>
        <v>vec01224 / listovat (v41cbiA)</v>
      </c>
      <c r="V370">
        <v>4.6820000000000001E-2</v>
      </c>
      <c r="W370" t="s">
        <v>29</v>
      </c>
      <c r="Z370" t="str">
        <f>HYPERLINK("https://lindat.mff.cuni.cz/services/SynSemClass55/SynSemClass55.html?veclass=vec01515", "vec01515 / přeměřovat (v41iegA)")</f>
        <v>vec01515 / přeměřovat (v41iegA)</v>
      </c>
      <c r="AA370">
        <v>4.1480000000000003E-2</v>
      </c>
      <c r="AB370" t="s">
        <v>29</v>
      </c>
      <c r="AE370" t="str">
        <f>HYPERLINK("https://lindat.mff.cuni.cz/services/SynSemClass55/SynSemClass55.html?veclass=vec00687", "vec00687 / pronásledovat (v41hiyA)")</f>
        <v>vec00687 / pronásledovat (v41hiyA)</v>
      </c>
      <c r="AF370">
        <v>2.4389999999999998E-2</v>
      </c>
      <c r="AG370" t="s">
        <v>29</v>
      </c>
    </row>
    <row r="372" spans="1:33" x14ac:dyDescent="0.2">
      <c r="A372" t="str">
        <f>HYPERLINK("https://lindat.mff.cuni.cz/services/PDT-Vallex4.5/PDT-Vallex4.5.html?verb=rozchvátit", "rozchvátit")</f>
        <v>rozchvátit</v>
      </c>
      <c r="B372" t="str">
        <f>HYPERLINK("https://lindat.mff.cuni.cz/services/PDT-Vallex4.5/PDT-Vallex4.5.html?verb=rozchvátit#v41jrhA", "v41jrhA")</f>
        <v>v41jrhA</v>
      </c>
      <c r="E372">
        <v>3</v>
      </c>
      <c r="F372">
        <v>6.93E-2</v>
      </c>
      <c r="G372" s="1" t="s">
        <v>87</v>
      </c>
      <c r="K372" t="str">
        <f>HYPERLINK("https://lindat.mff.cuni.cz/services/SynSemClass55/SynSemClass55.html?veclass=vec01219", "vec01219 / klouzat (v41bmaA)")</f>
        <v>vec01219 / klouzat (v41bmaA)</v>
      </c>
      <c r="L372">
        <v>6.93E-2</v>
      </c>
      <c r="M372" t="s">
        <v>29</v>
      </c>
      <c r="P372" t="str">
        <f>HYPERLINK("https://lindat.mff.cuni.cz/services/SynSemClass55/SynSemClass55.html?veclass=vec01874", "vec01874 / rozkřičet (v41jsfA)")</f>
        <v>vec01874 / rozkřičet (v41jsfA)</v>
      </c>
      <c r="Q372">
        <v>6.7710000000000006E-2</v>
      </c>
      <c r="R372" t="s">
        <v>29</v>
      </c>
      <c r="U372" t="str">
        <f>HYPERLINK("https://lindat.mff.cuni.cz/services/SynSemClass55/SynSemClass55.html?veclass=vec01147", "vec01147 / vlnit se (v41nnjA)")</f>
        <v>vec01147 / vlnit se (v41nnjA)</v>
      </c>
      <c r="V372">
        <v>6.5869999999999998E-2</v>
      </c>
      <c r="W372" t="s">
        <v>29</v>
      </c>
      <c r="Z372" t="str">
        <f>HYPERLINK("https://lindat.mff.cuni.cz/services/SynSemClass55/SynSemClass55.html?veclass=vec01744", "vec01744 / chátrat (v41bawA)")</f>
        <v>vec01744 / chátrat (v41bawA)</v>
      </c>
      <c r="AA372">
        <v>5.5169999999999997E-2</v>
      </c>
      <c r="AB372" t="s">
        <v>29</v>
      </c>
      <c r="AE372" t="str">
        <f>HYPERLINK("https://lindat.mff.cuni.cz/services/SynSemClass55/SynSemClass55.html?veclass=vec00915", "vec00915 / rozvířit (v41kbpA)")</f>
        <v>vec00915 / rozvířit (v41kbpA)</v>
      </c>
      <c r="AF372">
        <v>5.3949999999999998E-2</v>
      </c>
      <c r="AG372" t="s">
        <v>29</v>
      </c>
    </row>
    <row r="374" spans="1:33" x14ac:dyDescent="0.2">
      <c r="A374" t="str">
        <f>HYPERLINK("https://lindat.mff.cuni.cz/services/PDT-Vallex4.5/PDT-Vallex4.5.html?verb=rozjet", "rozjet")</f>
        <v>rozjet</v>
      </c>
      <c r="B374" t="str">
        <f>HYPERLINK("https://lindat.mff.cuni.cz/services/PDT-Vallex4.5/PDT-Vallex4.5.html?verb=rozjet#v41jrkA", "v41jrkA")</f>
        <v>v41jrkA</v>
      </c>
      <c r="E374">
        <v>1632</v>
      </c>
      <c r="F374">
        <v>8.7650000000000006E-2</v>
      </c>
      <c r="G374" s="1">
        <v>0</v>
      </c>
      <c r="I374" s="1" t="s">
        <v>129</v>
      </c>
      <c r="K374" t="str">
        <f>HYPERLINK("https://lindat.mff.cuni.cz/services/SynSemClass55/SynSemClass55.html?veclass=vec00038", "vec00038 / nastartovat (v41dcfA)")</f>
        <v>vec00038 / nastartovat (v41dcfA)</v>
      </c>
      <c r="L374">
        <v>8.7650000000000006E-2</v>
      </c>
      <c r="M374" t="s">
        <v>29</v>
      </c>
      <c r="P374" t="str">
        <f>HYPERLINK("https://lindat.mff.cuni.cz/services/SynSemClass55/SynSemClass55.html?veclass=vec00097", "vec00097 / přicházet (v41irqL)")</f>
        <v>vec00097 / přicházet (v41irqL)</v>
      </c>
      <c r="Q374">
        <v>7.8399999999999997E-2</v>
      </c>
      <c r="R374" t="s">
        <v>29</v>
      </c>
      <c r="U374" t="str">
        <f>HYPERLINK("https://lindat.mff.cuni.cz/services/SynSemClass55/SynSemClass55.html?veclass=vec00048", "vec00048 / odejít (v41dyrA)")</f>
        <v>vec00048 / odejít (v41dyrA)</v>
      </c>
      <c r="V374">
        <v>6.1289999999999997E-2</v>
      </c>
      <c r="W374" t="s">
        <v>29</v>
      </c>
      <c r="Z374" t="str">
        <f>HYPERLINK("https://lindat.mff.cuni.cz/services/SynSemClass55/SynSemClass55.html?veclass=vec00227", "vec00227 / jít (v41bikAI)")</f>
        <v>vec00227 / jít (v41bikAI)</v>
      </c>
      <c r="AA374">
        <v>5.7680000000000002E-2</v>
      </c>
      <c r="AB374" t="s">
        <v>29</v>
      </c>
      <c r="AE374" t="str">
        <f>HYPERLINK("https://lindat.mff.cuni.cz/services/SynSemClass55/SynSemClass55.html?veclass=vec00434", "vec00434 / mířit (v41chcC)")</f>
        <v>vec00434 / mířit (v41chcC)</v>
      </c>
      <c r="AF374">
        <v>3.5860000000000003E-2</v>
      </c>
      <c r="AG374" t="s">
        <v>29</v>
      </c>
    </row>
    <row r="376" spans="1:33" x14ac:dyDescent="0.2">
      <c r="A376" t="str">
        <f>HYPERLINK("https://lindat.mff.cuni.cz/services/PDT-Vallex4.5/PDT-Vallex4.5.html?verb=rozpočíst", "rozpočíst")</f>
        <v>rozpočíst</v>
      </c>
      <c r="B376" t="str">
        <f>HYPERLINK("https://lindat.mff.cuni.cz/services/PDT-Vallex4.5/PDT-Vallex4.5.html?verb=rozpočíst#v41jvtA", "v41jvtA")</f>
        <v>v41jvtA</v>
      </c>
      <c r="E376">
        <v>1</v>
      </c>
      <c r="F376">
        <v>9.0569999999999998E-2</v>
      </c>
      <c r="G376" s="1" t="s">
        <v>152</v>
      </c>
      <c r="K376" t="str">
        <f>HYPERLINK("https://lindat.mff.cuni.cz/services/SynSemClass55/SynSemClass55.html?veclass=vec00256", "vec00256 / plánovat (v41fmmA)")</f>
        <v>vec00256 / plánovat (v41fmmA)</v>
      </c>
      <c r="L376">
        <v>9.0569999999999998E-2</v>
      </c>
      <c r="M376" t="s">
        <v>29</v>
      </c>
      <c r="P376" t="str">
        <f>HYPERLINK("https://lindat.mff.cuni.cz/services/SynSemClass55/SynSemClass55.html?veclass=vec01772", "vec01772 / načasovat (v41cmvB)")</f>
        <v>vec01772 / načasovat (v41cmvB)</v>
      </c>
      <c r="Q376">
        <v>3.5049999999999998E-2</v>
      </c>
      <c r="R376" t="s">
        <v>29</v>
      </c>
      <c r="U376" t="str">
        <f>HYPERLINK("https://lindat.mff.cuni.cz/services/SynSemClass55/SynSemClass55.html?veclass=vec00166", "vec00166 / vypočítávat (v41opsB)")</f>
        <v>vec00166 / vypočítávat (v41opsB)</v>
      </c>
      <c r="V376">
        <v>3.3829999999999999E-2</v>
      </c>
      <c r="W376" t="s">
        <v>29</v>
      </c>
      <c r="Z376" t="str">
        <f>HYPERLINK("https://lindat.mff.cuni.cz/services/SynSemClass55/SynSemClass55.html?veclass=vec00526", "vec00526 / strukturovat (v41lmtA)")</f>
        <v>vec00526 / strukturovat (v41lmtA)</v>
      </c>
      <c r="AA376">
        <v>3.1510000000000003E-2</v>
      </c>
      <c r="AB376" t="s">
        <v>29</v>
      </c>
      <c r="AE376" t="str">
        <f>HYPERLINK("https://lindat.mff.cuni.cz/services/SynSemClass55/SynSemClass55.html?veclass=vec00778", "vec00778 / zaúčtovat (v41qrdA)")</f>
        <v>vec00778 / zaúčtovat (v41qrdA)</v>
      </c>
      <c r="AF376">
        <v>2.5819999999999999E-2</v>
      </c>
      <c r="AG376" t="s">
        <v>29</v>
      </c>
    </row>
    <row r="378" spans="1:33" x14ac:dyDescent="0.2">
      <c r="A378" t="str">
        <f>HYPERLINK("https://lindat.mff.cuni.cz/services/PDT-Vallex4.5/PDT-Vallex4.5.html?verb=rozpočíst se", "rozpočíst se")</f>
        <v>rozpočíst se</v>
      </c>
      <c r="B378" t="str">
        <f>HYPERLINK("https://lindat.mff.cuni.cz/services/PDT-Vallex4.5/PDT-Vallex4.5.html?verb=rozpočíst se#v41jvuA", "v41jvuA")</f>
        <v>v41jvuA</v>
      </c>
      <c r="E378">
        <v>1</v>
      </c>
      <c r="F378">
        <v>9.0569999999999998E-2</v>
      </c>
      <c r="G378" s="1">
        <v>0</v>
      </c>
      <c r="I378" s="1" t="s">
        <v>153</v>
      </c>
      <c r="K378" t="str">
        <f>HYPERLINK("https://lindat.mff.cuni.cz/services/SynSemClass55/SynSemClass55.html?veclass=vec00256", "vec00256 / plánovat (v41fmmA)")</f>
        <v>vec00256 / plánovat (v41fmmA)</v>
      </c>
      <c r="L378">
        <v>9.0569999999999998E-2</v>
      </c>
      <c r="M378" t="s">
        <v>29</v>
      </c>
      <c r="P378" t="str">
        <f>HYPERLINK("https://lindat.mff.cuni.cz/services/SynSemClass55/SynSemClass55.html?veclass=vec01772", "vec01772 / načasovat (v41cmvB)")</f>
        <v>vec01772 / načasovat (v41cmvB)</v>
      </c>
      <c r="Q378">
        <v>3.5049999999999998E-2</v>
      </c>
      <c r="R378" t="s">
        <v>29</v>
      </c>
      <c r="U378" t="str">
        <f>HYPERLINK("https://lindat.mff.cuni.cz/services/SynSemClass55/SynSemClass55.html?veclass=vec00166", "vec00166 / vypočítávat (v41opsB)")</f>
        <v>vec00166 / vypočítávat (v41opsB)</v>
      </c>
      <c r="V378">
        <v>3.3829999999999999E-2</v>
      </c>
      <c r="W378" t="s">
        <v>29</v>
      </c>
      <c r="Z378" t="str">
        <f>HYPERLINK("https://lindat.mff.cuni.cz/services/SynSemClass55/SynSemClass55.html?veclass=vec00526", "vec00526 / strukturovat (v41lmtA)")</f>
        <v>vec00526 / strukturovat (v41lmtA)</v>
      </c>
      <c r="AA378">
        <v>3.1510000000000003E-2</v>
      </c>
      <c r="AB378" t="s">
        <v>29</v>
      </c>
      <c r="AE378" t="str">
        <f>HYPERLINK("https://lindat.mff.cuni.cz/services/SynSemClass55/SynSemClass55.html?veclass=vec00778", "vec00778 / zaúčtovat (v41qrdA)")</f>
        <v>vec00778 / zaúčtovat (v41qrdA)</v>
      </c>
      <c r="AF378">
        <v>2.5819999999999999E-2</v>
      </c>
      <c r="AG378" t="s">
        <v>29</v>
      </c>
    </row>
    <row r="380" spans="1:33" x14ac:dyDescent="0.2">
      <c r="A380" t="str">
        <f>HYPERLINK("https://lindat.mff.cuni.cz/services/PDT-Vallex4.5/PDT-Vallex4.5.html?verb=rozpoltit", "rozpoltit")</f>
        <v>rozpoltit</v>
      </c>
      <c r="B380" t="str">
        <f>HYPERLINK("https://lindat.mff.cuni.cz/services/PDT-Vallex4.5/PDT-Vallex4.5.html?verb=rozpoltit#v41jvzA", "v41jvzA")</f>
        <v>v41jvzA</v>
      </c>
      <c r="E380">
        <v>58</v>
      </c>
      <c r="F380">
        <v>0.2145</v>
      </c>
      <c r="G380" s="1" t="s">
        <v>32</v>
      </c>
      <c r="K380" t="str">
        <f>HYPERLINK("https://lindat.mff.cuni.cz/services/SynSemClass55/SynSemClass55.html?veclass=vec00296", "vec00296 / rozdělit (v41jniC)")</f>
        <v>vec00296 / rozdělit (v41jniC)</v>
      </c>
      <c r="L380">
        <v>0.2145</v>
      </c>
      <c r="M380" t="s">
        <v>31</v>
      </c>
      <c r="P380" t="str">
        <f>HYPERLINK("https://lindat.mff.cuni.cz/services/SynSemClass55/SynSemClass55.html?veclass=vec00903", "vec00903 / rozcupovat (v41jmmA)")</f>
        <v>vec00903 / rozcupovat (v41jmmA)</v>
      </c>
      <c r="Q380">
        <v>0.15876000000000001</v>
      </c>
      <c r="R380" t="s">
        <v>29</v>
      </c>
      <c r="U380" t="str">
        <f>HYPERLINK("https://lindat.mff.cuni.cz/services/SynSemClass55/SynSemClass55.html?veclass=vec01305", "vec01305 / rozdělit se (v41jnjB)")</f>
        <v>vec01305 / rozdělit se (v41jnjB)</v>
      </c>
      <c r="V380">
        <v>6.1400000000000003E-2</v>
      </c>
      <c r="W380" t="s">
        <v>29</v>
      </c>
      <c r="Z380" t="str">
        <f>HYPERLINK("https://lindat.mff.cuni.cz/services/SynSemClass55/SynSemClass55.html?veclass=vec00910", "vec00910 / rozptýlit (v41jxiB)")</f>
        <v>vec00910 / rozptýlit (v41jxiB)</v>
      </c>
      <c r="AA380">
        <v>3.5389999999999998E-2</v>
      </c>
      <c r="AB380" t="s">
        <v>29</v>
      </c>
      <c r="AE380" t="str">
        <f>HYPERLINK("https://lindat.mff.cuni.cz/services/SynSemClass55/SynSemClass55.html?veclass=vec01871", "vec01871 / rozhýbat (v41jrcA)")</f>
        <v>vec01871 / rozhýbat (v41jrcA)</v>
      </c>
      <c r="AF380">
        <v>2.7199999999999998E-2</v>
      </c>
      <c r="AG380" t="s">
        <v>29</v>
      </c>
    </row>
    <row r="382" spans="1:33" x14ac:dyDescent="0.2">
      <c r="A382" t="str">
        <f>HYPERLINK("https://lindat.mff.cuni.cz/services/PDT-Vallex4.5/PDT-Vallex4.5.html?verb=rozpustit", "rozpustit")</f>
        <v>rozpustit</v>
      </c>
      <c r="B382" t="str">
        <f>HYPERLINK("https://lindat.mff.cuni.cz/services/PDT-Vallex4.5/PDT-Vallex4.5.html?verb=rozpustit#v41jxoB", "v41jxoB")</f>
        <v>v41jxoB</v>
      </c>
      <c r="E382">
        <v>345</v>
      </c>
      <c r="F382">
        <v>0.21890999999999999</v>
      </c>
      <c r="G382" s="1">
        <v>0</v>
      </c>
      <c r="I382" s="1" t="s">
        <v>154</v>
      </c>
      <c r="K382" t="str">
        <f>HYPERLINK("https://lindat.mff.cuni.cz/services/SynSemClass55/SynSemClass55.html?veclass=vec00198", "vec00198 / zrušit (v41rxfA)")</f>
        <v>vec00198 / zrušit (v41rxfA)</v>
      </c>
      <c r="L382">
        <v>0.21890999999999999</v>
      </c>
      <c r="M382" t="s">
        <v>29</v>
      </c>
      <c r="P382" t="str">
        <f>HYPERLINK("https://lindat.mff.cuni.cz/services/SynSemClass55/SynSemClass55.html?veclass=vec01305", "vec01305 / rozdělit se (v41jnjB)")</f>
        <v>vec01305 / rozdělit se (v41jnjB)</v>
      </c>
      <c r="Q382">
        <v>6.2120000000000002E-2</v>
      </c>
      <c r="R382" t="s">
        <v>29</v>
      </c>
      <c r="U382" t="str">
        <f>HYPERLINK("https://lindat.mff.cuni.cz/services/SynSemClass55/SynSemClass55.html?veclass=vec00910", "vec00910 / rozptýlit (v41jxiB)")</f>
        <v>vec00910 / rozptýlit (v41jxiB)</v>
      </c>
      <c r="V382">
        <v>5.1639999999999998E-2</v>
      </c>
      <c r="W382" t="s">
        <v>29</v>
      </c>
      <c r="Z382" t="str">
        <f>HYPERLINK("https://lindat.mff.cuni.cz/services/SynSemClass55/SynSemClass55.html?veclass=vec01103", "vec01103 / roztavit se (v41jztA)")</f>
        <v>vec01103 / roztavit se (v41jztA)</v>
      </c>
      <c r="AA382">
        <v>4.845E-2</v>
      </c>
      <c r="AB382" t="s">
        <v>29</v>
      </c>
      <c r="AE382" t="str">
        <f>HYPERLINK("https://lindat.mff.cuni.cz/services/SynSemClass55/SynSemClass55.html?veclass=vec00911", "vec00911 / rozptýlit se (v41jxjB)")</f>
        <v>vec00911 / rozptýlit se (v41jxjB)</v>
      </c>
      <c r="AF382">
        <v>2.7279999999999999E-2</v>
      </c>
      <c r="AG382" t="s">
        <v>29</v>
      </c>
    </row>
    <row r="384" spans="1:33" x14ac:dyDescent="0.2">
      <c r="A384" t="str">
        <f>HYPERLINK("https://lindat.mff.cuni.cz/services/PDT-Vallex4.5/PDT-Vallex4.5.html?verb=rozrůznit se", "rozrůznit se")</f>
        <v>rozrůznit se</v>
      </c>
      <c r="B384" t="str">
        <f>HYPERLINK("https://lindat.mff.cuni.cz/services/PDT-Vallex4.5/PDT-Vallex4.5.html?verb=rozrůznit se#v41jxwA", "v41jxwA")</f>
        <v>v41jxwA</v>
      </c>
      <c r="E384">
        <v>1</v>
      </c>
      <c r="F384">
        <v>0.19556999999999999</v>
      </c>
      <c r="G384" s="1">
        <v>0</v>
      </c>
      <c r="I384" s="1" t="s">
        <v>155</v>
      </c>
      <c r="K384" t="str">
        <f>HYPERLINK("https://lindat.mff.cuni.cz/services/SynSemClass55/SynSemClass55.html?veclass=vec00829", "vec00829 / kontrastovat (v41brgA)")</f>
        <v>vec00829 / kontrastovat (v41brgA)</v>
      </c>
      <c r="L384">
        <v>0.19556999999999999</v>
      </c>
      <c r="M384" t="s">
        <v>29</v>
      </c>
      <c r="P384" t="str">
        <f>HYPERLINK("https://lindat.mff.cuni.cz/services/SynSemClass55/SynSemClass55.html?veclass=vec01305", "vec01305 / rozdělit se (v41jnjB)")</f>
        <v>vec01305 / rozdělit se (v41jnjB)</v>
      </c>
      <c r="Q384">
        <v>7.9409999999999994E-2</v>
      </c>
      <c r="R384" t="s">
        <v>29</v>
      </c>
      <c r="U384" t="str">
        <f>HYPERLINK("https://lindat.mff.cuni.cz/services/SynSemClass55/SynSemClass55.html?veclass=vec00849", "vec00849 / odchýlit se (v41easA)")</f>
        <v>vec00849 / odchýlit se (v41easA)</v>
      </c>
      <c r="V384">
        <v>6.9559999999999997E-2</v>
      </c>
      <c r="W384" t="s">
        <v>29</v>
      </c>
      <c r="Z384" t="str">
        <f>HYPERLINK("https://lindat.mff.cuni.cz/services/SynSemClass55/SynSemClass55.html?veclass=vec01943", "vec01943 / vylučovat se (v41ojiA)")</f>
        <v>vec01943 / vylučovat se (v41ojiA)</v>
      </c>
      <c r="AA384">
        <v>5.9330000000000001E-2</v>
      </c>
      <c r="AB384" t="s">
        <v>29</v>
      </c>
      <c r="AE384" t="str">
        <f>HYPERLINK("https://lindat.mff.cuni.cz/services/SynSemClass55/SynSemClass55.html?veclass=vec00296", "vec00296 / rozdělit (v41jniC)")</f>
        <v>vec00296 / rozdělit (v41jniC)</v>
      </c>
      <c r="AF384">
        <v>5.8409999999999997E-2</v>
      </c>
      <c r="AG384" t="s">
        <v>29</v>
      </c>
    </row>
    <row r="386" spans="1:33" x14ac:dyDescent="0.2">
      <c r="A386" t="str">
        <f>HYPERLINK("https://lindat.mff.cuni.cz/services/PDT-Vallex4.5/PDT-Vallex4.5.html?verb=rozsvěcovat se", "rozsvěcovat se")</f>
        <v>rozsvěcovat se</v>
      </c>
      <c r="B386" t="str">
        <f>HYPERLINK("https://lindat.mff.cuni.cz/services/PDT-Vallex4.5/PDT-Vallex4.5.html?verb=rozsvěcovat se#v41jypA", "v41jypA")</f>
        <v>v41jypA</v>
      </c>
      <c r="E386">
        <v>150</v>
      </c>
      <c r="F386">
        <v>0.19811000000000001</v>
      </c>
      <c r="G386" s="1">
        <v>0</v>
      </c>
      <c r="I386" s="1" t="s">
        <v>156</v>
      </c>
      <c r="K386" t="str">
        <f>HYPERLINK("https://lindat.mff.cuni.cz/services/SynSemClass55/SynSemClass55.html?veclass=vec01173", "vec01173 / zářit (v41qjnB)")</f>
        <v>vec01173 / zářit (v41qjnB)</v>
      </c>
      <c r="L386">
        <v>0.19811000000000001</v>
      </c>
      <c r="M386" t="s">
        <v>29</v>
      </c>
      <c r="P386" t="str">
        <f>HYPERLINK("https://lindat.mff.cuni.cz/services/SynSemClass55/SynSemClass55.html?veclass=vec00986", "vec00986 / zapálit (v41qecA)")</f>
        <v>vec00986 / zapálit (v41qecA)</v>
      </c>
      <c r="Q386">
        <v>0.14063999999999999</v>
      </c>
      <c r="R386" t="s">
        <v>29</v>
      </c>
      <c r="U386" t="str">
        <f>HYPERLINK("https://lindat.mff.cuni.cz/services/SynSemClass55/SynSemClass55.html?veclass=vec00182", "vec00182 / zapínat (v41qepA)")</f>
        <v>vec00182 / zapínat (v41qepA)</v>
      </c>
      <c r="V386">
        <v>8.4570000000000006E-2</v>
      </c>
      <c r="W386" t="s">
        <v>29</v>
      </c>
      <c r="Z386" t="str">
        <f>HYPERLINK("https://lindat.mff.cuni.cz/services/SynSemClass55/SynSemClass55.html?veclass=vec01517", "vec01517 / rozhořet se (v41jquA)")</f>
        <v>vec01517 / rozhořet se (v41jquA)</v>
      </c>
      <c r="AA386">
        <v>3.5110000000000002E-2</v>
      </c>
      <c r="AB386" t="s">
        <v>29</v>
      </c>
      <c r="AE386" t="str">
        <f>HYPERLINK("https://lindat.mff.cuni.cz/services/SynSemClass55/SynSemClass55.html?veclass=vec01215", "vec01215 / hořet (v41axjA)")</f>
        <v>vec01215 / hořet (v41axjA)</v>
      </c>
      <c r="AF386">
        <v>2.7029999999999998E-2</v>
      </c>
      <c r="AG386" t="s">
        <v>29</v>
      </c>
    </row>
    <row r="388" spans="1:33" x14ac:dyDescent="0.2">
      <c r="A388" t="str">
        <f>HYPERLINK("https://lindat.mff.cuni.cz/services/PDT-Vallex4.5/PDT-Vallex4.5.html?verb=roztříštit", "roztříštit")</f>
        <v>roztříštit</v>
      </c>
      <c r="B388" t="str">
        <f>HYPERLINK("https://lindat.mff.cuni.cz/services/PDT-Vallex4.5/PDT-Vallex4.5.html?verb=roztříštit#v41kamA", "v41kamA")</f>
        <v>v41kamA</v>
      </c>
      <c r="E388">
        <v>402</v>
      </c>
      <c r="F388">
        <v>0.24262</v>
      </c>
      <c r="G388" s="1" t="s">
        <v>32</v>
      </c>
      <c r="K388" t="str">
        <f>HYPERLINK("https://lindat.mff.cuni.cz/services/SynSemClass55/SynSemClass55.html?veclass=vec00903", "vec00903 / rozcupovat (v41jmmA)")</f>
        <v>vec00903 / rozcupovat (v41jmmA)</v>
      </c>
      <c r="L388">
        <v>0.24262</v>
      </c>
      <c r="M388" t="s">
        <v>31</v>
      </c>
      <c r="P388" t="str">
        <f>HYPERLINK("https://lindat.mff.cuni.cz/services/SynSemClass55/SynSemClass55.html?veclass=vec00681", "vec00681 / prasknout (v41gykA)")</f>
        <v>vec00681 / prasknout (v41gykA)</v>
      </c>
      <c r="Q388">
        <v>7.8340000000000007E-2</v>
      </c>
      <c r="R388" t="s">
        <v>29</v>
      </c>
      <c r="U388" t="str">
        <f>HYPERLINK("https://lindat.mff.cuni.cz/services/SynSemClass55/SynSemClass55.html?veclass=vec01305", "vec01305 / rozdělit se (v41jnjB)")</f>
        <v>vec01305 / rozdělit se (v41jnjB)</v>
      </c>
      <c r="V388">
        <v>6.7339999999999997E-2</v>
      </c>
      <c r="W388" t="s">
        <v>29</v>
      </c>
      <c r="Z388" t="str">
        <f>HYPERLINK("https://lindat.mff.cuni.cz/services/SynSemClass55/SynSemClass55.html?veclass=vec00296", "vec00296 / rozdělit (v41jniC)")</f>
        <v>vec00296 / rozdělit (v41jniC)</v>
      </c>
      <c r="AA388">
        <v>4.8230000000000002E-2</v>
      </c>
      <c r="AB388" t="s">
        <v>29</v>
      </c>
      <c r="AE388" t="str">
        <f>HYPERLINK("https://lindat.mff.cuni.cz/services/SynSemClass55/SynSemClass55.html?veclass=vec01286", "vec01286 / přerušit (v41ihsD)")</f>
        <v>vec01286 / přerušit (v41ihsD)</v>
      </c>
      <c r="AF388">
        <v>3.2890000000000003E-2</v>
      </c>
      <c r="AG388" t="s">
        <v>29</v>
      </c>
    </row>
    <row r="389" spans="1:33" x14ac:dyDescent="0.2">
      <c r="A389" t="str">
        <f>HYPERLINK("https://lindat.mff.cuni.cz/services/PDT-Vallex4.5/PDT-Vallex4.5.html?verb=roztříštit", "roztříštit")</f>
        <v>roztříštit</v>
      </c>
      <c r="B389" t="str">
        <f>HYPERLINK("https://lindat.mff.cuni.cz/services/PDT-Vallex4.5/PDT-Vallex4.5.html?verb=roztříštit#v41kamB", "v41kamB")</f>
        <v>v41kamB</v>
      </c>
      <c r="E389">
        <v>402</v>
      </c>
      <c r="F389">
        <v>0.24262</v>
      </c>
      <c r="G389" s="1">
        <v>0</v>
      </c>
      <c r="I389" s="1" t="s">
        <v>157</v>
      </c>
      <c r="K389" t="str">
        <f>HYPERLINK("https://lindat.mff.cuni.cz/services/SynSemClass55/SynSemClass55.html?veclass=vec00903", "vec00903 / rozcupovat (v41jmmA)")</f>
        <v>vec00903 / rozcupovat (v41jmmA)</v>
      </c>
      <c r="L389">
        <v>0.24262</v>
      </c>
      <c r="M389" t="s">
        <v>29</v>
      </c>
      <c r="P389" t="str">
        <f>HYPERLINK("https://lindat.mff.cuni.cz/services/SynSemClass55/SynSemClass55.html?veclass=vec00681", "vec00681 / prasknout (v41gykA)")</f>
        <v>vec00681 / prasknout (v41gykA)</v>
      </c>
      <c r="Q389">
        <v>7.8340000000000007E-2</v>
      </c>
      <c r="R389" t="s">
        <v>29</v>
      </c>
      <c r="U389" t="str">
        <f>HYPERLINK("https://lindat.mff.cuni.cz/services/SynSemClass55/SynSemClass55.html?veclass=vec01305", "vec01305 / rozdělit se (v41jnjB)")</f>
        <v>vec01305 / rozdělit se (v41jnjB)</v>
      </c>
      <c r="V389">
        <v>6.7339999999999997E-2</v>
      </c>
      <c r="W389" t="s">
        <v>29</v>
      </c>
      <c r="Z389" t="str">
        <f>HYPERLINK("https://lindat.mff.cuni.cz/services/SynSemClass55/SynSemClass55.html?veclass=vec00296", "vec00296 / rozdělit (v41jniC)")</f>
        <v>vec00296 / rozdělit (v41jniC)</v>
      </c>
      <c r="AA389">
        <v>4.8230000000000002E-2</v>
      </c>
      <c r="AB389" t="s">
        <v>29</v>
      </c>
      <c r="AE389" t="str">
        <f>HYPERLINK("https://lindat.mff.cuni.cz/services/SynSemClass55/SynSemClass55.html?veclass=vec01286", "vec01286 / přerušit (v41ihsD)")</f>
        <v>vec01286 / přerušit (v41ihsD)</v>
      </c>
      <c r="AF389">
        <v>3.2890000000000003E-2</v>
      </c>
      <c r="AG389" t="s">
        <v>29</v>
      </c>
    </row>
    <row r="391" spans="1:33" x14ac:dyDescent="0.2">
      <c r="A391" t="str">
        <f>HYPERLINK("https://lindat.mff.cuni.cz/services/PDT-Vallex4.5/PDT-Vallex4.5.html?verb=rozutíkávat se", "rozutíkávat se")</f>
        <v>rozutíkávat se</v>
      </c>
      <c r="B391" t="str">
        <f>HYPERLINK("https://lindat.mff.cuni.cz/services/PDT-Vallex4.5/PDT-Vallex4.5.html?verb=rozutíkávat se#v41karA", "v41karA")</f>
        <v>v41karA</v>
      </c>
      <c r="E391">
        <v>3</v>
      </c>
      <c r="F391">
        <v>0.19363</v>
      </c>
      <c r="G391" s="1">
        <v>0</v>
      </c>
      <c r="I391" s="1" t="s">
        <v>158</v>
      </c>
      <c r="K391" t="str">
        <f>HYPERLINK("https://lindat.mff.cuni.cz/services/SynSemClass55/SynSemClass55.html?veclass=vec00048", "vec00048 / odejít (v41dyrA)")</f>
        <v>vec00048 / odejít (v41dyrA)</v>
      </c>
      <c r="L391">
        <v>0.19363</v>
      </c>
      <c r="M391" t="s">
        <v>29</v>
      </c>
      <c r="P391" t="str">
        <f>HYPERLINK("https://lindat.mff.cuni.cz/services/SynSemClass55/SynSemClass55.html?veclass=vec01520", "vec01520 / rozpínat se (v41jvhA)")</f>
        <v>vec01520 / rozpínat se (v41jvhA)</v>
      </c>
      <c r="Q391">
        <v>7.6050000000000006E-2</v>
      </c>
      <c r="R391" t="s">
        <v>29</v>
      </c>
      <c r="U391" t="str">
        <f>HYPERLINK("https://lindat.mff.cuni.cz/services/SynSemClass55/SynSemClass55.html?veclass=vec00811", "vec00811 / dostat se (v41afyG)")</f>
        <v>vec00811 / dostat se (v41afyG)</v>
      </c>
      <c r="V391">
        <v>5.8369999999999998E-2</v>
      </c>
      <c r="W391" t="s">
        <v>29</v>
      </c>
      <c r="Z391" t="str">
        <f>HYPERLINK("https://lindat.mff.cuni.cz/services/SynSemClass55/SynSemClass55.html?veclass=vec00922", "vec00922 / skotačit (v41kriA)")</f>
        <v>vec00922 / skotačit (v41kriA)</v>
      </c>
      <c r="AA391">
        <v>5.466E-2</v>
      </c>
      <c r="AB391" t="s">
        <v>29</v>
      </c>
      <c r="AE391" t="str">
        <f>HYPERLINK("https://lindat.mff.cuni.cz/services/SynSemClass55/SynSemClass55.html?veclass=vec00665", "vec00665 / plazit se (v41fnbA)")</f>
        <v>vec00665 / plazit se (v41fnbA)</v>
      </c>
      <c r="AF391">
        <v>4.7809999999999998E-2</v>
      </c>
      <c r="AG391" t="s">
        <v>29</v>
      </c>
    </row>
    <row r="393" spans="1:33" x14ac:dyDescent="0.2">
      <c r="A393" t="str">
        <f>HYPERLINK("https://lindat.mff.cuni.cz/services/PDT-Vallex4.5/PDT-Vallex4.5.html?verb=rozuzlit", "rozuzlit")</f>
        <v>rozuzlit</v>
      </c>
      <c r="B393" t="str">
        <f>HYPERLINK("https://lindat.mff.cuni.cz/services/PDT-Vallex4.5/PDT-Vallex4.5.html?verb=rozuzlit#v41katA", "v41katA")</f>
        <v>v41katA</v>
      </c>
      <c r="E393">
        <v>8</v>
      </c>
      <c r="F393">
        <v>0.42531999999999998</v>
      </c>
      <c r="G393" s="1" t="s">
        <v>32</v>
      </c>
      <c r="I393" s="1" t="s">
        <v>159</v>
      </c>
      <c r="K393" t="str">
        <f>HYPERLINK("https://lindat.mff.cuni.cz/services/SynSemClass55/SynSemClass55.html?veclass=vec00301", "vec00301 / řešit (v41kdxB)")</f>
        <v>vec00301 / řešit (v41kdxB)</v>
      </c>
      <c r="L393">
        <v>0.42531999999999998</v>
      </c>
      <c r="M393" t="s">
        <v>31</v>
      </c>
      <c r="P393" t="str">
        <f>HYPERLINK("https://lindat.mff.cuni.cz/services/SynSemClass55/SynSemClass55.html?veclass=vec00910", "vec00910 / rozptýlit (v41jxiB)")</f>
        <v>vec00910 / rozptýlit (v41jxiB)</v>
      </c>
      <c r="Q393">
        <v>9.7670000000000007E-2</v>
      </c>
      <c r="R393" t="s">
        <v>29</v>
      </c>
      <c r="U393" t="str">
        <f>HYPERLINK("https://lindat.mff.cuni.cz/services/SynSemClass55/SynSemClass55.html?veclass=vec01518", "vec01518 / rozhostit se (v41jqvA)")</f>
        <v>vec01518 / rozhostit se (v41jqvA)</v>
      </c>
      <c r="V393">
        <v>4.6120000000000001E-2</v>
      </c>
      <c r="W393" t="s">
        <v>29</v>
      </c>
      <c r="Z393" t="str">
        <f>HYPERLINK("https://lindat.mff.cuni.cz/services/SynSemClass55/SynSemClass55.html?veclass=vec01714", "vec01714 / zkřivit (v41rhlA)")</f>
        <v>vec01714 / zkřivit (v41rhlA)</v>
      </c>
      <c r="AA393">
        <v>4.4940000000000001E-2</v>
      </c>
      <c r="AB393" t="s">
        <v>29</v>
      </c>
      <c r="AE393" t="str">
        <f>HYPERLINK("https://lindat.mff.cuni.cz/services/SynSemClass55/SynSemClass55.html?veclass=vec01576", "vec01576 / narovnat (v41czjA)")</f>
        <v>vec01576 / narovnat (v41czjA)</v>
      </c>
      <c r="AF393">
        <v>3.5909999999999997E-2</v>
      </c>
      <c r="AG393" t="s">
        <v>29</v>
      </c>
    </row>
    <row r="395" spans="1:33" x14ac:dyDescent="0.2">
      <c r="A395" t="str">
        <f>HYPERLINK("https://lindat.mff.cuni.cz/services/PDT-Vallex4.5/PDT-Vallex4.5.html?verb=rozvíjet", "rozvíjet")</f>
        <v>rozvíjet</v>
      </c>
      <c r="B395" t="str">
        <f>HYPERLINK("https://lindat.mff.cuni.cz/services/PDT-Vallex4.5/PDT-Vallex4.5.html?verb=rozvíjet#v41kbiA", "v41kbiA")</f>
        <v>v41kbiA</v>
      </c>
      <c r="E395">
        <v>415</v>
      </c>
      <c r="F395">
        <v>0.29404999999999998</v>
      </c>
      <c r="G395" s="1">
        <v>0</v>
      </c>
      <c r="I395" s="1" t="s">
        <v>160</v>
      </c>
      <c r="K395" t="str">
        <f>HYPERLINK("https://lindat.mff.cuni.cz/services/SynSemClass55/SynSemClass55.html?veclass=vec00510", "vec00510 / rozvíjet se (v41kbjB)")</f>
        <v>vec00510 / rozvíjet se (v41kbjB)</v>
      </c>
      <c r="L395">
        <v>0.29404999999999998</v>
      </c>
      <c r="M395" t="s">
        <v>29</v>
      </c>
      <c r="P395" t="str">
        <f>HYPERLINK("https://lindat.mff.cuni.cz/services/SynSemClass55/SynSemClass55.html?veclass=vec00539", "vec00539 / upevnit (v41mquD)")</f>
        <v>vec00539 / upevnit (v41mquD)</v>
      </c>
      <c r="Q395">
        <v>0.18392</v>
      </c>
      <c r="R395" t="s">
        <v>29</v>
      </c>
      <c r="U395" t="str">
        <f>HYPERLINK("https://lindat.mff.cuni.cz/services/SynSemClass55/SynSemClass55.html?veclass=vec00108", "vec00108 / rozvést (v41kbdA)")</f>
        <v>vec00108 / rozvést (v41kbdA)</v>
      </c>
      <c r="V395">
        <v>7.8350000000000003E-2</v>
      </c>
      <c r="W395" t="s">
        <v>29</v>
      </c>
      <c r="Z395" t="str">
        <f>HYPERLINK("https://lindat.mff.cuni.cz/services/SynSemClass55/SynSemClass55.html?veclass=vec00360", "vec00360 / vyvinout (v41pgrA)")</f>
        <v>vec00360 / vyvinout (v41pgrA)</v>
      </c>
      <c r="AA395">
        <v>4.546E-2</v>
      </c>
      <c r="AB395" t="s">
        <v>29</v>
      </c>
      <c r="AE395" t="str">
        <f>HYPERLINK("https://lindat.mff.cuni.cz/services/SynSemClass55/SynSemClass55.html?veclass=vec00386", "vec00386 / zlepšit (v41rihA)")</f>
        <v>vec00386 / zlepšit (v41rihA)</v>
      </c>
      <c r="AF395">
        <v>2.3279999999999999E-2</v>
      </c>
      <c r="AG395" t="s">
        <v>29</v>
      </c>
    </row>
    <row r="397" spans="1:33" x14ac:dyDescent="0.2">
      <c r="A397" t="str">
        <f>HYPERLINK("https://lindat.mff.cuni.cz/services/PDT-Vallex4.5/PDT-Vallex4.5.html?verb=rozvíjet se", "rozvíjet se")</f>
        <v>rozvíjet se</v>
      </c>
      <c r="B397" t="str">
        <f>HYPERLINK("https://lindat.mff.cuni.cz/services/PDT-Vallex4.5/PDT-Vallex4.5.html?verb=rozvíjet se#v41kbjA", "v41kbjA")</f>
        <v>v41kbjA</v>
      </c>
      <c r="E397">
        <v>295</v>
      </c>
      <c r="F397">
        <v>0.40845999999999999</v>
      </c>
      <c r="G397" s="1" t="s">
        <v>161</v>
      </c>
      <c r="K397" t="str">
        <f>HYPERLINK("https://lindat.mff.cuni.cz/services/SynSemClass55/SynSemClass55.html?veclass=vec00510", "vec00510 / rozvíjet se (v41kbjB)")</f>
        <v>vec00510 / rozvíjet se (v41kbjB)</v>
      </c>
      <c r="L397">
        <v>0.40845999999999999</v>
      </c>
      <c r="M397" t="s">
        <v>29</v>
      </c>
      <c r="P397" t="str">
        <f>HYPERLINK("https://lindat.mff.cuni.cz/services/SynSemClass55/SynSemClass55.html?veclass=vec00539", "vec00539 / upevnit (v41mquD)")</f>
        <v>vec00539 / upevnit (v41mquD)</v>
      </c>
      <c r="Q397">
        <v>0.14271</v>
      </c>
      <c r="R397" t="s">
        <v>29</v>
      </c>
      <c r="U397" t="str">
        <f>HYPERLINK("https://lindat.mff.cuni.cz/services/SynSemClass55/SynSemClass55.html?veclass=vec00108", "vec00108 / rozvést (v41kbdA)")</f>
        <v>vec00108 / rozvést (v41kbdA)</v>
      </c>
      <c r="V397">
        <v>5.391E-2</v>
      </c>
      <c r="W397" t="s">
        <v>29</v>
      </c>
      <c r="Z397" t="str">
        <f>HYPERLINK("https://lindat.mff.cuni.cz/services/SynSemClass55/SynSemClass55.html?veclass=vec00360", "vec00360 / vyvinout (v41pgrA)")</f>
        <v>vec00360 / vyvinout (v41pgrA)</v>
      </c>
      <c r="AA397">
        <v>3.5549999999999998E-2</v>
      </c>
      <c r="AB397" t="s">
        <v>29</v>
      </c>
      <c r="AE397" t="str">
        <f>HYPERLINK("https://lindat.mff.cuni.cz/services/SynSemClass55/SynSemClass55.html?veclass=vec00261", "vec00261 / pokračovat (v41gbkD)")</f>
        <v>vec00261 / pokračovat (v41gbkD)</v>
      </c>
      <c r="AF397">
        <v>2.5059999999999999E-2</v>
      </c>
      <c r="AG397" t="s">
        <v>29</v>
      </c>
    </row>
    <row r="399" spans="1:33" x14ac:dyDescent="0.2">
      <c r="A399" t="str">
        <f>HYPERLINK("https://lindat.mff.cuni.cz/services/PDT-Vallex4.5/PDT-Vallex4.5.html?verb=rýžovat", "rýžovat")</f>
        <v>rýžovat</v>
      </c>
      <c r="B399" t="str">
        <f>HYPERLINK("https://lindat.mff.cuni.cz/services/PDT-Vallex4.5/PDT-Vallex4.5.html?verb=rýžovat#v41kdgA", "v41kdgA")</f>
        <v>v41kdgA</v>
      </c>
      <c r="E399">
        <v>10</v>
      </c>
      <c r="F399">
        <v>0.30188999999999999</v>
      </c>
      <c r="G399" s="1" t="s">
        <v>162</v>
      </c>
      <c r="I399" s="1" t="s">
        <v>60</v>
      </c>
      <c r="K399" t="str">
        <f>HYPERLINK("https://lindat.mff.cuni.cz/services/SynSemClass55/SynSemClass55.html?veclass=vec01105", "vec01105 / rýžovat (v41kdgB)")</f>
        <v>vec01105 / rýžovat (v41kdgB)</v>
      </c>
      <c r="L399">
        <v>0.30188999999999999</v>
      </c>
      <c r="M399" t="s">
        <v>29</v>
      </c>
      <c r="P399" t="str">
        <f>HYPERLINK("https://lindat.mff.cuni.cz/services/SynSemClass55/SynSemClass55.html?veclass=vec01216", "vec01216 / hrabat se (v41aygA)")</f>
        <v>vec01216 / hrabat se (v41aygA)</v>
      </c>
      <c r="Q399">
        <v>5.3600000000000002E-2</v>
      </c>
      <c r="R399" t="s">
        <v>29</v>
      </c>
      <c r="U399" t="str">
        <f>HYPERLINK("https://lindat.mff.cuni.cz/services/SynSemClass55/SynSemClass55.html?veclass=vec01491", "vec01491 / fasovat (v41appA)")</f>
        <v>vec01491 / fasovat (v41appA)</v>
      </c>
      <c r="V399">
        <v>4.41E-2</v>
      </c>
      <c r="W399" t="s">
        <v>29</v>
      </c>
      <c r="Z399" t="str">
        <f>HYPERLINK("https://lindat.mff.cuni.cz/services/SynSemClass55/SynSemClass55.html?veclass=vec00648", "vec00648 / odebrat (v41dygC)")</f>
        <v>vec00648 / odebrat (v41dygC)</v>
      </c>
      <c r="AA399">
        <v>4.2720000000000001E-2</v>
      </c>
      <c r="AB399" t="s">
        <v>29</v>
      </c>
      <c r="AE399" t="str">
        <f>HYPERLINK("https://lindat.mff.cuni.cz/services/SynSemClass55/SynSemClass55.html?veclass=vec00443", "vec00443 / nashromáždit (v41dbbA)")</f>
        <v>vec00443 / nashromáždit (v41dbbA)</v>
      </c>
      <c r="AF399">
        <v>4.2610000000000002E-2</v>
      </c>
      <c r="AG399" t="s">
        <v>29</v>
      </c>
    </row>
    <row r="401" spans="1:33" x14ac:dyDescent="0.2">
      <c r="A401" t="str">
        <f>HYPERLINK("https://lindat.mff.cuni.cz/services/PDT-Vallex4.5/PDT-Vallex4.5.html?verb=řešit", "řešit")</f>
        <v>řešit</v>
      </c>
      <c r="B401" t="str">
        <f>HYPERLINK("https://lindat.mff.cuni.cz/services/PDT-Vallex4.5/PDT-Vallex4.5.html?verb=řešit#v41kdxA", "v41kdxA")</f>
        <v>v41kdxA</v>
      </c>
      <c r="E401">
        <v>712</v>
      </c>
      <c r="F401">
        <v>0.94252000000000002</v>
      </c>
      <c r="G401" s="1" t="s">
        <v>163</v>
      </c>
      <c r="K401" t="str">
        <f>HYPERLINK("https://lindat.mff.cuni.cz/services/SynSemClass55/SynSemClass55.html?veclass=vec00301", "vec00301 / řešit (v41kdxB)")</f>
        <v>vec00301 / řešit (v41kdxB)</v>
      </c>
      <c r="L401">
        <v>0.94252000000000002</v>
      </c>
      <c r="M401" t="s">
        <v>29</v>
      </c>
      <c r="P401" t="str">
        <f>HYPERLINK("https://lindat.mff.cuni.cz/services/SynSemClass55/SynSemClass55.html?veclass=vec01468", "vec01468 / vyrovnat si (v41oubA)")</f>
        <v>vec01468 / vyrovnat si (v41oubA)</v>
      </c>
      <c r="Q401">
        <v>4.274E-2</v>
      </c>
      <c r="R401" t="s">
        <v>29</v>
      </c>
      <c r="U401" t="str">
        <f>HYPERLINK("https://lindat.mff.cuni.cz/services/SynSemClass55/SynSemClass55.html?veclass=vec00205", "vec00205 / čelit (v41mwA)")</f>
        <v>vec00205 / čelit (v41mwA)</v>
      </c>
      <c r="V401">
        <v>1.4370000000000001E-2</v>
      </c>
      <c r="W401" t="s">
        <v>29</v>
      </c>
      <c r="Z401" t="str">
        <f>HYPERLINK("https://lindat.mff.cuni.cz/services/SynSemClass55/SynSemClass55.html?veclass=vec01839", "vec01839 / propírat (v41hjzA)")</f>
        <v>vec01839 / propírat (v41hjzA)</v>
      </c>
      <c r="AA401">
        <v>1.1339999999999999E-2</v>
      </c>
      <c r="AB401" t="s">
        <v>29</v>
      </c>
      <c r="AE401" t="str">
        <f>HYPERLINK("https://lindat.mff.cuni.cz/services/SynSemClass55/SynSemClass55.html?veclass=vec01458", "vec01458 / věnovat se (v41njfA)")</f>
        <v>vec01458 / věnovat se (v41njfA)</v>
      </c>
      <c r="AF401">
        <v>1.12E-2</v>
      </c>
      <c r="AG401" t="s">
        <v>29</v>
      </c>
    </row>
    <row r="403" spans="1:33" x14ac:dyDescent="0.2">
      <c r="A403" t="str">
        <f>HYPERLINK("https://lindat.mff.cuni.cz/services/PDT-Vallex4.5/PDT-Vallex4.5.html?verb=sepisovat", "sepisovat")</f>
        <v>sepisovat</v>
      </c>
      <c r="B403" t="str">
        <f>HYPERLINK("https://lindat.mff.cuni.cz/services/PDT-Vallex4.5/PDT-Vallex4.5.html?verb=sepisovat#v41kiwB", "v41kiwB")</f>
        <v>v41kiwB</v>
      </c>
      <c r="E403">
        <v>189</v>
      </c>
      <c r="F403">
        <v>0.86189000000000004</v>
      </c>
      <c r="G403" s="1" t="s">
        <v>32</v>
      </c>
      <c r="K403" t="str">
        <f>HYPERLINK("https://lindat.mff.cuni.cz/services/SynSemClass55/SynSemClass55.html?veclass=vec00037", "vec00037 / napsat (v41cyqJ)")</f>
        <v>vec00037 / napsat (v41cyqJ)</v>
      </c>
      <c r="L403">
        <v>0.86189000000000004</v>
      </c>
      <c r="M403" t="s">
        <v>31</v>
      </c>
      <c r="P403" t="str">
        <f>HYPERLINK("https://lindat.mff.cuni.cz/services/SynSemClass55/SynSemClass55.html?veclass=vec01249", "vec01249 / opisovat (v41evuA)")</f>
        <v>vec01249 / opisovat (v41evuA)</v>
      </c>
      <c r="Q403">
        <v>4.0800000000000003E-2</v>
      </c>
      <c r="R403" t="s">
        <v>29</v>
      </c>
      <c r="U403" t="str">
        <f>HYPERLINK("https://lindat.mff.cuni.cz/services/SynSemClass55/SynSemClass55.html?veclass=vec01345", "vec01345 / vepsat (v41njiA)")</f>
        <v>vec01345 / vepsat (v41njiA)</v>
      </c>
      <c r="V403">
        <v>2.777E-2</v>
      </c>
      <c r="W403" t="s">
        <v>29</v>
      </c>
      <c r="Z403" t="str">
        <f>HYPERLINK("https://lindat.mff.cuni.cz/services/SynSemClass55/SynSemClass55.html?veclass=vec00084", "vec00084 / produkovat (v41hcjA)")</f>
        <v>vec00084 / produkovat (v41hcjA)</v>
      </c>
      <c r="AA403">
        <v>1.8870000000000001E-2</v>
      </c>
      <c r="AB403" t="s">
        <v>29</v>
      </c>
      <c r="AE403" t="str">
        <f>HYPERLINK("https://lindat.mff.cuni.cz/services/SynSemClass55/SynSemClass55.html?veclass=vec01224", "vec01224 / listovat (v41cbiA)")</f>
        <v>vec01224 / listovat (v41cbiA)</v>
      </c>
      <c r="AF403">
        <v>1.583E-2</v>
      </c>
      <c r="AG403" t="s">
        <v>29</v>
      </c>
    </row>
    <row r="405" spans="1:33" x14ac:dyDescent="0.2">
      <c r="A405" t="str">
        <f>HYPERLINK("https://lindat.mff.cuni.cz/services/PDT-Vallex4.5/PDT-Vallex4.5.html?verb=sesmolit", "sesmolit")</f>
        <v>sesmolit</v>
      </c>
      <c r="B405" t="str">
        <f>HYPERLINK("https://lindat.mff.cuni.cz/services/PDT-Vallex4.5/PDT-Vallex4.5.html?verb=sesmolit#v41kkaB", "v41kkaB")</f>
        <v>v41kkaB</v>
      </c>
      <c r="E405">
        <v>24</v>
      </c>
      <c r="F405">
        <v>6.9720000000000004E-2</v>
      </c>
      <c r="G405" s="1" t="s">
        <v>71</v>
      </c>
      <c r="I405" s="1" t="s">
        <v>106</v>
      </c>
      <c r="K405" t="str">
        <f>HYPERLINK("https://lindat.mff.cuni.cz/services/SynSemClass55/SynSemClass55.html?veclass=vec01575", "vec01575 / namluvit (v41cvkC)")</f>
        <v>vec01575 / namluvit (v41cvkC)</v>
      </c>
      <c r="L405">
        <v>6.9720000000000004E-2</v>
      </c>
      <c r="M405" t="s">
        <v>29</v>
      </c>
      <c r="P405" t="str">
        <f>HYPERLINK("https://lindat.mff.cuni.cz/services/SynSemClass55/SynSemClass55.html?veclass=vec00380", "vec00380 / zbavit se (v41qvrA)")</f>
        <v>vec00380 / zbavit se (v41qvrA)</v>
      </c>
      <c r="Q405">
        <v>5.4789999999999998E-2</v>
      </c>
      <c r="R405" t="s">
        <v>29</v>
      </c>
      <c r="U405" t="str">
        <f>HYPERLINK("https://lindat.mff.cuni.cz/services/SynSemClass55/SynSemClass55.html?veclass=vec01444", "vec01444 / skládat (v41kqdC)")</f>
        <v>vec01444 / skládat (v41kqdC)</v>
      </c>
      <c r="V405">
        <v>5.3699999999999998E-2</v>
      </c>
      <c r="W405" t="s">
        <v>29</v>
      </c>
      <c r="Z405" t="str">
        <f>HYPERLINK("https://lindat.mff.cuni.cz/services/SynSemClass55/SynSemClass55.html?veclass=vec00347", "vec00347 / vinit (v41nllA)")</f>
        <v>vec00347 / vinit (v41nllA)</v>
      </c>
      <c r="AA405">
        <v>4.351E-2</v>
      </c>
      <c r="AB405" t="s">
        <v>29</v>
      </c>
      <c r="AE405" t="str">
        <f>HYPERLINK("https://lindat.mff.cuni.cz/services/SynSemClass55/SynSemClass55.html?veclass=vec01167", "vec01167 / zabudovat (v41pqdB)")</f>
        <v>vec01167 / zabudovat (v41pqdB)</v>
      </c>
      <c r="AF405">
        <v>3.8769999999999999E-2</v>
      </c>
      <c r="AG405" t="s">
        <v>29</v>
      </c>
    </row>
    <row r="407" spans="1:33" x14ac:dyDescent="0.2">
      <c r="A407" t="str">
        <f>HYPERLINK("https://lindat.mff.cuni.cz/services/PDT-Vallex4.5/PDT-Vallex4.5.html?verb=sešikovat", "sešikovat")</f>
        <v>sešikovat</v>
      </c>
      <c r="B407" t="str">
        <f>HYPERLINK("https://lindat.mff.cuni.cz/services/PDT-Vallex4.5/PDT-Vallex4.5.html?verb=sešikovat#v41kkxA", "v41kkxA")</f>
        <v>v41kkxA</v>
      </c>
      <c r="E407">
        <v>22</v>
      </c>
      <c r="F407">
        <v>6.7210000000000006E-2</v>
      </c>
      <c r="G407" s="1" t="s">
        <v>164</v>
      </c>
      <c r="I407" s="1" t="s">
        <v>106</v>
      </c>
      <c r="K407" t="str">
        <f>HYPERLINK("https://lindat.mff.cuni.cz/services/SynSemClass55/SynSemClass55.html?veclass=vec00710", "vec00710 / shromáždit se (v41kndA)")</f>
        <v>vec00710 / shromáždit se (v41kndA)</v>
      </c>
      <c r="L407">
        <v>6.7210000000000006E-2</v>
      </c>
      <c r="M407" t="s">
        <v>29</v>
      </c>
      <c r="P407" t="str">
        <f>HYPERLINK("https://lindat.mff.cuni.cz/services/SynSemClass55/SynSemClass55.html?veclass=vec00833", "vec00833 / mačkat se (v41cdaA)")</f>
        <v>vec00833 / mačkat se (v41cdaA)</v>
      </c>
      <c r="Q407">
        <v>6.7199999999999996E-2</v>
      </c>
      <c r="R407" t="s">
        <v>29</v>
      </c>
      <c r="U407" t="str">
        <f>HYPERLINK("https://lindat.mff.cuni.cz/services/SynSemClass55/SynSemClass55.html?veclass=vec01444", "vec01444 / skládat (v41kqdC)")</f>
        <v>vec01444 / skládat (v41kqdC)</v>
      </c>
      <c r="V407">
        <v>6.1710000000000001E-2</v>
      </c>
      <c r="W407" t="s">
        <v>29</v>
      </c>
      <c r="Z407" t="str">
        <f>HYPERLINK("https://lindat.mff.cuni.cz/services/SynSemClass55/SynSemClass55.html?veclass=vec00443", "vec00443 / nashromáždit (v41dbbA)")</f>
        <v>vec00443 / nashromáždit (v41dbbA)</v>
      </c>
      <c r="AA407">
        <v>4.5519999999999998E-2</v>
      </c>
      <c r="AB407" t="s">
        <v>29</v>
      </c>
      <c r="AE407" t="str">
        <f>HYPERLINK("https://lindat.mff.cuni.cz/services/SynSemClass55/SynSemClass55.html?veclass=vec00318", "vec00318 / spojit se (v41lcwA)")</f>
        <v>vec00318 / spojit se (v41lcwA)</v>
      </c>
      <c r="AF407">
        <v>3.6569999999999998E-2</v>
      </c>
      <c r="AG407" t="s">
        <v>29</v>
      </c>
    </row>
    <row r="409" spans="1:33" x14ac:dyDescent="0.2">
      <c r="A409" t="str">
        <f>HYPERLINK("https://lindat.mff.cuni.cz/services/PDT-Vallex4.5/PDT-Vallex4.5.html?verb=setřít", "setřít")</f>
        <v>setřít</v>
      </c>
      <c r="B409" t="str">
        <f>HYPERLINK("https://lindat.mff.cuni.cz/services/PDT-Vallex4.5/PDT-Vallex4.5.html?verb=setřít#v41kloA", "v41kloA")</f>
        <v>v41kloA</v>
      </c>
      <c r="E409">
        <v>471</v>
      </c>
      <c r="F409">
        <v>0.13056999999999999</v>
      </c>
      <c r="G409" s="1" t="s">
        <v>165</v>
      </c>
      <c r="K409" t="str">
        <f>HYPERLINK("https://lindat.mff.cuni.cz/services/SynSemClass55/SynSemClass55.html?veclass=vec00924", "vec00924 / smést (v41kvgB)")</f>
        <v>vec00924 / smést (v41kvgB)</v>
      </c>
      <c r="L409">
        <v>0.13056999999999999</v>
      </c>
      <c r="M409" t="s">
        <v>29</v>
      </c>
      <c r="P409" t="str">
        <f>HYPERLINK("https://lindat.mff.cuni.cz/services/SynSemClass55/SynSemClass55.html?veclass=vec00923", "vec00923 / smazat (v41kupB)")</f>
        <v>vec00923 / smazat (v41kupB)</v>
      </c>
      <c r="Q409">
        <v>6.8360000000000004E-2</v>
      </c>
      <c r="R409" t="s">
        <v>29</v>
      </c>
      <c r="U409" t="str">
        <f>HYPERLINK("https://lindat.mff.cuni.cz/services/SynSemClass55/SynSemClass55.html?veclass=vec00910", "vec00910 / rozptýlit (v41jxiB)")</f>
        <v>vec00910 / rozptýlit (v41jxiB)</v>
      </c>
      <c r="V409">
        <v>4.8280000000000003E-2</v>
      </c>
      <c r="W409" t="s">
        <v>29</v>
      </c>
      <c r="Z409" t="str">
        <f>HYPERLINK("https://lindat.mff.cuni.cz/services/SynSemClass55/SynSemClass55.html?veclass=vec00840", "vec00840 / mýt (v41ckpA)")</f>
        <v>vec00840 / mýt (v41ckpA)</v>
      </c>
      <c r="AA409">
        <v>4.3799999999999999E-2</v>
      </c>
      <c r="AB409" t="s">
        <v>29</v>
      </c>
      <c r="AE409" t="str">
        <f>HYPERLINK("https://lindat.mff.cuni.cz/services/SynSemClass55/SynSemClass55.html?veclass=vec00648", "vec00648 / odebrat (v41dygC)")</f>
        <v>vec00648 / odebrat (v41dygC)</v>
      </c>
      <c r="AF409">
        <v>3.5650000000000001E-2</v>
      </c>
      <c r="AG409" t="s">
        <v>29</v>
      </c>
    </row>
    <row r="411" spans="1:33" x14ac:dyDescent="0.2">
      <c r="A411" t="str">
        <f>HYPERLINK("https://lindat.mff.cuni.cz/services/PDT-Vallex4.5/PDT-Vallex4.5.html?verb=sežrat", "sežrat")</f>
        <v>sežrat</v>
      </c>
      <c r="B411" t="str">
        <f>HYPERLINK("https://lindat.mff.cuni.cz/services/PDT-Vallex4.5/PDT-Vallex4.5.html?verb=sežrat#v41kmaB", "v41kmaB")</f>
        <v>v41kmaB</v>
      </c>
      <c r="E411">
        <v>816</v>
      </c>
      <c r="F411">
        <v>0.89927999999999997</v>
      </c>
      <c r="G411" s="1" t="s">
        <v>75</v>
      </c>
      <c r="K411" t="str">
        <f>HYPERLINK("https://lindat.mff.cuni.cz/services/SynSemClass55/SynSemClass55.html?veclass=vec00828", "vec00828 / jíst (v41bifB)")</f>
        <v>vec00828 / jíst (v41bifB)</v>
      </c>
      <c r="L411">
        <v>0.89927999999999997</v>
      </c>
      <c r="M411" t="s">
        <v>29</v>
      </c>
      <c r="P411" t="str">
        <f>HYPERLINK("https://lindat.mff.cuni.cz/services/SynSemClass55/SynSemClass55.html?veclass=vec01514", "vec01514 / předávkovat (v41hvjA)")</f>
        <v>vec01514 / předávkovat (v41hvjA)</v>
      </c>
      <c r="Q411">
        <v>5.5440000000000003E-2</v>
      </c>
      <c r="R411" t="s">
        <v>29</v>
      </c>
      <c r="U411" t="str">
        <f>HYPERLINK("https://lindat.mff.cuni.cz/services/SynSemClass55/SynSemClass55.html?veclass=vec00476", "vec00476 / pohltit (v41fxaA)")</f>
        <v>vec00476 / pohltit (v41fxaA)</v>
      </c>
      <c r="V411">
        <v>3.1489999999999997E-2</v>
      </c>
      <c r="W411" t="s">
        <v>29</v>
      </c>
      <c r="Z411" t="str">
        <f>HYPERLINK("https://lindat.mff.cuni.cz/services/SynSemClass55/SynSemClass55.html?veclass=vec00345", "vec00345 / věřit (v41njsD)")</f>
        <v>vec00345 / věřit (v41njsD)</v>
      </c>
      <c r="AA411">
        <v>2.5430000000000001E-2</v>
      </c>
      <c r="AB411" t="s">
        <v>29</v>
      </c>
      <c r="AE411" t="str">
        <f>HYPERLINK("https://lindat.mff.cuni.cz/services/SynSemClass55/SynSemClass55.html?veclass=vec00785", "vec00785 / zhoršit (v41rcrA)")</f>
        <v>vec00785 / zhoršit (v41rcrA)</v>
      </c>
      <c r="AF411">
        <v>2.5100000000000001E-2</v>
      </c>
      <c r="AG411" t="s">
        <v>29</v>
      </c>
    </row>
    <row r="413" spans="1:33" x14ac:dyDescent="0.2">
      <c r="A413" t="str">
        <f>HYPERLINK("https://lindat.mff.cuni.cz/services/PDT-Vallex4.5/PDT-Vallex4.5.html?verb=shnít", "shnít")</f>
        <v>shnít</v>
      </c>
      <c r="B413" t="str">
        <f>HYPERLINK("https://lindat.mff.cuni.cz/services/PDT-Vallex4.5/PDT-Vallex4.5.html?verb=shnít#v41kmlA", "v41kmlA")</f>
        <v>v41kmlA</v>
      </c>
      <c r="E413">
        <v>106</v>
      </c>
      <c r="F413">
        <v>0.20771000000000001</v>
      </c>
      <c r="G413" s="1" t="s">
        <v>32</v>
      </c>
      <c r="K413" t="str">
        <f>HYPERLINK("https://lindat.mff.cuni.cz/services/SynSemClass55/SynSemClass55.html?veclass=vec00790", "vec00790 / zkazit se (v41rfkA)")</f>
        <v>vec00790 / zkazit se (v41rfkA)</v>
      </c>
      <c r="L413">
        <v>0.20771000000000001</v>
      </c>
      <c r="M413" t="s">
        <v>31</v>
      </c>
      <c r="P413" t="str">
        <f>HYPERLINK("https://lindat.mff.cuni.cz/services/SynSemClass55/SynSemClass55.html?veclass=vec01103", "vec01103 / roztavit se (v41jztA)")</f>
        <v>vec01103 / roztavit se (v41jztA)</v>
      </c>
      <c r="Q413">
        <v>6.1260000000000002E-2</v>
      </c>
      <c r="R413" t="s">
        <v>29</v>
      </c>
      <c r="U413" t="str">
        <f>HYPERLINK("https://lindat.mff.cuni.cz/services/SynSemClass55/SynSemClass55.html?veclass=vec00810", "vec00810 / dojít (v41zdJ)")</f>
        <v>vec00810 / dojít (v41zdJ)</v>
      </c>
      <c r="V413">
        <v>5.2749999999999998E-2</v>
      </c>
      <c r="W413" t="s">
        <v>29</v>
      </c>
      <c r="Z413" t="str">
        <f>HYPERLINK("https://lindat.mff.cuni.cz/services/SynSemClass55/SynSemClass55.html?veclass=vec01549", "vec01549 / dusit se (v41alzA)")</f>
        <v>vec01549 / dusit se (v41alzA)</v>
      </c>
      <c r="AA413">
        <v>4.5999999999999999E-2</v>
      </c>
      <c r="AB413" t="s">
        <v>29</v>
      </c>
      <c r="AE413" t="str">
        <f>HYPERLINK("https://lindat.mff.cuni.cz/services/SynSemClass55/SynSemClass55.html?veclass=vec01744", "vec01744 / chátrat (v41bawA)")</f>
        <v>vec01744 / chátrat (v41bawA)</v>
      </c>
      <c r="AF413">
        <v>4.5179999999999998E-2</v>
      </c>
      <c r="AG413" t="s">
        <v>29</v>
      </c>
    </row>
    <row r="415" spans="1:33" x14ac:dyDescent="0.2">
      <c r="A415" t="str">
        <f>HYPERLINK("https://lindat.mff.cuni.cz/services/PDT-Vallex4.5/PDT-Vallex4.5.html?verb=shrabovat", "shrabovat")</f>
        <v>shrabovat</v>
      </c>
      <c r="B415" t="str">
        <f>HYPERLINK("https://lindat.mff.cuni.cz/services/PDT-Vallex4.5/PDT-Vallex4.5.html?verb=shrabovat#v41kmwA", "v41kmwA")</f>
        <v>v41kmwA</v>
      </c>
      <c r="E415">
        <v>60</v>
      </c>
      <c r="F415">
        <v>0.12578</v>
      </c>
      <c r="G415" s="1" t="s">
        <v>32</v>
      </c>
      <c r="K415" t="str">
        <f>HYPERLINK("https://lindat.mff.cuni.cz/services/SynSemClass55/SynSemClass55.html?veclass=vec01552", "vec01552 / hrabat (v41ayfA)")</f>
        <v>vec01552 / hrabat (v41ayfA)</v>
      </c>
      <c r="L415">
        <v>0.12578</v>
      </c>
      <c r="M415" t="s">
        <v>31</v>
      </c>
      <c r="P415" t="str">
        <f>HYPERLINK("https://lindat.mff.cuni.cz/services/SynSemClass55/SynSemClass55.html?veclass=vec01106", "vec01106 / shazovat (v41kmeA)")</f>
        <v>vec01106 / shazovat (v41kmeA)</v>
      </c>
      <c r="Q415">
        <v>9.801E-2</v>
      </c>
      <c r="R415" t="s">
        <v>29</v>
      </c>
      <c r="U415" t="str">
        <f>HYPERLINK("https://lindat.mff.cuni.cz/services/SynSemClass55/SynSemClass55.html?veclass=vec00924", "vec00924 / smést (v41kvgB)")</f>
        <v>vec00924 / smést (v41kvgB)</v>
      </c>
      <c r="V415">
        <v>6.5530000000000005E-2</v>
      </c>
      <c r="W415" t="s">
        <v>29</v>
      </c>
      <c r="Z415" t="str">
        <f>HYPERLINK("https://lindat.mff.cuni.cz/services/SynSemClass55/SynSemClass55.html?veclass=vec00819", "vec00819 / házet (v41aupC)")</f>
        <v>vec00819 / házet (v41aupC)</v>
      </c>
      <c r="AA415">
        <v>4.215E-2</v>
      </c>
      <c r="AB415" t="s">
        <v>29</v>
      </c>
      <c r="AE415" t="str">
        <f>HYPERLINK("https://lindat.mff.cuni.cz/services/SynSemClass55/SynSemClass55.html?veclass=vec00380", "vec00380 / zbavit se (v41qvrA)")</f>
        <v>vec00380 / zbavit se (v41qvrA)</v>
      </c>
      <c r="AF415">
        <v>4.0090000000000001E-2</v>
      </c>
      <c r="AG415" t="s">
        <v>29</v>
      </c>
    </row>
    <row r="417" spans="1:33" x14ac:dyDescent="0.2">
      <c r="A417" t="str">
        <f>HYPERLINK("https://lindat.mff.cuni.cz/services/PDT-Vallex4.5/PDT-Vallex4.5.html?verb=shrnout", "shrnout")</f>
        <v>shrnout</v>
      </c>
      <c r="B417" t="str">
        <f>HYPERLINK("https://lindat.mff.cuni.cz/services/PDT-Vallex4.5/PDT-Vallex4.5.html?verb=shrnout#v41kmxB", "v41kmxB")</f>
        <v>v41kmxB</v>
      </c>
      <c r="E417">
        <v>472</v>
      </c>
      <c r="F417">
        <v>0.50324000000000002</v>
      </c>
      <c r="G417" s="1" t="s">
        <v>32</v>
      </c>
      <c r="K417" t="str">
        <f>HYPERLINK("https://lindat.mff.cuni.cz/services/SynSemClass55/SynSemClass55.html?veclass=vec00709", "vec00709 / shrnout (v41kmxA)")</f>
        <v>vec00709 / shrnout (v41kmxA)</v>
      </c>
      <c r="L417">
        <v>0.50324000000000002</v>
      </c>
      <c r="M417" t="s">
        <v>29</v>
      </c>
      <c r="P417" t="str">
        <f>HYPERLINK("https://lindat.mff.cuni.cz/services/SynSemClass55/SynSemClass55.html?veclass=vec01106", "vec01106 / shazovat (v41kmeA)")</f>
        <v>vec01106 / shazovat (v41kmeA)</v>
      </c>
      <c r="Q417">
        <v>2.6880000000000001E-2</v>
      </c>
      <c r="R417" t="s">
        <v>31</v>
      </c>
      <c r="U417" t="str">
        <f>HYPERLINK("https://lindat.mff.cuni.cz/services/SynSemClass55/SynSemClass55.html?veclass=vec01678", "vec01678 / smeknout (v41kuuA)")</f>
        <v>vec01678 / smeknout (v41kuuA)</v>
      </c>
      <c r="V417">
        <v>2.2440000000000002E-2</v>
      </c>
      <c r="W417" t="s">
        <v>29</v>
      </c>
      <c r="Z417" t="str">
        <f>HYPERLINK("https://lindat.mff.cuni.cz/services/SynSemClass55/SynSemClass55.html?veclass=vec01444", "vec01444 / skládat (v41kqdC)")</f>
        <v>vec01444 / skládat (v41kqdC)</v>
      </c>
      <c r="AA417">
        <v>2.0590000000000001E-2</v>
      </c>
      <c r="AB417" t="s">
        <v>29</v>
      </c>
      <c r="AE417" t="str">
        <f>HYPERLINK("https://lindat.mff.cuni.cz/services/SynSemClass55/SynSemClass55.html?veclass=vec00841", "vec00841 / nacpat (v41cmpB)")</f>
        <v>vec00841 / nacpat (v41cmpB)</v>
      </c>
      <c r="AF417">
        <v>1.8419999999999999E-2</v>
      </c>
      <c r="AG417" t="s">
        <v>29</v>
      </c>
    </row>
    <row r="419" spans="1:33" x14ac:dyDescent="0.2">
      <c r="A419" t="str">
        <f>HYPERLINK("https://lindat.mff.cuni.cz/services/PDT-Vallex4.5/PDT-Vallex4.5.html?verb=schovat", "schovat")</f>
        <v>schovat</v>
      </c>
      <c r="B419" t="str">
        <f>HYPERLINK("https://lindat.mff.cuni.cz/services/PDT-Vallex4.5/PDT-Vallex4.5.html?verb=schovat#v41knoA", "v41knoA")</f>
        <v>v41knoA</v>
      </c>
      <c r="E419">
        <v>2900</v>
      </c>
      <c r="F419">
        <v>0.67500000000000004</v>
      </c>
      <c r="G419" s="1" t="s">
        <v>32</v>
      </c>
      <c r="K419" t="str">
        <f>HYPERLINK("https://lindat.mff.cuni.cz/services/SynSemClass55/SynSemClass55.html?veclass=vec00514", "vec00514 / skrýt (v41krqB)")</f>
        <v>vec00514 / skrýt (v41krqB)</v>
      </c>
      <c r="L419">
        <v>0.67500000000000004</v>
      </c>
      <c r="M419" t="s">
        <v>31</v>
      </c>
      <c r="P419" t="str">
        <f>HYPERLINK("https://lindat.mff.cuni.cz/services/SynSemClass55/SynSemClass55.html?veclass=vec00714", "vec00714 / skrývat se (v41krtA)")</f>
        <v>vec00714 / skrývat se (v41krtA)</v>
      </c>
      <c r="Q419">
        <v>0.10815</v>
      </c>
      <c r="R419" t="s">
        <v>29</v>
      </c>
      <c r="U419" t="str">
        <f>HYPERLINK("https://lindat.mff.cuni.cz/services/SynSemClass55/SynSemClass55.html?veclass=vec01338", "vec01338 / ulít (v41mnvA)")</f>
        <v>vec01338 / ulít (v41mnvA)</v>
      </c>
      <c r="V419">
        <v>6.633E-2</v>
      </c>
      <c r="W419" t="s">
        <v>29</v>
      </c>
      <c r="Z419" t="str">
        <f>HYPERLINK("https://lindat.mff.cuni.cz/services/SynSemClass55/SynSemClass55.html?veclass=vec01337", "vec01337 / uchylovat se (v41mklB)")</f>
        <v>vec01337 / uchylovat se (v41mklB)</v>
      </c>
      <c r="AA419">
        <v>2.8230000000000002E-2</v>
      </c>
      <c r="AB419" t="s">
        <v>29</v>
      </c>
      <c r="AE419" t="str">
        <f>HYPERLINK("https://lindat.mff.cuni.cz/services/SynSemClass55/SynSemClass55.html?veclass=vec00024", "vec00024 / chránit (v41bbwA)")</f>
        <v>vec00024 / chránit (v41bbwA)</v>
      </c>
      <c r="AF419">
        <v>2.555E-2</v>
      </c>
      <c r="AG419" t="s">
        <v>29</v>
      </c>
    </row>
    <row r="421" spans="1:33" x14ac:dyDescent="0.2">
      <c r="A421" t="str">
        <f>HYPERLINK("https://lindat.mff.cuni.cz/services/PDT-Vallex4.5/PDT-Vallex4.5.html?verb=schválit", "schválit")</f>
        <v>schválit</v>
      </c>
      <c r="B421" t="str">
        <f>HYPERLINK("https://lindat.mff.cuni.cz/services/PDT-Vallex4.5/PDT-Vallex4.5.html?verb=schválit#v41knwA", "v41knwA")</f>
        <v>v41knwA</v>
      </c>
      <c r="E421">
        <v>430</v>
      </c>
      <c r="F421">
        <v>0.86060999999999999</v>
      </c>
      <c r="G421" s="1" t="s">
        <v>32</v>
      </c>
      <c r="K421" t="str">
        <f>HYPERLINK("https://lindat.mff.cuni.cz/services/SynSemClass55/SynSemClass55.html?veclass=vec00078", "vec00078 / potvrdit (v41grtA)")</f>
        <v>vec00078 / potvrdit (v41grtA)</v>
      </c>
      <c r="L421">
        <v>0.86060999999999999</v>
      </c>
      <c r="M421" t="s">
        <v>31</v>
      </c>
      <c r="P421" t="str">
        <f>HYPERLINK("https://lindat.mff.cuni.cz/services/SynSemClass55/SynSemClass55.html?veclass=vec00120", "vec00120 / souhlasit (v41kypC)")</f>
        <v>vec00120 / souhlasit (v41kypC)</v>
      </c>
      <c r="Q421">
        <v>4.6780000000000002E-2</v>
      </c>
      <c r="R421" t="s">
        <v>29</v>
      </c>
      <c r="U421" t="str">
        <f>HYPERLINK("https://lindat.mff.cuni.cz/services/SynSemClass55/SynSemClass55.html?veclass=vec01320", "vec01320 / souhlasit (v41kypA)")</f>
        <v>vec01320 / souhlasit (v41kypA)</v>
      </c>
      <c r="V421">
        <v>4.0849999999999997E-2</v>
      </c>
      <c r="W421" t="s">
        <v>29</v>
      </c>
      <c r="Z421" t="str">
        <f>HYPERLINK("https://lindat.mff.cuni.cz/services/SynSemClass55/SynSemClass55.html?veclass=vec00675", "vec00675 / pochválit (v41fyxA)")</f>
        <v>vec00675 / pochválit (v41fyxA)</v>
      </c>
      <c r="AA421">
        <v>1.8450000000000001E-2</v>
      </c>
      <c r="AB421" t="s">
        <v>29</v>
      </c>
      <c r="AE421" t="str">
        <f>HYPERLINK("https://lindat.mff.cuni.cz/services/SynSemClass55/SynSemClass55.html?veclass=vec01076", "vec01076 / potvrdit (v41grtB)")</f>
        <v>vec01076 / potvrdit (v41grtB)</v>
      </c>
      <c r="AF421">
        <v>1.54E-2</v>
      </c>
      <c r="AG421" t="s">
        <v>31</v>
      </c>
    </row>
    <row r="423" spans="1:33" x14ac:dyDescent="0.2">
      <c r="A423" t="str">
        <f>HYPERLINK("https://lindat.mff.cuni.cz/services/PDT-Vallex4.5/PDT-Vallex4.5.html?verb=schvalovat", "schvalovat")</f>
        <v>schvalovat</v>
      </c>
      <c r="B423" t="str">
        <f>HYPERLINK("https://lindat.mff.cuni.cz/services/PDT-Vallex4.5/PDT-Vallex4.5.html?verb=schvalovat#v41knzA", "v41knzA")</f>
        <v>v41knzA</v>
      </c>
      <c r="E423">
        <v>362</v>
      </c>
      <c r="F423">
        <v>0.90115999999999996</v>
      </c>
      <c r="G423" s="1" t="s">
        <v>32</v>
      </c>
      <c r="K423" t="str">
        <f>HYPERLINK("https://lindat.mff.cuni.cz/services/SynSemClass55/SynSemClass55.html?veclass=vec00078", "vec00078 / potvrdit (v41grtA)")</f>
        <v>vec00078 / potvrdit (v41grtA)</v>
      </c>
      <c r="L423">
        <v>0.90115999999999996</v>
      </c>
      <c r="M423" t="s">
        <v>31</v>
      </c>
      <c r="P423" t="str">
        <f>HYPERLINK("https://lindat.mff.cuni.cz/services/SynSemClass55/SynSemClass55.html?veclass=vec00120", "vec00120 / souhlasit (v41kypC)")</f>
        <v>vec00120 / souhlasit (v41kypC)</v>
      </c>
      <c r="Q423">
        <v>7.1319999999999995E-2</v>
      </c>
      <c r="R423" t="s">
        <v>29</v>
      </c>
      <c r="U423" t="str">
        <f>HYPERLINK("https://lindat.mff.cuni.cz/services/SynSemClass55/SynSemClass55.html?veclass=vec01320", "vec01320 / souhlasit (v41kypA)")</f>
        <v>vec01320 / souhlasit (v41kypA)</v>
      </c>
      <c r="V423">
        <v>3.5290000000000002E-2</v>
      </c>
      <c r="W423" t="s">
        <v>29</v>
      </c>
      <c r="Z423" t="str">
        <f>HYPERLINK("https://lindat.mff.cuni.cz/services/SynSemClass55/SynSemClass55.html?veclass=vec01076", "vec01076 / potvrdit (v41grtB)")</f>
        <v>vec01076 / potvrdit (v41grtB)</v>
      </c>
      <c r="AA423">
        <v>1.35E-2</v>
      </c>
      <c r="AB423" t="s">
        <v>31</v>
      </c>
      <c r="AE423" t="str">
        <f>HYPERLINK("https://lindat.mff.cuni.cz/services/SynSemClass55/SynSemClass55.html?veclass=vec00012", "vec00012 / dovolit (v41aiqA)")</f>
        <v>vec00012 / dovolit (v41aiqA)</v>
      </c>
      <c r="AF423">
        <v>1.265E-2</v>
      </c>
      <c r="AG423" t="s">
        <v>29</v>
      </c>
    </row>
    <row r="425" spans="1:33" x14ac:dyDescent="0.2">
      <c r="A425" t="str">
        <f>HYPERLINK("https://lindat.mff.cuni.cz/services/PDT-Vallex4.5/PDT-Vallex4.5.html?verb=schylovat se", "schylovat se")</f>
        <v>schylovat se</v>
      </c>
      <c r="B425" t="str">
        <f>HYPERLINK("https://lindat.mff.cuni.cz/services/PDT-Vallex4.5/PDT-Vallex4.5.html?verb=schylovat se#v41kobA", "v41kobA")</f>
        <v>v41kobA</v>
      </c>
      <c r="E425">
        <v>199</v>
      </c>
      <c r="F425">
        <v>0.38338</v>
      </c>
      <c r="G425" s="1" t="s">
        <v>32</v>
      </c>
      <c r="K425" t="str">
        <f>HYPERLINK("https://lindat.mff.cuni.cz/services/SynSemClass55/SynSemClass55.html?veclass=vec01556", "vec01556 / klást se (v41bkxA)")</f>
        <v>vec01556 / klást se (v41bkxA)</v>
      </c>
      <c r="L425">
        <v>0.38338</v>
      </c>
      <c r="M425" t="s">
        <v>29</v>
      </c>
      <c r="P425" t="str">
        <f>HYPERLINK("https://lindat.mff.cuni.cz/services/SynSemClass55/SynSemClass55.html?veclass=vec01390", "vec01390 / blížit se (v41gbC)")</f>
        <v>vec01390 / blížit se (v41gbC)</v>
      </c>
      <c r="Q425">
        <v>0.11151999999999999</v>
      </c>
      <c r="R425" t="s">
        <v>29</v>
      </c>
      <c r="U425" t="str">
        <f>HYPERLINK("https://lindat.mff.cuni.cz/services/SynSemClass55/SynSemClass55.html?veclass=vec00516", "vec00516 / směřovat (v41kveB)")</f>
        <v>vec00516 / směřovat (v41kveB)</v>
      </c>
      <c r="V425">
        <v>9.8570000000000005E-2</v>
      </c>
      <c r="W425" t="s">
        <v>29</v>
      </c>
      <c r="Z425" t="str">
        <f>HYPERLINK("https://lindat.mff.cuni.cz/services/SynSemClass55/SynSemClass55.html?veclass=vec01201", "vec01201 / blížit se (v41gbD)")</f>
        <v>vec01201 / blížit se (v41gbD)</v>
      </c>
      <c r="AA425">
        <v>7.4889999999999998E-2</v>
      </c>
      <c r="AB425" t="s">
        <v>31</v>
      </c>
      <c r="AE425" t="str">
        <f>HYPERLINK("https://lindat.mff.cuni.cz/services/SynSemClass55/SynSemClass55.html?veclass=vec00665", "vec00665 / plazit se (v41fnbA)")</f>
        <v>vec00665 / plazit se (v41fnbA)</v>
      </c>
      <c r="AF425">
        <v>5.9020000000000003E-2</v>
      </c>
      <c r="AG425" t="s">
        <v>29</v>
      </c>
    </row>
    <row r="427" spans="1:33" x14ac:dyDescent="0.2">
      <c r="A427" t="str">
        <f>HYPERLINK("https://lindat.mff.cuni.cz/services/PDT-Vallex4.5/PDT-Vallex4.5.html?verb=skrýt", "skrýt")</f>
        <v>skrýt</v>
      </c>
      <c r="B427" t="str">
        <f>HYPERLINK("https://lindat.mff.cuni.cz/services/PDT-Vallex4.5/PDT-Vallex4.5.html?verb=skrýt#v41krqA", "v41krqA")</f>
        <v>v41krqA</v>
      </c>
      <c r="E427">
        <v>1252</v>
      </c>
      <c r="F427">
        <v>0.73762000000000005</v>
      </c>
      <c r="G427" s="1" t="s">
        <v>32</v>
      </c>
      <c r="K427" t="str">
        <f>HYPERLINK("https://lindat.mff.cuni.cz/services/SynSemClass55/SynSemClass55.html?veclass=vec00514", "vec00514 / skrýt (v41krqB)")</f>
        <v>vec00514 / skrýt (v41krqB)</v>
      </c>
      <c r="L427">
        <v>0.73762000000000005</v>
      </c>
      <c r="M427" t="s">
        <v>31</v>
      </c>
      <c r="P427" t="str">
        <f>HYPERLINK("https://lindat.mff.cuni.cz/services/SynSemClass55/SynSemClass55.html?veclass=vec00714", "vec00714 / skrývat se (v41krtA)")</f>
        <v>vec00714 / skrývat se (v41krtA)</v>
      </c>
      <c r="Q427">
        <v>0.12435</v>
      </c>
      <c r="R427" t="s">
        <v>29</v>
      </c>
      <c r="U427" t="str">
        <f>HYPERLINK("https://lindat.mff.cuni.cz/services/SynSemClass55/SynSemClass55.html?veclass=vec01338", "vec01338 / ulít (v41mnvA)")</f>
        <v>vec01338 / ulít (v41mnvA)</v>
      </c>
      <c r="V427">
        <v>4.2090000000000002E-2</v>
      </c>
      <c r="W427" t="s">
        <v>29</v>
      </c>
      <c r="Z427" t="str">
        <f>HYPERLINK("https://lindat.mff.cuni.cz/services/SynSemClass55/SynSemClass55.html?veclass=vec00770", "vec00770 / zamlžit (v41qcdA)")</f>
        <v>vec00770 / zamlžit (v41qcdA)</v>
      </c>
      <c r="AA427">
        <v>2.3789999999999999E-2</v>
      </c>
      <c r="AB427" t="s">
        <v>29</v>
      </c>
      <c r="AE427" t="str">
        <f>HYPERLINK("https://lindat.mff.cuni.cz/services/SynSemClass55/SynSemClass55.html?veclass=vec00024", "vec00024 / chránit (v41bbwA)")</f>
        <v>vec00024 / chránit (v41bbwA)</v>
      </c>
      <c r="AF427">
        <v>1.7850000000000001E-2</v>
      </c>
      <c r="AG427" t="s">
        <v>29</v>
      </c>
    </row>
    <row r="429" spans="1:33" x14ac:dyDescent="0.2">
      <c r="A429" t="str">
        <f>HYPERLINK("https://lindat.mff.cuni.cz/services/PDT-Vallex4.5/PDT-Vallex4.5.html?verb=slétnout", "slétnout")</f>
        <v>slétnout</v>
      </c>
      <c r="B429" t="str">
        <f>HYPERLINK("https://lindat.mff.cuni.cz/services/PDT-Vallex4.5/PDT-Vallex4.5.html?verb=slétnout#v41kssA", "v41kssA")</f>
        <v>v41kssA</v>
      </c>
      <c r="E429">
        <v>86</v>
      </c>
      <c r="F429">
        <v>0.10913</v>
      </c>
      <c r="G429" s="1" t="s">
        <v>166</v>
      </c>
      <c r="K429" t="str">
        <f>HYPERLINK("https://lindat.mff.cuni.cz/services/SynSemClass55/SynSemClass55.html?veclass=vec01318", "vec01318 / slézat (v41kswA)")</f>
        <v>vec01318 / slézat (v41kswA)</v>
      </c>
      <c r="L429">
        <v>0.10913</v>
      </c>
      <c r="M429" t="s">
        <v>29</v>
      </c>
      <c r="P429" t="str">
        <f>HYPERLINK("https://lindat.mff.cuni.cz/services/SynSemClass55/SynSemClass55.html?veclass=vec00665", "vec00665 / plazit se (v41fnbA)")</f>
        <v>vec00665 / plazit se (v41fnbA)</v>
      </c>
      <c r="Q429">
        <v>7.6189999999999994E-2</v>
      </c>
      <c r="R429" t="s">
        <v>29</v>
      </c>
      <c r="U429" t="str">
        <f>HYPERLINK("https://lindat.mff.cuni.cz/services/SynSemClass55/SynSemClass55.html?veclass=vec00218", "vec00218 / dostat se (v41afyI)")</f>
        <v>vec00218 / dostat se (v41afyI)</v>
      </c>
      <c r="V429">
        <v>6.2489999999999997E-2</v>
      </c>
      <c r="W429" t="s">
        <v>29</v>
      </c>
      <c r="Z429" t="str">
        <f>HYPERLINK("https://lindat.mff.cuni.cz/services/SynSemClass55/SynSemClass55.html?veclass=vec00759", "vec00759 / vyskočit (v41owcC)")</f>
        <v>vec00759 / vyskočit (v41owcC)</v>
      </c>
      <c r="AA429">
        <v>5.4609999999999999E-2</v>
      </c>
      <c r="AB429" t="s">
        <v>29</v>
      </c>
      <c r="AE429" t="str">
        <f>HYPERLINK("https://lindat.mff.cuni.cz/services/SynSemClass55/SynSemClass55.html?veclass=vec01938", "vec01938 / vyhřeznout (v41obsA)")</f>
        <v>vec01938 / vyhřeznout (v41obsA)</v>
      </c>
      <c r="AF429">
        <v>4.0169999999999997E-2</v>
      </c>
      <c r="AG429" t="s">
        <v>29</v>
      </c>
    </row>
    <row r="431" spans="1:33" x14ac:dyDescent="0.2">
      <c r="A431" t="str">
        <f>HYPERLINK("https://lindat.mff.cuni.cz/services/PDT-Vallex4.5/PDT-Vallex4.5.html?verb=smířit se", "smířit se")</f>
        <v>smířit se</v>
      </c>
      <c r="B431" t="str">
        <f>HYPERLINK("https://lindat.mff.cuni.cz/services/PDT-Vallex4.5/PDT-Vallex4.5.html?verb=smířit se#v41kvpB", "v41kvpB")</f>
        <v>v41kvpB</v>
      </c>
      <c r="E431">
        <v>1159</v>
      </c>
      <c r="F431">
        <v>0.62160000000000004</v>
      </c>
      <c r="G431" s="1">
        <v>0</v>
      </c>
      <c r="I431" s="1" t="s">
        <v>167</v>
      </c>
      <c r="K431" t="str">
        <f>HYPERLINK("https://lindat.mff.cuni.cz/services/SynSemClass55/SynSemClass55.html?veclass=vec00719", "vec00719 / smířit se (v41kvpA)")</f>
        <v>vec00719 / smířit se (v41kvpA)</v>
      </c>
      <c r="L431">
        <v>0.62160000000000004</v>
      </c>
      <c r="M431" t="s">
        <v>29</v>
      </c>
      <c r="P431" t="str">
        <f>HYPERLINK("https://lindat.mff.cuni.cz/services/SynSemClass55/SynSemClass55.html?veclass=vec00724", "vec00724 / spokojit se (v41ldfA)")</f>
        <v>vec00724 / spokojit se (v41ldfA)</v>
      </c>
      <c r="Q431">
        <v>6.0850000000000001E-2</v>
      </c>
      <c r="R431" t="s">
        <v>29</v>
      </c>
      <c r="U431" t="str">
        <f>HYPERLINK("https://lindat.mff.cuni.cz/services/SynSemClass55/SynSemClass55.html?veclass=vec00120", "vec00120 / souhlasit (v41kypC)")</f>
        <v>vec00120 / souhlasit (v41kypC)</v>
      </c>
      <c r="V431">
        <v>5.2060000000000002E-2</v>
      </c>
      <c r="W431" t="s">
        <v>29</v>
      </c>
      <c r="Z431" t="str">
        <f>HYPERLINK("https://lindat.mff.cuni.cz/services/SynSemClass55/SynSemClass55.html?veclass=vec00739", "vec00739 / ustoupit (v41myhB)")</f>
        <v>vec00739 / ustoupit (v41myhB)</v>
      </c>
      <c r="AA431">
        <v>3.4979999999999997E-2</v>
      </c>
      <c r="AB431" t="s">
        <v>29</v>
      </c>
      <c r="AE431" t="str">
        <f>HYPERLINK("https://lindat.mff.cuni.cz/services/SynSemClass55/SynSemClass55.html?veclass=vec01601", "vec01601 / sklonit (v41kqrA)")</f>
        <v>vec01601 / sklonit (v41kqrA)</v>
      </c>
      <c r="AF431">
        <v>3.099E-2</v>
      </c>
      <c r="AG431" t="s">
        <v>29</v>
      </c>
    </row>
    <row r="433" spans="1:33" x14ac:dyDescent="0.2">
      <c r="A433" t="str">
        <f>HYPERLINK("https://lindat.mff.cuni.cz/services/PDT-Vallex4.5/PDT-Vallex4.5.html?verb=smršťovat", "smršťovat")</f>
        <v>smršťovat</v>
      </c>
      <c r="B433" t="str">
        <f>HYPERLINK("https://lindat.mff.cuni.cz/services/PDT-Vallex4.5/PDT-Vallex4.5.html?verb=smršťovat#v41kweA", "v41kweA")</f>
        <v>v41kweA</v>
      </c>
      <c r="E433">
        <v>33</v>
      </c>
      <c r="F433">
        <v>0.21789</v>
      </c>
      <c r="G433" s="1" t="s">
        <v>168</v>
      </c>
      <c r="K433" t="str">
        <f>HYPERLINK("https://lindat.mff.cuni.cz/services/SynSemClass55/SynSemClass55.html?veclass=vec00028", "vec00028 / klesnout (v41blkA)")</f>
        <v>vec00028 / klesnout (v41blkA)</v>
      </c>
      <c r="L433">
        <v>0.21789</v>
      </c>
      <c r="M433" t="s">
        <v>29</v>
      </c>
      <c r="P433" t="str">
        <f>HYPERLINK("https://lindat.mff.cuni.cz/services/SynSemClass55/SynSemClass55.html?veclass=vec00793", "vec00793 / zmírnit se (v41rkyA)")</f>
        <v>vec00793 / zmírnit se (v41rkyA)</v>
      </c>
      <c r="Q433">
        <v>8.5849999999999996E-2</v>
      </c>
      <c r="R433" t="s">
        <v>29</v>
      </c>
      <c r="U433" t="str">
        <f>HYPERLINK("https://lindat.mff.cuni.cz/services/SynSemClass55/SynSemClass55.html?veclass=vec01508", "vec01508 / ořezávat (v41eymA)")</f>
        <v>vec01508 / ořezávat (v41eymA)</v>
      </c>
      <c r="V433">
        <v>4.897E-2</v>
      </c>
      <c r="W433" t="s">
        <v>29</v>
      </c>
      <c r="Z433" t="str">
        <f>HYPERLINK("https://lindat.mff.cuni.cz/services/SynSemClass55/SynSemClass55.html?veclass=vec01880", "vec01880 / scvrknout se (v41kgeA)")</f>
        <v>vec01880 / scvrknout se (v41kgeA)</v>
      </c>
      <c r="AA433">
        <v>4.5220000000000003E-2</v>
      </c>
      <c r="AB433" t="s">
        <v>29</v>
      </c>
      <c r="AE433" t="str">
        <f>HYPERLINK("https://lindat.mff.cuni.cz/services/SynSemClass55/SynSemClass55.html?veclass=vec01744", "vec01744 / chátrat (v41bawA)")</f>
        <v>vec01744 / chátrat (v41bawA)</v>
      </c>
      <c r="AF433">
        <v>3.4979999999999997E-2</v>
      </c>
      <c r="AG433" t="s">
        <v>29</v>
      </c>
    </row>
    <row r="435" spans="1:33" x14ac:dyDescent="0.2">
      <c r="A435" t="str">
        <f>HYPERLINK("https://lindat.mff.cuni.cz/services/PDT-Vallex4.5/PDT-Vallex4.5.html?verb=sníst", "sníst")</f>
        <v>sníst</v>
      </c>
      <c r="B435" t="str">
        <f>HYPERLINK("https://lindat.mff.cuni.cz/services/PDT-Vallex4.5/PDT-Vallex4.5.html?verb=sníst#v41kxgB", "v41kxgB")</f>
        <v>v41kxgB</v>
      </c>
      <c r="E435">
        <v>2240</v>
      </c>
      <c r="F435">
        <v>0.83518999999999999</v>
      </c>
      <c r="G435" s="1">
        <v>0</v>
      </c>
      <c r="H435" s="1" t="s">
        <v>170</v>
      </c>
      <c r="I435" s="1" t="s">
        <v>169</v>
      </c>
      <c r="K435" t="str">
        <f>HYPERLINK("https://lindat.mff.cuni.cz/services/SynSemClass55/SynSemClass55.html?veclass=vec00828", "vec00828 / jíst (v41bifB)")</f>
        <v>vec00828 / jíst (v41bifB)</v>
      </c>
      <c r="L435">
        <v>0.83518999999999999</v>
      </c>
      <c r="M435" t="s">
        <v>29</v>
      </c>
      <c r="P435" t="str">
        <f>HYPERLINK("https://lindat.mff.cuni.cz/services/SynSemClass55/SynSemClass55.html?veclass=vec00800", "vec00800 / žvýkat (v41sexA)")</f>
        <v>vec00800 / žvýkat (v41sexA)</v>
      </c>
      <c r="Q435">
        <v>3.0669999999999999E-2</v>
      </c>
      <c r="R435" t="s">
        <v>29</v>
      </c>
      <c r="U435" t="str">
        <f>HYPERLINK("https://lindat.mff.cuni.cz/services/SynSemClass55/SynSemClass55.html?veclass=vec00877", "vec00877 / prahnout (v41gydA)")</f>
        <v>vec00877 / prahnout (v41gydA)</v>
      </c>
      <c r="V435">
        <v>2.3269999999999999E-2</v>
      </c>
      <c r="W435" t="s">
        <v>29</v>
      </c>
      <c r="Z435" t="str">
        <f>HYPERLINK("https://lindat.mff.cuni.cz/services/SynSemClass55/SynSemClass55.html?veclass=vec01680", "vec01680 / snít se (v41kxiA)")</f>
        <v>vec01680 / snít se (v41kxiA)</v>
      </c>
      <c r="AA435">
        <v>2.1590000000000002E-2</v>
      </c>
      <c r="AB435" t="s">
        <v>29</v>
      </c>
      <c r="AE435" t="str">
        <f>HYPERLINK("https://lindat.mff.cuni.cz/services/SynSemClass55/SynSemClass55.html?veclass=vec01514", "vec01514 / předávkovat (v41hvjA)")</f>
        <v>vec01514 / předávkovat (v41hvjA)</v>
      </c>
      <c r="AF435">
        <v>1.5910000000000001E-2</v>
      </c>
      <c r="AG435" t="s">
        <v>29</v>
      </c>
    </row>
    <row r="437" spans="1:33" x14ac:dyDescent="0.2">
      <c r="A437" t="str">
        <f>HYPERLINK("https://lindat.mff.cuni.cz/services/PDT-Vallex4.5/PDT-Vallex4.5.html?verb=snížit se", "snížit se")</f>
        <v>snížit se</v>
      </c>
      <c r="B437" t="str">
        <f>HYPERLINK("https://lindat.mff.cuni.cz/services/PDT-Vallex4.5/PDT-Vallex4.5.html?verb=snížit se#v41kxmB", "v41kxmB")</f>
        <v>v41kxmB</v>
      </c>
      <c r="E437">
        <v>361</v>
      </c>
      <c r="F437">
        <v>0.33535999999999999</v>
      </c>
      <c r="G437" s="1" t="s">
        <v>171</v>
      </c>
      <c r="K437" t="str">
        <f>HYPERLINK("https://lindat.mff.cuni.cz/services/SynSemClass55/SynSemClass55.html?veclass=vec00118", "vec00118 / snížit (v41kxlA)")</f>
        <v>vec00118 / snížit (v41kxlA)</v>
      </c>
      <c r="L437">
        <v>0.33535999999999999</v>
      </c>
      <c r="M437" t="s">
        <v>29</v>
      </c>
      <c r="P437" t="str">
        <f>HYPERLINK("https://lindat.mff.cuni.cz/services/SynSemClass55/SynSemClass55.html?veclass=vec00028", "vec00028 / klesnout (v41blkA)")</f>
        <v>vec00028 / klesnout (v41blkA)</v>
      </c>
      <c r="Q437">
        <v>0.14843000000000001</v>
      </c>
      <c r="R437" t="s">
        <v>29</v>
      </c>
      <c r="U437" t="str">
        <f>HYPERLINK("https://lindat.mff.cuni.cz/services/SynSemClass55/SynSemClass55.html?veclass=vec00807", "vec00807 / degradovat (v41qsA)")</f>
        <v>vec00807 / degradovat (v41qsA)</v>
      </c>
      <c r="V437">
        <v>3.3279999999999997E-2</v>
      </c>
      <c r="W437" t="s">
        <v>29</v>
      </c>
      <c r="Z437" t="str">
        <f>HYPERLINK("https://lindat.mff.cuni.cz/services/SynSemClass55/SynSemClass55.html?veclass=vec01508", "vec01508 / ořezávat (v41eymA)")</f>
        <v>vec01508 / ořezávat (v41eymA)</v>
      </c>
      <c r="AA437">
        <v>2.9059999999999999E-2</v>
      </c>
      <c r="AB437" t="s">
        <v>29</v>
      </c>
      <c r="AE437" t="str">
        <f>HYPERLINK("https://lindat.mff.cuni.cz/services/SynSemClass55/SynSemClass55.html?veclass=vec00588", "vec00588 / zkrátit (v41rhcA)")</f>
        <v>vec00588 / zkrátit (v41rhcA)</v>
      </c>
      <c r="AF437">
        <v>2.0410000000000001E-2</v>
      </c>
      <c r="AG437" t="s">
        <v>29</v>
      </c>
    </row>
    <row r="439" spans="1:33" x14ac:dyDescent="0.2">
      <c r="A439" t="str">
        <f>HYPERLINK("https://lindat.mff.cuni.cz/services/PDT-Vallex4.5/PDT-Vallex4.5.html?verb=soptit", "soptit")</f>
        <v>soptit</v>
      </c>
      <c r="B439" t="str">
        <f>HYPERLINK("https://lindat.mff.cuni.cz/services/PDT-Vallex4.5/PDT-Vallex4.5.html?verb=soptit#v41kybA", "v41kybA")</f>
        <v>v41kybA</v>
      </c>
      <c r="E439">
        <v>100</v>
      </c>
      <c r="F439">
        <v>0.11519</v>
      </c>
      <c r="G439" s="1" t="s">
        <v>172</v>
      </c>
      <c r="K439" t="str">
        <f>HYPERLINK("https://lindat.mff.cuni.cz/services/SynSemClass55/SynSemClass55.html?veclass=vec01489", "vec01489 / bručet (v41inA)")</f>
        <v>vec01489 / bručet (v41inA)</v>
      </c>
      <c r="L439">
        <v>0.11519</v>
      </c>
      <c r="M439" t="s">
        <v>29</v>
      </c>
      <c r="P439" t="str">
        <f>HYPERLINK("https://lindat.mff.cuni.cz/services/SynSemClass55/SynSemClass55.html?veclass=vec00426", "vec00426 / křičet (v41bwcA)")</f>
        <v>vec00426 / křičet (v41bwcA)</v>
      </c>
      <c r="Q439">
        <v>9.2910000000000006E-2</v>
      </c>
      <c r="R439" t="s">
        <v>29</v>
      </c>
      <c r="U439" t="str">
        <f>HYPERLINK("https://lindat.mff.cuni.cz/services/SynSemClass55/SynSemClass55.html?veclass=vec00633", "vec00633 / nadávat (v41cnkB)")</f>
        <v>vec00633 / nadávat (v41cnkB)</v>
      </c>
      <c r="V439">
        <v>7.4529999999999999E-2</v>
      </c>
      <c r="W439" t="s">
        <v>29</v>
      </c>
      <c r="Z439" t="str">
        <f>HYPERLINK("https://lindat.mff.cuni.cz/services/SynSemClass55/SynSemClass55.html?veclass=vec01398", "vec01398 / hvízdat si (v41azyA)")</f>
        <v>vec01398 / hvízdat si (v41azyA)</v>
      </c>
      <c r="AA439">
        <v>6.2619999999999995E-2</v>
      </c>
      <c r="AB439" t="s">
        <v>29</v>
      </c>
      <c r="AE439" t="str">
        <f>HYPERLINK("https://lindat.mff.cuni.cz/services/SynSemClass55/SynSemClass55.html?veclass=vec01056", "vec01056 / odfrknout si (v41dznA)")</f>
        <v>vec01056 / odfrknout si (v41dznA)</v>
      </c>
      <c r="AF439">
        <v>5.7939999999999998E-2</v>
      </c>
      <c r="AG439" t="s">
        <v>29</v>
      </c>
    </row>
    <row r="440" spans="1:33" x14ac:dyDescent="0.2">
      <c r="A440" t="str">
        <f>HYPERLINK("https://lindat.mff.cuni.cz/services/PDT-Vallex4.5/PDT-Vallex4.5.html?verb=soptit", "soptit")</f>
        <v>soptit</v>
      </c>
      <c r="B440" t="str">
        <f>HYPERLINK("https://lindat.mff.cuni.cz/services/PDT-Vallex4.5/PDT-Vallex4.5.html?verb=soptit#v41kybB", "v41kybB")</f>
        <v>v41kybB</v>
      </c>
      <c r="E440">
        <v>100</v>
      </c>
      <c r="F440">
        <v>0.11519</v>
      </c>
      <c r="G440" s="1" t="s">
        <v>173</v>
      </c>
      <c r="I440" s="1" t="s">
        <v>174</v>
      </c>
      <c r="K440" t="str">
        <f>HYPERLINK("https://lindat.mff.cuni.cz/services/SynSemClass55/SynSemClass55.html?veclass=vec01489", "vec01489 / bručet (v41inA)")</f>
        <v>vec01489 / bručet (v41inA)</v>
      </c>
      <c r="L440">
        <v>0.11519</v>
      </c>
      <c r="M440" t="s">
        <v>29</v>
      </c>
      <c r="P440" t="str">
        <f>HYPERLINK("https://lindat.mff.cuni.cz/services/SynSemClass55/SynSemClass55.html?veclass=vec00426", "vec00426 / křičet (v41bwcA)")</f>
        <v>vec00426 / křičet (v41bwcA)</v>
      </c>
      <c r="Q440">
        <v>9.2910000000000006E-2</v>
      </c>
      <c r="R440" t="s">
        <v>29</v>
      </c>
      <c r="U440" t="str">
        <f>HYPERLINK("https://lindat.mff.cuni.cz/services/SynSemClass55/SynSemClass55.html?veclass=vec00633", "vec00633 / nadávat (v41cnkB)")</f>
        <v>vec00633 / nadávat (v41cnkB)</v>
      </c>
      <c r="V440">
        <v>7.4529999999999999E-2</v>
      </c>
      <c r="W440" t="s">
        <v>29</v>
      </c>
      <c r="Z440" t="str">
        <f>HYPERLINK("https://lindat.mff.cuni.cz/services/SynSemClass55/SynSemClass55.html?veclass=vec01398", "vec01398 / hvízdat si (v41azyA)")</f>
        <v>vec01398 / hvízdat si (v41azyA)</v>
      </c>
      <c r="AA440">
        <v>6.2619999999999995E-2</v>
      </c>
      <c r="AB440" t="s">
        <v>29</v>
      </c>
      <c r="AE440" t="str">
        <f>HYPERLINK("https://lindat.mff.cuni.cz/services/SynSemClass55/SynSemClass55.html?veclass=vec01056", "vec01056 / odfrknout si (v41dznA)")</f>
        <v>vec01056 / odfrknout si (v41dznA)</v>
      </c>
      <c r="AF440">
        <v>5.7939999999999998E-2</v>
      </c>
      <c r="AG440" t="s">
        <v>29</v>
      </c>
    </row>
    <row r="442" spans="1:33" x14ac:dyDescent="0.2">
      <c r="A442" t="str">
        <f>HYPERLINK("https://lindat.mff.cuni.cz/services/PDT-Vallex4.5/PDT-Vallex4.5.html?verb=souznít", "souznít")</f>
        <v>souznít</v>
      </c>
      <c r="B442" t="str">
        <f>HYPERLINK("https://lindat.mff.cuni.cz/services/PDT-Vallex4.5/PDT-Vallex4.5.html?verb=souznít#v41kzqA", "v41kzqA")</f>
        <v>v41kzqA</v>
      </c>
      <c r="E442">
        <v>27</v>
      </c>
      <c r="F442">
        <v>0.15507000000000001</v>
      </c>
      <c r="G442" s="1" t="s">
        <v>175</v>
      </c>
      <c r="K442" t="str">
        <f>HYPERLINK("https://lindat.mff.cuni.cz/services/SynSemClass55/SynSemClass55.html?veclass=vec00250", "vec00250 / odpovídat (v41egyF)")</f>
        <v>vec00250 / odpovídat (v41egyF)</v>
      </c>
      <c r="L442">
        <v>0.15507000000000001</v>
      </c>
      <c r="M442" t="s">
        <v>29</v>
      </c>
      <c r="P442" t="str">
        <f>HYPERLINK("https://lindat.mff.cuni.cz/services/SynSemClass55/SynSemClass55.html?veclass=vec00318", "vec00318 / spojit se (v41lcwA)")</f>
        <v>vec00318 / spojit se (v41lcwA)</v>
      </c>
      <c r="Q442">
        <v>0.12529000000000001</v>
      </c>
      <c r="R442" t="s">
        <v>29</v>
      </c>
      <c r="U442" t="str">
        <f>HYPERLINK("https://lindat.mff.cuni.cz/services/SynSemClass55/SynSemClass55.html?veclass=vec01099", "vec01099 / rezonovat (v41jklA)")</f>
        <v>vec01099 / rezonovat (v41jklA)</v>
      </c>
      <c r="V442">
        <v>0.10094</v>
      </c>
      <c r="W442" t="s">
        <v>29</v>
      </c>
      <c r="Z442" t="str">
        <f>HYPERLINK("https://lindat.mff.cuni.cz/services/SynSemClass55/SynSemClass55.html?veclass=vec00929", "vec00929 / souhlasit (v41kypB)")</f>
        <v>vec00929 / souhlasit (v41kypB)</v>
      </c>
      <c r="AA442">
        <v>9.1410000000000005E-2</v>
      </c>
      <c r="AB442" t="s">
        <v>29</v>
      </c>
      <c r="AE442" t="str">
        <f>HYPERLINK("https://lindat.mff.cuni.cz/services/SynSemClass55/SynSemClass55.html?veclass=vec00892", "vec00892 / překrývat se (v41icuA)")</f>
        <v>vec00892 / překrývat se (v41icuA)</v>
      </c>
      <c r="AF442">
        <v>6.0630000000000003E-2</v>
      </c>
      <c r="AG442" t="s">
        <v>29</v>
      </c>
    </row>
    <row r="444" spans="1:33" x14ac:dyDescent="0.2">
      <c r="A444" t="str">
        <f>HYPERLINK("https://lindat.mff.cuni.cz/services/PDT-Vallex4.5/PDT-Vallex4.5.html?verb=soužit", "soužit")</f>
        <v>soužit</v>
      </c>
      <c r="B444" t="str">
        <f>HYPERLINK("https://lindat.mff.cuni.cz/services/PDT-Vallex4.5/PDT-Vallex4.5.html?verb=soužit#v41kzrA", "v41kzrA")</f>
        <v>v41kzrA</v>
      </c>
      <c r="E444">
        <v>94</v>
      </c>
      <c r="F444">
        <v>6.3420000000000004E-2</v>
      </c>
      <c r="G444" s="1" t="s">
        <v>32</v>
      </c>
      <c r="K444" t="str">
        <f>HYPERLINK("https://lindat.mff.cuni.cz/services/SynSemClass55/SynSemClass55.html?veclass=vec01133", "vec01133 / trápit se (v41mbhB)")</f>
        <v>vec01133 / trápit se (v41mbhB)</v>
      </c>
      <c r="L444">
        <v>6.3420000000000004E-2</v>
      </c>
      <c r="M444" t="s">
        <v>29</v>
      </c>
      <c r="P444" t="str">
        <f>HYPERLINK("https://lindat.mff.cuni.cz/services/SynSemClass55/SynSemClass55.html?veclass=vec01898", "vec01898 / sžírat (v41lsdA)")</f>
        <v>vec01898 / sžírat (v41lsdA)</v>
      </c>
      <c r="Q444">
        <v>5.6230000000000002E-2</v>
      </c>
      <c r="R444" t="s">
        <v>31</v>
      </c>
      <c r="U444" t="str">
        <f>HYPERLINK("https://lindat.mff.cuni.cz/services/SynSemClass55/SynSemClass55.html?veclass=vec01210", "vec01210 / dojmout (v41zgA)")</f>
        <v>vec01210 / dojmout (v41zgA)</v>
      </c>
      <c r="V444">
        <v>4.8899999999999999E-2</v>
      </c>
      <c r="W444" t="s">
        <v>29</v>
      </c>
      <c r="Z444" t="str">
        <f>HYPERLINK("https://lindat.mff.cuni.cz/services/SynSemClass55/SynSemClass55.html?veclass=vec00608", "vec00608 / dráždit (v41akkB)")</f>
        <v>vec00608 / dráždit (v41akkB)</v>
      </c>
      <c r="AA444">
        <v>3.7260000000000001E-2</v>
      </c>
      <c r="AB444" t="s">
        <v>29</v>
      </c>
      <c r="AE444" t="str">
        <f>HYPERLINK("https://lindat.mff.cuni.cz/services/SynSemClass55/SynSemClass55.html?veclass=vec00740", "vec00740 / utrpět (v41nbkB)")</f>
        <v>vec00740 / utrpět (v41nbkB)</v>
      </c>
      <c r="AF444">
        <v>3.603E-2</v>
      </c>
      <c r="AG444" t="s">
        <v>29</v>
      </c>
    </row>
    <row r="446" spans="1:33" x14ac:dyDescent="0.2">
      <c r="A446" t="str">
        <f>HYPERLINK("https://lindat.mff.cuni.cz/services/PDT-Vallex4.5/PDT-Vallex4.5.html?verb=spáchat", "spáchat")</f>
        <v>spáchat</v>
      </c>
      <c r="B446" t="str">
        <f>HYPERLINK("https://lindat.mff.cuni.cz/services/PDT-Vallex4.5/PDT-Vallex4.5.html?verb=spáchat#v41kzzA", "v41kzzA")</f>
        <v>v41kzzA</v>
      </c>
      <c r="E446">
        <v>1325</v>
      </c>
      <c r="F446">
        <v>0.69701999999999997</v>
      </c>
      <c r="G446" s="1" t="s">
        <v>176</v>
      </c>
      <c r="K446" t="str">
        <f>HYPERLINK("https://lindat.mff.cuni.cz/services/SynSemClass55/SynSemClass55.html?veclass=vec00009", "vec00009 / dopustit se (v41aeeA)")</f>
        <v>vec00009 / dopustit se (v41aeeA)</v>
      </c>
      <c r="L446">
        <v>0.69701999999999997</v>
      </c>
      <c r="M446" t="s">
        <v>29</v>
      </c>
      <c r="P446" t="str">
        <f>HYPERLINK("https://lindat.mff.cuni.cz/services/SynSemClass55/SynSemClass55.html?veclass=vec01742", "vec01742 / hřešit (v41azlB)")</f>
        <v>vec01742 / hřešit (v41azlB)</v>
      </c>
      <c r="Q446">
        <v>3.1759999999999997E-2</v>
      </c>
      <c r="R446" t="s">
        <v>29</v>
      </c>
      <c r="U446" t="str">
        <f>HYPERLINK("https://lindat.mff.cuni.cz/services/SynSemClass55/SynSemClass55.html?veclass=vec00089", "vec00089 / provést (v41hrmF)")</f>
        <v>vec00089 / provést (v41hrmF)</v>
      </c>
      <c r="V446">
        <v>2.6280000000000001E-2</v>
      </c>
      <c r="W446" t="s">
        <v>29</v>
      </c>
      <c r="Z446" t="str">
        <f>HYPERLINK("https://lindat.mff.cuni.cz/services/SynSemClass55/SynSemClass55.html?veclass=vec00365", "vec00365 / zabít (v41ppaA)")</f>
        <v>vec00365 / zabít (v41ppaA)</v>
      </c>
      <c r="AA446">
        <v>2.5239999999999999E-2</v>
      </c>
      <c r="AB446" t="s">
        <v>29</v>
      </c>
      <c r="AE446" t="str">
        <f>HYPERLINK("https://lindat.mff.cuni.cz/services/SynSemClass55/SynSemClass55.html?veclass=vec01727", "vec01727 / clít (v41lnA)")</f>
        <v>vec01727 / clít (v41lnA)</v>
      </c>
      <c r="AF446">
        <v>1.848E-2</v>
      </c>
      <c r="AG446" t="s">
        <v>29</v>
      </c>
    </row>
    <row r="448" spans="1:33" x14ac:dyDescent="0.2">
      <c r="A448" t="str">
        <f>HYPERLINK("https://lindat.mff.cuni.cz/services/PDT-Vallex4.5/PDT-Vallex4.5.html?verb=splatit", "splatit")</f>
        <v>splatit</v>
      </c>
      <c r="B448" t="str">
        <f>HYPERLINK("https://lindat.mff.cuni.cz/services/PDT-Vallex4.5/PDT-Vallex4.5.html?verb=splatit#v41lbvB", "v41lbvB")</f>
        <v>v41lbvB</v>
      </c>
      <c r="E448">
        <v>300</v>
      </c>
      <c r="F448">
        <v>0.91903000000000001</v>
      </c>
      <c r="G448" s="1">
        <v>0</v>
      </c>
      <c r="I448" s="1" t="s">
        <v>177</v>
      </c>
      <c r="K448" t="str">
        <f>HYPERLINK("https://lindat.mff.cuni.cz/services/SynSemClass55/SynSemClass55.html?veclass=vec00125", "vec00125 / splatit (v41lbvA)")</f>
        <v>vec00125 / splatit (v41lbvA)</v>
      </c>
      <c r="L448">
        <v>0.91903000000000001</v>
      </c>
      <c r="M448" t="s">
        <v>29</v>
      </c>
      <c r="P448" t="str">
        <f>HYPERLINK("https://lindat.mff.cuni.cz/services/SynSemClass55/SynSemClass55.html?veclass=vec01159", "vec01159 / vyplatit (v41oonD)")</f>
        <v>vec01159 / vyplatit (v41oonD)</v>
      </c>
      <c r="Q448">
        <v>1.7899999999999999E-2</v>
      </c>
      <c r="R448" t="s">
        <v>29</v>
      </c>
      <c r="U448" t="str">
        <f>HYPERLINK("https://lindat.mff.cuni.cz/services/SynSemClass55/SynSemClass55.html?veclass=vec01840", "vec01840 / proplácet (v41hkcA)")</f>
        <v>vec01840 / proplácet (v41hkcA)</v>
      </c>
      <c r="V448">
        <v>1.1610000000000001E-2</v>
      </c>
      <c r="W448" t="s">
        <v>29</v>
      </c>
      <c r="Z448" t="str">
        <f>HYPERLINK("https://lindat.mff.cuni.cz/services/SynSemClass55/SynSemClass55.html?veclass=vec01576", "vec01576 / narovnat (v41czjA)")</f>
        <v>vec01576 / narovnat (v41czjA)</v>
      </c>
      <c r="AA448">
        <v>1.1270000000000001E-2</v>
      </c>
      <c r="AB448" t="s">
        <v>29</v>
      </c>
      <c r="AE448" t="str">
        <f>HYPERLINK("https://lindat.mff.cuni.cz/services/SynSemClass55/SynSemClass55.html?veclass=vec00406", "vec00406 / dlužit (v41vkA)")</f>
        <v>vec00406 / dlužit (v41vkA)</v>
      </c>
      <c r="AF448">
        <v>1.1209999999999999E-2</v>
      </c>
      <c r="AG448" t="s">
        <v>29</v>
      </c>
    </row>
    <row r="450" spans="1:33" x14ac:dyDescent="0.2">
      <c r="A450" t="str">
        <f>HYPERLINK("https://lindat.mff.cuni.cz/services/PDT-Vallex4.5/PDT-Vallex4.5.html?verb=stáčet se", "stáčet se")</f>
        <v>stáčet se</v>
      </c>
      <c r="B450" t="str">
        <f>HYPERLINK("https://lindat.mff.cuni.cz/services/PDT-Vallex4.5/PDT-Vallex4.5.html?verb=stáčet se#v41lheA", "v41lheA")</f>
        <v>v41lheA</v>
      </c>
      <c r="E450">
        <v>282</v>
      </c>
      <c r="F450">
        <v>0.13467999999999999</v>
      </c>
      <c r="G450" s="1" t="s">
        <v>178</v>
      </c>
      <c r="K450" t="str">
        <f>HYPERLINK("https://lindat.mff.cuni.cz/services/SynSemClass55/SynSemClass55.html?veclass=vec00637", "vec00637 / naklonit se (v41csfB)")</f>
        <v>vec00637 / naklonit se (v41csfB)</v>
      </c>
      <c r="L450">
        <v>0.13467999999999999</v>
      </c>
      <c r="M450" t="s">
        <v>29</v>
      </c>
      <c r="P450" t="str">
        <f>HYPERLINK("https://lindat.mff.cuni.cz/services/SynSemClass55/SynSemClass55.html?veclass=vec00931", "vec00931 / stočit se (v41lkvA)")</f>
        <v>vec00931 / stočit se (v41lkvA)</v>
      </c>
      <c r="Q450">
        <v>8.4669999999999995E-2</v>
      </c>
      <c r="R450" t="s">
        <v>29</v>
      </c>
      <c r="U450" t="str">
        <f>HYPERLINK("https://lindat.mff.cuni.cz/services/SynSemClass55/SynSemClass55.html?veclass=vec00626", "vec00626 / kymácet se (v41bxpA)")</f>
        <v>vec00626 / kymácet se (v41bxpA)</v>
      </c>
      <c r="V450">
        <v>7.5420000000000001E-2</v>
      </c>
      <c r="W450" t="s">
        <v>29</v>
      </c>
      <c r="Z450" t="str">
        <f>HYPERLINK("https://lindat.mff.cuni.cz/services/SynSemClass55/SynSemClass55.html?veclass=vec00949", "vec00949 / valit se (v41nghA)")</f>
        <v>vec00949 / valit se (v41nghA)</v>
      </c>
      <c r="AA450">
        <v>5.8009999999999999E-2</v>
      </c>
      <c r="AB450" t="s">
        <v>29</v>
      </c>
      <c r="AE450" t="str">
        <f>HYPERLINK("https://lindat.mff.cuni.cz/services/SynSemClass55/SynSemClass55.html?veclass=vec01708", "vec01708 / zatáčet (v41qooC)")</f>
        <v>vec01708 / zatáčet (v41qooC)</v>
      </c>
      <c r="AF450">
        <v>5.4469999999999998E-2</v>
      </c>
      <c r="AG450" t="s">
        <v>29</v>
      </c>
    </row>
    <row r="452" spans="1:33" x14ac:dyDescent="0.2">
      <c r="A452" t="str">
        <f>HYPERLINK("https://lindat.mff.cuni.cz/services/PDT-Vallex4.5/PDT-Vallex4.5.html?verb=stlačovat", "stlačovat")</f>
        <v>stlačovat</v>
      </c>
      <c r="B452" t="str">
        <f>HYPERLINK("https://lindat.mff.cuni.cz/services/PDT-Vallex4.5/PDT-Vallex4.5.html?verb=stlačovat#v41lknB", "v41lknB")</f>
        <v>v41lknB</v>
      </c>
      <c r="E452">
        <v>34</v>
      </c>
      <c r="F452">
        <v>6.8629999999999997E-2</v>
      </c>
      <c r="G452" s="1" t="s">
        <v>32</v>
      </c>
      <c r="K452" t="str">
        <f>HYPERLINK("https://lindat.mff.cuni.cz/services/SynSemClass55/SynSemClass55.html?veclass=vec00728", "vec00728 / stisknout (v41lkhA)")</f>
        <v>vec00728 / stisknout (v41lkhA)</v>
      </c>
      <c r="L452">
        <v>6.8629999999999997E-2</v>
      </c>
      <c r="M452" t="s">
        <v>31</v>
      </c>
      <c r="P452" t="str">
        <f>HYPERLINK("https://lindat.mff.cuni.cz/services/SynSemClass55/SynSemClass55.html?veclass=vec01971", "vec01971 / zatlačovat (v41qpwA)")</f>
        <v>vec01971 / zatlačovat (v41qpwA)</v>
      </c>
      <c r="Q452">
        <v>5.2760000000000001E-2</v>
      </c>
      <c r="R452" t="s">
        <v>29</v>
      </c>
      <c r="U452" t="str">
        <f>HYPERLINK("https://lindat.mff.cuni.cz/services/SynSemClass55/SynSemClass55.html?veclass=vec00943", "vec00943 / utáhnout (v41mzjC)")</f>
        <v>vec00943 / utáhnout (v41mzjC)</v>
      </c>
      <c r="V452">
        <v>4.5379999999999997E-2</v>
      </c>
      <c r="W452" t="s">
        <v>29</v>
      </c>
      <c r="Z452" t="str">
        <f>HYPERLINK("https://lindat.mff.cuni.cz/services/SynSemClass55/SynSemClass55.html?veclass=vec01403", "vec01403 / kopat (v41bsgD)")</f>
        <v>vec01403 / kopat (v41bsgD)</v>
      </c>
      <c r="AA452">
        <v>3.7740000000000003E-2</v>
      </c>
      <c r="AB452" t="s">
        <v>29</v>
      </c>
      <c r="AE452" t="str">
        <f>HYPERLINK("https://lindat.mff.cuni.cz/services/SynSemClass55/SynSemClass55.html?veclass=vec00997", "vec00997 / zpevnit (v41rsiA)")</f>
        <v>vec00997 / zpevnit (v41rsiA)</v>
      </c>
      <c r="AF452">
        <v>3.3340000000000002E-2</v>
      </c>
      <c r="AG452" t="s">
        <v>29</v>
      </c>
    </row>
    <row r="454" spans="1:33" x14ac:dyDescent="0.2">
      <c r="A454" t="str">
        <f>HYPERLINK("https://lindat.mff.cuni.cz/services/PDT-Vallex4.5/PDT-Vallex4.5.html?verb=stmelit", "stmelit")</f>
        <v>stmelit</v>
      </c>
      <c r="B454" t="str">
        <f>HYPERLINK("https://lindat.mff.cuni.cz/services/PDT-Vallex4.5/PDT-Vallex4.5.html?verb=stmelit#v41lkrA", "v41lkrA")</f>
        <v>v41lkrA</v>
      </c>
      <c r="E454">
        <v>25</v>
      </c>
      <c r="F454">
        <v>0.20144999999999999</v>
      </c>
      <c r="G454" s="1" t="s">
        <v>32</v>
      </c>
      <c r="K454" t="str">
        <f>HYPERLINK("https://lindat.mff.cuni.cz/services/SynSemClass55/SynSemClass55.html?veclass=vec00723", "vec00723 / spojit (v41lcuA)")</f>
        <v>vec00723 / spojit (v41lcuA)</v>
      </c>
      <c r="L454">
        <v>0.20144999999999999</v>
      </c>
      <c r="M454" t="s">
        <v>31</v>
      </c>
      <c r="P454" t="str">
        <f>HYPERLINK("https://lindat.mff.cuni.cz/services/SynSemClass55/SynSemClass55.html?veclass=vec00318", "vec00318 / spojit se (v41lcwA)")</f>
        <v>vec00318 / spojit se (v41lcwA)</v>
      </c>
      <c r="Q454">
        <v>0.11461</v>
      </c>
      <c r="R454" t="s">
        <v>29</v>
      </c>
      <c r="U454" t="str">
        <f>HYPERLINK("https://lindat.mff.cuni.cz/services/SynSemClass55/SynSemClass55.html?veclass=vec00443", "vec00443 / nashromáždit (v41dbbA)")</f>
        <v>vec00443 / nashromáždit (v41dbbA)</v>
      </c>
      <c r="V454">
        <v>3.6830000000000002E-2</v>
      </c>
      <c r="W454" t="s">
        <v>29</v>
      </c>
      <c r="Z454" t="str">
        <f>HYPERLINK("https://lindat.mff.cuni.cz/services/SynSemClass55/SynSemClass55.html?veclass=vec01886", "vec01886 / slisovat (v41ktfA)")</f>
        <v>vec01886 / slisovat (v41ktfA)</v>
      </c>
      <c r="AA454">
        <v>3.32E-2</v>
      </c>
      <c r="AB454" t="s">
        <v>29</v>
      </c>
      <c r="AE454" t="str">
        <f>HYPERLINK("https://lindat.mff.cuni.cz/services/SynSemClass55/SynSemClass55.html?veclass=vec01444", "vec01444 / skládat (v41kqdC)")</f>
        <v>vec01444 / skládat (v41kqdC)</v>
      </c>
      <c r="AF454">
        <v>3.1739999999999997E-2</v>
      </c>
      <c r="AG454" t="s">
        <v>29</v>
      </c>
    </row>
    <row r="456" spans="1:33" x14ac:dyDescent="0.2">
      <c r="A456" t="str">
        <f>HYPERLINK("https://lindat.mff.cuni.cz/services/PDT-Vallex4.5/PDT-Vallex4.5.html?verb=strpět", "strpět")</f>
        <v>strpět</v>
      </c>
      <c r="B456" t="str">
        <f>HYPERLINK("https://lindat.mff.cuni.cz/services/PDT-Vallex4.5/PDT-Vallex4.5.html?verb=strpět#v41lmpA", "v41lmpA")</f>
        <v>v41lmpA</v>
      </c>
      <c r="E456">
        <v>265</v>
      </c>
      <c r="F456">
        <v>0.35691000000000001</v>
      </c>
      <c r="G456" s="1" t="s">
        <v>32</v>
      </c>
      <c r="K456" t="str">
        <f>HYPERLINK("https://lindat.mff.cuni.cz/services/SynSemClass55/SynSemClass55.html?veclass=vec00970", "vec00970 / vystát (v41oxoB)")</f>
        <v>vec00970 / vystát (v41oxoB)</v>
      </c>
      <c r="L456">
        <v>0.35691000000000001</v>
      </c>
      <c r="M456" t="s">
        <v>29</v>
      </c>
      <c r="P456" t="str">
        <f>HYPERLINK("https://lindat.mff.cuni.cz/services/SynSemClass55/SynSemClass55.html?veclass=vec01989", "vec01989 / zvládat (v41scaA)")</f>
        <v>vec01989 / zvládat (v41scaA)</v>
      </c>
      <c r="Q456">
        <v>8.1500000000000003E-2</v>
      </c>
      <c r="R456" t="s">
        <v>29</v>
      </c>
      <c r="U456" t="str">
        <f>HYPERLINK("https://lindat.mff.cuni.cz/services/SynSemClass55/SynSemClass55.html?veclass=vec00491", "vec00491 / přečkat (v41huyA)")</f>
        <v>vec00491 / přečkat (v41huyA)</v>
      </c>
      <c r="V456">
        <v>3.968E-2</v>
      </c>
      <c r="W456" t="s">
        <v>29</v>
      </c>
      <c r="Z456" t="str">
        <f>HYPERLINK("https://lindat.mff.cuni.cz/services/SynSemClass55/SynSemClass55.html?veclass=vec01128", "vec01128 / tolerovat (v41lzxA)")</f>
        <v>vec01128 / tolerovat (v41lzxA)</v>
      </c>
      <c r="AA456">
        <v>3.9030000000000002E-2</v>
      </c>
      <c r="AB456" t="s">
        <v>31</v>
      </c>
      <c r="AE456" t="str">
        <f>HYPERLINK("https://lindat.mff.cuni.cz/services/SynSemClass55/SynSemClass55.html?veclass=vec00958", "vec00958 / vyčinit (v41nvxA)")</f>
        <v>vec00958 / vyčinit (v41nvxA)</v>
      </c>
      <c r="AF456">
        <v>2.699E-2</v>
      </c>
      <c r="AG456" t="s">
        <v>29</v>
      </c>
    </row>
    <row r="458" spans="1:33" x14ac:dyDescent="0.2">
      <c r="A458" t="str">
        <f>HYPERLINK("https://lindat.mff.cuni.cz/services/PDT-Vallex4.5/PDT-Vallex4.5.html?verb=střetávat", "střetávat")</f>
        <v>střetávat</v>
      </c>
      <c r="B458" t="str">
        <f>HYPERLINK("https://lindat.mff.cuni.cz/services/PDT-Vallex4.5/PDT-Vallex4.5.html?verb=střetávat#v41lncA", "v41lncA")</f>
        <v>v41lncA</v>
      </c>
      <c r="E458">
        <v>53</v>
      </c>
      <c r="F458">
        <v>0.59179999999999999</v>
      </c>
      <c r="G458" s="1" t="s">
        <v>179</v>
      </c>
      <c r="K458" t="str">
        <f>HYPERLINK("https://lindat.mff.cuni.cz/services/SynSemClass55/SynSemClass55.html?veclass=vec00121", "vec00121 / soupeřit (v41kyvA)")</f>
        <v>vec00121 / soupeřit (v41kyvA)</v>
      </c>
      <c r="L458">
        <v>0.59179999999999999</v>
      </c>
      <c r="M458" t="s">
        <v>29</v>
      </c>
      <c r="P458" t="str">
        <f>HYPERLINK("https://lindat.mff.cuni.cz/services/SynSemClass55/SynSemClass55.html?veclass=vec00205", "vec00205 / čelit (v41mwA)")</f>
        <v>vec00205 / čelit (v41mwA)</v>
      </c>
      <c r="Q458">
        <v>0.12171999999999999</v>
      </c>
      <c r="R458" t="s">
        <v>29</v>
      </c>
      <c r="U458" t="str">
        <f>HYPERLINK("https://lindat.mff.cuni.cz/services/SynSemClass55/SynSemClass55.html?veclass=vec00892", "vec00892 / překrývat se (v41icuA)")</f>
        <v>vec00892 / překrývat se (v41icuA)</v>
      </c>
      <c r="V458">
        <v>5.1880000000000003E-2</v>
      </c>
      <c r="W458" t="s">
        <v>29</v>
      </c>
      <c r="Z458" t="str">
        <f>HYPERLINK("https://lindat.mff.cuni.cz/services/SynSemClass55/SynSemClass55.html?veclass=vec00639", "vec00639 / narazit (v41cyxF)")</f>
        <v>vec00639 / narazit (v41cyxF)</v>
      </c>
      <c r="AA458">
        <v>3.066E-2</v>
      </c>
      <c r="AB458" t="s">
        <v>29</v>
      </c>
      <c r="AE458" t="str">
        <f>HYPERLINK("https://lindat.mff.cuni.cz/services/SynSemClass55/SynSemClass55.html?veclass=vec00019", "vec00019 / handrkovat se (v41atvA)")</f>
        <v>vec00019 / handrkovat se (v41atvA)</v>
      </c>
      <c r="AF458">
        <v>1.5599999999999999E-2</v>
      </c>
      <c r="AG458" t="s">
        <v>29</v>
      </c>
    </row>
    <row r="459" spans="1:33" x14ac:dyDescent="0.2">
      <c r="A459" t="str">
        <f>HYPERLINK("https://lindat.mff.cuni.cz/services/PDT-Vallex4.5/PDT-Vallex4.5.html?verb=střetávat", "střetávat")</f>
        <v>střetávat</v>
      </c>
      <c r="B459" t="str">
        <f>HYPERLINK("https://lindat.mff.cuni.cz/services/PDT-Vallex4.5/PDT-Vallex4.5.html?verb=střetávat#v41lncB", "v41lncB")</f>
        <v>v41lncB</v>
      </c>
      <c r="E459">
        <v>53</v>
      </c>
      <c r="F459">
        <v>0.59179999999999999</v>
      </c>
      <c r="G459" s="1" t="s">
        <v>179</v>
      </c>
      <c r="K459" t="str">
        <f>HYPERLINK("https://lindat.mff.cuni.cz/services/SynSemClass55/SynSemClass55.html?veclass=vec00121", "vec00121 / soupeřit (v41kyvA)")</f>
        <v>vec00121 / soupeřit (v41kyvA)</v>
      </c>
      <c r="L459">
        <v>0.59179999999999999</v>
      </c>
      <c r="M459" t="s">
        <v>29</v>
      </c>
      <c r="P459" t="str">
        <f>HYPERLINK("https://lindat.mff.cuni.cz/services/SynSemClass55/SynSemClass55.html?veclass=vec00205", "vec00205 / čelit (v41mwA)")</f>
        <v>vec00205 / čelit (v41mwA)</v>
      </c>
      <c r="Q459">
        <v>0.12171999999999999</v>
      </c>
      <c r="R459" t="s">
        <v>29</v>
      </c>
      <c r="U459" t="str">
        <f>HYPERLINK("https://lindat.mff.cuni.cz/services/SynSemClass55/SynSemClass55.html?veclass=vec00892", "vec00892 / překrývat se (v41icuA)")</f>
        <v>vec00892 / překrývat se (v41icuA)</v>
      </c>
      <c r="V459">
        <v>5.1880000000000003E-2</v>
      </c>
      <c r="W459" t="s">
        <v>29</v>
      </c>
      <c r="Z459" t="str">
        <f>HYPERLINK("https://lindat.mff.cuni.cz/services/SynSemClass55/SynSemClass55.html?veclass=vec00639", "vec00639 / narazit (v41cyxF)")</f>
        <v>vec00639 / narazit (v41cyxF)</v>
      </c>
      <c r="AA459">
        <v>3.066E-2</v>
      </c>
      <c r="AB459" t="s">
        <v>29</v>
      </c>
      <c r="AE459" t="str">
        <f>HYPERLINK("https://lindat.mff.cuni.cz/services/SynSemClass55/SynSemClass55.html?veclass=vec00019", "vec00019 / handrkovat se (v41atvA)")</f>
        <v>vec00019 / handrkovat se (v41atvA)</v>
      </c>
      <c r="AF459">
        <v>1.5599999999999999E-2</v>
      </c>
      <c r="AG459" t="s">
        <v>29</v>
      </c>
    </row>
    <row r="461" spans="1:33" x14ac:dyDescent="0.2">
      <c r="A461" t="str">
        <f>HYPERLINK("https://lindat.mff.cuni.cz/services/PDT-Vallex4.5/PDT-Vallex4.5.html?verb=svolovat", "svolovat")</f>
        <v>svolovat</v>
      </c>
      <c r="B461" t="str">
        <f>HYPERLINK("https://lindat.mff.cuni.cz/services/PDT-Vallex4.5/PDT-Vallex4.5.html?verb=svolovat#v41lreA", "v41lreA")</f>
        <v>v41lreA</v>
      </c>
      <c r="E461">
        <v>24</v>
      </c>
      <c r="F461">
        <v>0.14423</v>
      </c>
      <c r="G461" s="1" t="s">
        <v>32</v>
      </c>
      <c r="K461" t="str">
        <f>HYPERLINK("https://lindat.mff.cuni.cz/services/SynSemClass55/SynSemClass55.html?veclass=vec00012", "vec00012 / dovolit (v41aiqA)")</f>
        <v>vec00012 / dovolit (v41aiqA)</v>
      </c>
      <c r="L461">
        <v>0.14423</v>
      </c>
      <c r="M461" t="s">
        <v>33</v>
      </c>
      <c r="P461" t="str">
        <f>HYPERLINK("https://lindat.mff.cuni.cz/services/SynSemClass55/SynSemClass55.html?veclass=vec00120", "vec00120 / souhlasit (v41kypC)")</f>
        <v>vec00120 / souhlasit (v41kypC)</v>
      </c>
      <c r="Q461">
        <v>0.10821</v>
      </c>
      <c r="R461" t="s">
        <v>29</v>
      </c>
      <c r="U461" t="str">
        <f>HYPERLINK("https://lindat.mff.cuni.cz/services/SynSemClass55/SynSemClass55.html?veclass=vec00503", "vec00503 / přiznat se (v41jcjA)")</f>
        <v>vec00503 / přiznat se (v41jcjA)</v>
      </c>
      <c r="V461">
        <v>5.935E-2</v>
      </c>
      <c r="W461" t="s">
        <v>29</v>
      </c>
      <c r="Z461" t="str">
        <f>HYPERLINK("https://lindat.mff.cuni.cz/services/SynSemClass55/SynSemClass55.html?veclass=vec01320", "vec01320 / souhlasit (v41kypA)")</f>
        <v>vec01320 / souhlasit (v41kypA)</v>
      </c>
      <c r="AA461">
        <v>5.8479999999999997E-2</v>
      </c>
      <c r="AB461" t="s">
        <v>29</v>
      </c>
      <c r="AE461" t="str">
        <f>HYPERLINK("https://lindat.mff.cuni.cz/services/SynSemClass55/SynSemClass55.html?veclass=vec00633", "vec00633 / nadávat (v41cnkB)")</f>
        <v>vec00633 / nadávat (v41cnkB)</v>
      </c>
      <c r="AF461">
        <v>4.4269999999999997E-2</v>
      </c>
      <c r="AG461" t="s">
        <v>29</v>
      </c>
    </row>
    <row r="463" spans="1:33" x14ac:dyDescent="0.2">
      <c r="A463" t="str">
        <f>HYPERLINK("https://lindat.mff.cuni.cz/services/PDT-Vallex4.5/PDT-Vallex4.5.html?verb=škudlit", "škudlit")</f>
        <v>škudlit</v>
      </c>
      <c r="B463" t="str">
        <f>HYPERLINK("https://lindat.mff.cuni.cz/services/PDT-Vallex4.5/PDT-Vallex4.5.html?verb=škudlit#v41lubB", "v41lubB")</f>
        <v>v41lubB</v>
      </c>
      <c r="E463">
        <v>32</v>
      </c>
      <c r="F463">
        <v>0.10784000000000001</v>
      </c>
      <c r="G463" s="1" t="s">
        <v>32</v>
      </c>
      <c r="K463" t="str">
        <f>HYPERLINK("https://lindat.mff.cuni.cz/services/SynSemClass55/SynSemClass55.html?veclass=vec00886", "vec00886 / promrhat (v41hikA)")</f>
        <v>vec00886 / promrhat (v41hikA)</v>
      </c>
      <c r="L463">
        <v>0.10784000000000001</v>
      </c>
      <c r="M463" t="s">
        <v>31</v>
      </c>
      <c r="N463" t="s">
        <v>180</v>
      </c>
      <c r="P463" t="str">
        <f>HYPERLINK("https://lindat.mff.cuni.cz/services/SynSemClass55/SynSemClass55.html?veclass=vec00958", "vec00958 / vyčinit (v41nvxA)")</f>
        <v>vec00958 / vyčinit (v41nvxA)</v>
      </c>
      <c r="Q463">
        <v>4.7879999999999999E-2</v>
      </c>
      <c r="R463" t="s">
        <v>29</v>
      </c>
      <c r="U463" t="str">
        <f>HYPERLINK("https://lindat.mff.cuni.cz/services/SynSemClass55/SynSemClass55.html?veclass=vec01924", "vec01924 / vnucovat se (v41noiA)")</f>
        <v>vec01924 / vnucovat se (v41noiA)</v>
      </c>
      <c r="V463">
        <v>4.351E-2</v>
      </c>
      <c r="W463" t="s">
        <v>29</v>
      </c>
      <c r="Z463" t="str">
        <f>HYPERLINK("https://lindat.mff.cuni.cz/services/SynSemClass55/SynSemClass55.html?veclass=vec01216", "vec01216 / hrabat se (v41aygA)")</f>
        <v>vec01216 / hrabat se (v41aygA)</v>
      </c>
      <c r="AA463">
        <v>4.02E-2</v>
      </c>
      <c r="AB463" t="s">
        <v>29</v>
      </c>
      <c r="AE463" t="str">
        <f>HYPERLINK("https://lindat.mff.cuni.cz/services/SynSemClass55/SynSemClass55.html?veclass=vec00145", "vec00145 / ušklíbnout se (v41myzA)")</f>
        <v>vec00145 / ušklíbnout se (v41myzA)</v>
      </c>
      <c r="AF463">
        <v>0.04</v>
      </c>
      <c r="AG463" t="s">
        <v>29</v>
      </c>
    </row>
    <row r="465" spans="1:33" x14ac:dyDescent="0.2">
      <c r="A465" t="str">
        <f>HYPERLINK("https://lindat.mff.cuni.cz/services/PDT-Vallex4.5/PDT-Vallex4.5.html?verb=tajit", "tajit")</f>
        <v>tajit</v>
      </c>
      <c r="B465" t="str">
        <f>HYPERLINK("https://lindat.mff.cuni.cz/services/PDT-Vallex4.5/PDT-Vallex4.5.html?verb=tajit#v41lwiA", "v41lwiA")</f>
        <v>v41lwiA</v>
      </c>
      <c r="E465">
        <v>893</v>
      </c>
      <c r="F465">
        <v>0.56523000000000001</v>
      </c>
      <c r="G465" s="1" t="s">
        <v>32</v>
      </c>
      <c r="K465" t="str">
        <f>HYPERLINK("https://lindat.mff.cuni.cz/services/SynSemClass55/SynSemClass55.html?veclass=vec00514", "vec00514 / skrýt (v41krqB)")</f>
        <v>vec00514 / skrýt (v41krqB)</v>
      </c>
      <c r="L465">
        <v>0.56523000000000001</v>
      </c>
      <c r="M465" t="s">
        <v>31</v>
      </c>
      <c r="P465" t="str">
        <f>HYPERLINK("https://lindat.mff.cuni.cz/services/SynSemClass55/SynSemClass55.html?veclass=vec00714", "vec00714 / skrývat se (v41krtA)")</f>
        <v>vec00714 / skrývat se (v41krtA)</v>
      </c>
      <c r="Q465">
        <v>4.3189999999999999E-2</v>
      </c>
      <c r="R465" t="s">
        <v>29</v>
      </c>
      <c r="U465" t="str">
        <f>HYPERLINK("https://lindat.mff.cuni.cz/services/SynSemClass55/SynSemClass55.html?veclass=vec01711", "vec01711 / zatajit se (v41qovA)")</f>
        <v>vec01711 / zatajit se (v41qovA)</v>
      </c>
      <c r="V465">
        <v>3.993E-2</v>
      </c>
      <c r="W465" t="s">
        <v>29</v>
      </c>
      <c r="Z465" t="str">
        <f>HYPERLINK("https://lindat.mff.cuni.cz/services/SynSemClass55/SynSemClass55.html?veclass=vec00418", "vec00418 / chlubit se (v41bbeA)")</f>
        <v>vec00418 / chlubit se (v41bbeA)</v>
      </c>
      <c r="AA465">
        <v>2.767E-2</v>
      </c>
      <c r="AB465" t="s">
        <v>29</v>
      </c>
      <c r="AE465" t="str">
        <f>HYPERLINK("https://lindat.mff.cuni.cz/services/SynSemClass55/SynSemClass55.html?veclass=vec01338", "vec01338 / ulít (v41mnvA)")</f>
        <v>vec01338 / ulít (v41mnvA)</v>
      </c>
      <c r="AF465">
        <v>2.631E-2</v>
      </c>
      <c r="AG465" t="s">
        <v>29</v>
      </c>
    </row>
    <row r="467" spans="1:33" x14ac:dyDescent="0.2">
      <c r="A467" t="str">
        <f>HYPERLINK("https://lindat.mff.cuni.cz/services/PDT-Vallex4.5/PDT-Vallex4.5.html?verb=tisknout", "tisknout")</f>
        <v>tisknout</v>
      </c>
      <c r="B467" t="str">
        <f>HYPERLINK("https://lindat.mff.cuni.cz/services/PDT-Vallex4.5/PDT-Vallex4.5.html?verb=tisknout#v41lzaB", "v41lzaB")</f>
        <v>v41lzaB</v>
      </c>
      <c r="E467">
        <v>2150</v>
      </c>
      <c r="F467">
        <v>9.0990000000000001E-2</v>
      </c>
      <c r="G467" s="1" t="s">
        <v>32</v>
      </c>
      <c r="K467" t="str">
        <f>HYPERLINK("https://lindat.mff.cuni.cz/services/SynSemClass55/SynSemClass55.html?veclass=vec00528", "vec00528 / tisknout (v41lzaA)")</f>
        <v>vec00528 / tisknout (v41lzaA)</v>
      </c>
      <c r="L467">
        <v>9.0990000000000001E-2</v>
      </c>
      <c r="M467" t="s">
        <v>29</v>
      </c>
      <c r="P467" t="str">
        <f>HYPERLINK("https://lindat.mff.cuni.cz/services/SynSemClass55/SynSemClass55.html?veclass=vec00728", "vec00728 / stisknout (v41lkhA)")</f>
        <v>vec00728 / stisknout (v41lkhA)</v>
      </c>
      <c r="Q467">
        <v>5.5239999999999997E-2</v>
      </c>
      <c r="R467" t="s">
        <v>31</v>
      </c>
      <c r="U467" t="str">
        <f>HYPERLINK("https://lindat.mff.cuni.cz/services/SynSemClass55/SynSemClass55.html?veclass=vec00899", "vec00899 / připevnit (v41ivdA)")</f>
        <v>vec00899 / připevnit (v41ivdA)</v>
      </c>
      <c r="V467">
        <v>5.2549999999999999E-2</v>
      </c>
      <c r="W467" t="s">
        <v>29</v>
      </c>
      <c r="Z467" t="str">
        <f>HYPERLINK("https://lindat.mff.cuni.cz/services/SynSemClass55/SynSemClass55.html?veclass=vec00735", "vec00735 / umístit (v41motA)")</f>
        <v>vec00735 / umístit (v41motA)</v>
      </c>
      <c r="AA467">
        <v>4.1840000000000002E-2</v>
      </c>
      <c r="AB467" t="s">
        <v>29</v>
      </c>
      <c r="AE467" t="str">
        <f>HYPERLINK("https://lindat.mff.cuni.cz/services/SynSemClass55/SynSemClass55.html?veclass=vec01226", "vec01226 / mávat (v41cetB)")</f>
        <v>vec01226 / mávat (v41cetB)</v>
      </c>
      <c r="AF467">
        <v>2.5590000000000002E-2</v>
      </c>
      <c r="AG467" t="s">
        <v>29</v>
      </c>
    </row>
    <row r="469" spans="1:33" x14ac:dyDescent="0.2">
      <c r="A469" t="str">
        <f>HYPERLINK("https://lindat.mff.cuni.cz/services/PDT-Vallex4.5/PDT-Vallex4.5.html?verb=tlumit", "tlumit")</f>
        <v>tlumit</v>
      </c>
      <c r="B469" t="str">
        <f>HYPERLINK("https://lindat.mff.cuni.cz/services/PDT-Vallex4.5/PDT-Vallex4.5.html?verb=tlumit#v41lznA", "v41lznA")</f>
        <v>v41lznA</v>
      </c>
      <c r="E469">
        <v>226</v>
      </c>
      <c r="F469">
        <v>0.33037</v>
      </c>
      <c r="G469" s="1" t="s">
        <v>181</v>
      </c>
      <c r="K469" t="str">
        <f>HYPERLINK("https://lindat.mff.cuni.cz/services/SynSemClass55/SynSemClass55.html?veclass=vec00815", "vec00815 / dusit (v41alyD)")</f>
        <v>vec00815 / dusit (v41alyD)</v>
      </c>
      <c r="L469">
        <v>0.33037</v>
      </c>
      <c r="M469" t="s">
        <v>29</v>
      </c>
      <c r="P469" t="str">
        <f>HYPERLINK("https://lindat.mff.cuni.cz/services/SynSemClass55/SynSemClass55.html?veclass=vec00055", "vec00055 / oslabit (v41ezlC)")</f>
        <v>vec00055 / oslabit (v41ezlC)</v>
      </c>
      <c r="Q469">
        <v>0.19866</v>
      </c>
      <c r="R469" t="s">
        <v>29</v>
      </c>
      <c r="U469" t="str">
        <f>HYPERLINK("https://lindat.mff.cuni.cz/services/SynSemClass55/SynSemClass55.html?veclass=vec00091", "vec00091 / přebít (v41hueA)")</f>
        <v>vec00091 / přebít (v41hueA)</v>
      </c>
      <c r="V469">
        <v>4.9549999999999997E-2</v>
      </c>
      <c r="W469" t="s">
        <v>29</v>
      </c>
      <c r="Z469" t="str">
        <f>HYPERLINK("https://lindat.mff.cuni.cz/services/SynSemClass55/SynSemClass55.html?veclass=vec00770", "vec00770 / zamlžit (v41qcdA)")</f>
        <v>vec00770 / zamlžit (v41qcdA)</v>
      </c>
      <c r="AA469">
        <v>4.573E-2</v>
      </c>
      <c r="AB469" t="s">
        <v>29</v>
      </c>
      <c r="AE469" t="str">
        <f>HYPERLINK("https://lindat.mff.cuni.cz/services/SynSemClass55/SynSemClass55.html?veclass=vec01482", "vec01482 / znegovat (v41rnpA)")</f>
        <v>vec01482 / znegovat (v41rnpA)</v>
      </c>
      <c r="AF469">
        <v>2.6009999999999998E-2</v>
      </c>
      <c r="AG469" t="s">
        <v>29</v>
      </c>
    </row>
    <row r="471" spans="1:33" x14ac:dyDescent="0.2">
      <c r="A471" t="str">
        <f>HYPERLINK("https://lindat.mff.cuni.cz/services/PDT-Vallex4.5/PDT-Vallex4.5.html?verb=truchlit", "truchlit")</f>
        <v>truchlit</v>
      </c>
      <c r="B471" t="str">
        <f>HYPERLINK("https://lindat.mff.cuni.cz/services/PDT-Vallex4.5/PDT-Vallex4.5.html?verb=truchlit#v41mcwA", "v41mcwA")</f>
        <v>v41mcwA</v>
      </c>
      <c r="E471">
        <v>240</v>
      </c>
      <c r="F471">
        <v>0.10909000000000001</v>
      </c>
      <c r="G471" s="1" t="s">
        <v>32</v>
      </c>
      <c r="K471" t="str">
        <f>HYPERLINK("https://lindat.mff.cuni.cz/services/SynSemClass55/SynSemClass55.html?veclass=vec00867", "vec00867 / plakat (v41fmgA)")</f>
        <v>vec00867 / plakat (v41fmgA)</v>
      </c>
      <c r="L471">
        <v>0.10909000000000001</v>
      </c>
      <c r="M471" t="s">
        <v>33</v>
      </c>
      <c r="P471" t="str">
        <f>HYPERLINK("https://lindat.mff.cuni.cz/services/SynSemClass55/SynSemClass55.html?veclass=vec00633", "vec00633 / nadávat (v41cnkB)")</f>
        <v>vec00633 / nadávat (v41cnkB)</v>
      </c>
      <c r="Q471">
        <v>9.2050000000000007E-2</v>
      </c>
      <c r="R471" t="s">
        <v>29</v>
      </c>
      <c r="U471" t="str">
        <f>HYPERLINK("https://lindat.mff.cuni.cz/services/SynSemClass55/SynSemClass55.html?veclass=vec00428", "vec00428 / litovat (v41cbqA)")</f>
        <v>vec00428 / litovat (v41cbqA)</v>
      </c>
      <c r="V471">
        <v>7.9240000000000005E-2</v>
      </c>
      <c r="W471" t="s">
        <v>29</v>
      </c>
      <c r="Z471" t="str">
        <f>HYPERLINK("https://lindat.mff.cuni.cz/services/SynSemClass55/SynSemClass55.html?veclass=vec00132", "vec00132 / stěžovat si (v41ljuB)")</f>
        <v>vec00132 / stěžovat si (v41ljuB)</v>
      </c>
      <c r="AA471">
        <v>5.3310000000000003E-2</v>
      </c>
      <c r="AB471" t="s">
        <v>29</v>
      </c>
      <c r="AE471" t="str">
        <f>HYPERLINK("https://lindat.mff.cuni.cz/services/SynSemClass55/SynSemClass55.html?veclass=vec01489", "vec01489 / bručet (v41inA)")</f>
        <v>vec01489 / bručet (v41inA)</v>
      </c>
      <c r="AF471">
        <v>3.9820000000000001E-2</v>
      </c>
      <c r="AG471" t="s">
        <v>51</v>
      </c>
    </row>
    <row r="473" spans="1:33" x14ac:dyDescent="0.2">
      <c r="A473" t="str">
        <f>HYPERLINK("https://lindat.mff.cuni.cz/services/PDT-Vallex4.5/PDT-Vallex4.5.html?verb=ubytovávat", "ubytovávat")</f>
        <v>ubytovávat</v>
      </c>
      <c r="B473" t="str">
        <f>HYPERLINK("https://lindat.mff.cuni.cz/services/PDT-Vallex4.5/PDT-Vallex4.5.html?verb=ubytovávat#v41mfyB", "v41mfyB")</f>
        <v>v41mfyB</v>
      </c>
      <c r="E473">
        <v>24</v>
      </c>
      <c r="F473">
        <v>0.73934</v>
      </c>
      <c r="G473" s="1" t="s">
        <v>32</v>
      </c>
      <c r="K473" t="str">
        <f>HYPERLINK("https://lindat.mff.cuni.cz/services/SynSemClass55/SynSemClass55.html?veclass=vec01577", "vec01577 / nastěhovat (v41dcnA)")</f>
        <v>vec01577 / nastěhovat (v41dcnA)</v>
      </c>
      <c r="L473">
        <v>0.73934</v>
      </c>
      <c r="M473" t="s">
        <v>51</v>
      </c>
      <c r="P473" t="str">
        <f>HYPERLINK("https://lindat.mff.cuni.cz/services/SynSemClass55/SynSemClass55.html?veclass=vec01611", "vec01611 / ubytovat (v41mfwA)")</f>
        <v>vec01611 / ubytovat (v41mfwA)</v>
      </c>
      <c r="Q473">
        <v>0.22327</v>
      </c>
      <c r="R473" t="s">
        <v>33</v>
      </c>
      <c r="U473" t="str">
        <f>HYPERLINK("https://lindat.mff.cuni.cz/services/SynSemClass55/SynSemClass55.html?veclass=vec00394", "vec00394 / zůstat (v41sadF)")</f>
        <v>vec00394 / zůstat (v41sadF)</v>
      </c>
      <c r="V473">
        <v>5.5739999999999998E-2</v>
      </c>
      <c r="W473" t="s">
        <v>29</v>
      </c>
      <c r="Z473" t="str">
        <f>HYPERLINK("https://lindat.mff.cuni.cz/services/SynSemClass55/SynSemClass55.html?veclass=vec00283", "vec00283 / převést (v41imqC)")</f>
        <v>vec00283 / převést (v41imqC)</v>
      </c>
      <c r="AA473">
        <v>2.9319999999999999E-2</v>
      </c>
      <c r="AB473" t="s">
        <v>29</v>
      </c>
      <c r="AE473" t="str">
        <f>HYPERLINK("https://lindat.mff.cuni.cz/services/SynSemClass55/SynSemClass55.html?veclass=vec00308", "vec00308 / sídlit (v41kofA)")</f>
        <v>vec00308 / sídlit (v41kofA)</v>
      </c>
      <c r="AF473">
        <v>2.5389999999999999E-2</v>
      </c>
      <c r="AG473" t="s">
        <v>29</v>
      </c>
    </row>
    <row r="475" spans="1:33" x14ac:dyDescent="0.2">
      <c r="A475" t="str">
        <f>HYPERLINK("https://lindat.mff.cuni.cz/services/PDT-Vallex4.5/PDT-Vallex4.5.html?verb=udílet", "udílet")</f>
        <v>udílet</v>
      </c>
      <c r="B475" t="str">
        <f>HYPERLINK("https://lindat.mff.cuni.cz/services/PDT-Vallex4.5/PDT-Vallex4.5.html?verb=udílet#v41micB", "v41micB")</f>
        <v>v41micB</v>
      </c>
      <c r="E475">
        <v>101</v>
      </c>
      <c r="F475">
        <v>0.27989000000000003</v>
      </c>
      <c r="G475" s="1" t="s">
        <v>182</v>
      </c>
      <c r="K475" t="str">
        <f>HYPERLINK("https://lindat.mff.cuni.cz/services/SynSemClass55/SynSemClass55.html?veclass=vec01013", "vec01013 / diktovat (v41tyB)")</f>
        <v>vec01013 / diktovat (v41tyB)</v>
      </c>
      <c r="L475">
        <v>0.27989000000000003</v>
      </c>
      <c r="M475" t="s">
        <v>29</v>
      </c>
      <c r="P475" t="str">
        <f>HYPERLINK("https://lindat.mff.cuni.cz/services/SynSemClass55/SynSemClass55.html?veclass=vec00571", "vec00571 / zadat (v41prmA)")</f>
        <v>vec00571 / zadat (v41prmA)</v>
      </c>
      <c r="Q475">
        <v>0.16975999999999999</v>
      </c>
      <c r="R475" t="s">
        <v>29</v>
      </c>
      <c r="U475" t="str">
        <f>HYPERLINK("https://lindat.mff.cuni.cz/services/SynSemClass55/SynSemClass55.html?veclass=vec00074", "vec00074 / poskytnout (v41glvA)")</f>
        <v>vec00074 / poskytnout (v41glvA)</v>
      </c>
      <c r="V475">
        <v>0.1489</v>
      </c>
      <c r="W475" t="s">
        <v>29</v>
      </c>
      <c r="Z475" t="str">
        <f>HYPERLINK("https://lindat.mff.cuni.cz/services/SynSemClass55/SynSemClass55.html?veclass=vec01087", "vec01087 / předávat (v41hvhA)")</f>
        <v>vec01087 / předávat (v41hvhA)</v>
      </c>
      <c r="AA475">
        <v>6.5909999999999996E-2</v>
      </c>
      <c r="AB475" t="s">
        <v>29</v>
      </c>
      <c r="AE475" t="str">
        <f>HYPERLINK("https://lindat.mff.cuni.cz/services/SynSemClass55/SynSemClass55.html?veclass=vec00209", "vec00209 / distribuovat (v41uwB)")</f>
        <v>vec00209 / distribuovat (v41uwB)</v>
      </c>
      <c r="AF475">
        <v>6.3600000000000004E-2</v>
      </c>
      <c r="AG475" t="s">
        <v>29</v>
      </c>
    </row>
    <row r="477" spans="1:33" x14ac:dyDescent="0.2">
      <c r="A477" t="str">
        <f>HYPERLINK("https://lindat.mff.cuni.cz/services/PDT-Vallex4.5/PDT-Vallex4.5.html?verb=uhnout", "uhnout")</f>
        <v>uhnout</v>
      </c>
      <c r="B477" t="str">
        <f>HYPERLINK("https://lindat.mff.cuni.cz/services/PDT-Vallex4.5/PDT-Vallex4.5.html?verb=uhnout#v41mjfB", "v41mjfB")</f>
        <v>v41mjfB</v>
      </c>
      <c r="E477">
        <v>1033</v>
      </c>
      <c r="F477">
        <v>7.3889999999999997E-2</v>
      </c>
      <c r="G477" s="1" t="s">
        <v>183</v>
      </c>
      <c r="K477" t="str">
        <f>HYPERLINK("https://lindat.mff.cuni.cz/services/SynSemClass55/SynSemClass55.html?veclass=vec00838", "vec00838 / mrknout (v41cjrA)")</f>
        <v>vec00838 / mrknout (v41cjrA)</v>
      </c>
      <c r="L477">
        <v>7.3889999999999997E-2</v>
      </c>
      <c r="M477" t="s">
        <v>29</v>
      </c>
      <c r="P477" t="str">
        <f>HYPERLINK("https://lindat.mff.cuni.cz/services/SynSemClass55/SynSemClass55.html?veclass=vec00991", "vec00991 / zavrtět (v41qubA)")</f>
        <v>vec00991 / zavrtět (v41qubA)</v>
      </c>
      <c r="Q477">
        <v>5.5010000000000003E-2</v>
      </c>
      <c r="R477" t="s">
        <v>29</v>
      </c>
      <c r="U477" t="str">
        <f>HYPERLINK("https://lindat.mff.cuni.cz/services/SynSemClass55/SynSemClass55.html?veclass=vec00637", "vec00637 / naklonit se (v41csfB)")</f>
        <v>vec00637 / naklonit se (v41csfB)</v>
      </c>
      <c r="V477">
        <v>4.6010000000000002E-2</v>
      </c>
      <c r="W477" t="s">
        <v>29</v>
      </c>
      <c r="Z477" t="str">
        <f>HYPERLINK("https://lindat.mff.cuni.cz/services/SynSemClass55/SynSemClass55.html?veclass=vec00665", "vec00665 / plazit se (v41fnbA)")</f>
        <v>vec00665 / plazit se (v41fnbA)</v>
      </c>
      <c r="AA477">
        <v>3.5279999999999999E-2</v>
      </c>
      <c r="AB477" t="s">
        <v>29</v>
      </c>
      <c r="AE477" t="str">
        <f>HYPERLINK("https://lindat.mff.cuni.cz/services/SynSemClass55/SynSemClass55.html?veclass=vec00674", "vec00674 / pohrdat (v41fxsA)")</f>
        <v>vec00674 / pohrdat (v41fxsA)</v>
      </c>
      <c r="AF477">
        <v>3.1519999999999999E-2</v>
      </c>
      <c r="AG477" t="s">
        <v>29</v>
      </c>
    </row>
    <row r="479" spans="1:33" x14ac:dyDescent="0.2">
      <c r="A479" t="str">
        <f>HYPERLINK("https://lindat.mff.cuni.cz/services/PDT-Vallex4.5/PDT-Vallex4.5.html?verb=ujednat", "ujednat")</f>
        <v>ujednat</v>
      </c>
      <c r="B479" t="str">
        <f>HYPERLINK("https://lindat.mff.cuni.cz/services/PDT-Vallex4.5/PDT-Vallex4.5.html?verb=ujednat#v41mkrA", "v41mkrA")</f>
        <v>v41mkrA</v>
      </c>
      <c r="E479">
        <v>73</v>
      </c>
      <c r="F479">
        <v>0.57881000000000005</v>
      </c>
      <c r="G479" s="1" t="s">
        <v>32</v>
      </c>
      <c r="K479" t="str">
        <f>HYPERLINK("https://lindat.mff.cuni.cz/services/SynSemClass55/SynSemClass55.html?veclass=vec00162", "vec00162 / vyjednávat (v41odnB)")</f>
        <v>vec00162 / vyjednávat (v41odnB)</v>
      </c>
      <c r="L479">
        <v>0.57881000000000005</v>
      </c>
      <c r="M479" t="s">
        <v>31</v>
      </c>
      <c r="P479" t="str">
        <f>HYPERLINK("https://lindat.mff.cuni.cz/services/SynSemClass55/SynSemClass55.html?veclass=vec00127", "vec00127 / stanovit (v41lhzD)")</f>
        <v>vec00127 / stanovit (v41lhzD)</v>
      </c>
      <c r="Q479">
        <v>0.11015999999999999</v>
      </c>
      <c r="R479" t="s">
        <v>29</v>
      </c>
      <c r="U479" t="str">
        <f>HYPERLINK("https://lindat.mff.cuni.cz/services/SynSemClass55/SynSemClass55.html?veclass=vec00178", "vec00178 / zajistit (v41pvyA)")</f>
        <v>vec00178 / zajistit (v41pvyA)</v>
      </c>
      <c r="V479">
        <v>7.4880000000000002E-2</v>
      </c>
      <c r="W479" t="s">
        <v>29</v>
      </c>
      <c r="Z479" t="str">
        <f>HYPERLINK("https://lindat.mff.cuni.cz/services/SynSemClass55/SynSemClass55.html?veclass=vec01468", "vec01468 / vyrovnat si (v41oubA)")</f>
        <v>vec01468 / vyrovnat si (v41oubA)</v>
      </c>
      <c r="AA479">
        <v>3.6139999999999999E-2</v>
      </c>
      <c r="AB479" t="s">
        <v>29</v>
      </c>
      <c r="AE479" t="str">
        <f>HYPERLINK("https://lindat.mff.cuni.cz/services/SynSemClass55/SynSemClass55.html?veclass=vec01690", "vec01690 / uhádnout (v41mixA)")</f>
        <v>vec01690 / uhádnout (v41mixA)</v>
      </c>
      <c r="AF479">
        <v>2.3040000000000001E-2</v>
      </c>
      <c r="AG479" t="s">
        <v>29</v>
      </c>
    </row>
    <row r="481" spans="1:33" x14ac:dyDescent="0.2">
      <c r="A481" t="str">
        <f>HYPERLINK("https://lindat.mff.cuni.cz/services/PDT-Vallex4.5/PDT-Vallex4.5.html?verb=ukáznit", "ukáznit")</f>
        <v>ukáznit</v>
      </c>
      <c r="B481" t="str">
        <f>HYPERLINK("https://lindat.mff.cuni.cz/services/PDT-Vallex4.5/PDT-Vallex4.5.html?verb=ukáznit#v41mloA", "v41mloA")</f>
        <v>v41mloA</v>
      </c>
      <c r="E481">
        <v>35</v>
      </c>
      <c r="F481">
        <v>0.23233000000000001</v>
      </c>
      <c r="G481" s="1">
        <v>0</v>
      </c>
      <c r="I481" s="1" t="s">
        <v>184</v>
      </c>
      <c r="K481" t="str">
        <f>HYPERLINK("https://lindat.mff.cuni.cz/services/SynSemClass55/SynSemClass55.html?veclass=vec01910", "vec01910 / ukáznit se (v41mlpA)")</f>
        <v>vec01910 / ukáznit se (v41mlpA)</v>
      </c>
      <c r="L481">
        <v>0.23233000000000001</v>
      </c>
      <c r="M481" t="s">
        <v>29</v>
      </c>
      <c r="P481" t="str">
        <f>HYPERLINK("https://lindat.mff.cuni.cz/services/SynSemClass55/SynSemClass55.html?veclass=vec01301", "vec01301 / přitvrdit (v41javA)")</f>
        <v>vec01301 / přitvrdit (v41javA)</v>
      </c>
      <c r="Q481">
        <v>0.12235</v>
      </c>
      <c r="R481" t="s">
        <v>29</v>
      </c>
      <c r="U481" t="str">
        <f>HYPERLINK("https://lindat.mff.cuni.cz/services/SynSemClass55/SynSemClass55.html?veclass=vec00545", "vec00545 / uvolnit (v41ndvG)")</f>
        <v>vec00545 / uvolnit (v41ndvG)</v>
      </c>
      <c r="V481">
        <v>9.9540000000000003E-2</v>
      </c>
      <c r="W481" t="s">
        <v>29</v>
      </c>
      <c r="Z481" t="str">
        <f>HYPERLINK("https://lindat.mff.cuni.cz/services/SynSemClass55/SynSemClass55.html?veclass=vec00055", "vec00055 / oslabit (v41ezlC)")</f>
        <v>vec00055 / oslabit (v41ezlC)</v>
      </c>
      <c r="AA481">
        <v>5.4140000000000001E-2</v>
      </c>
      <c r="AB481" t="s">
        <v>29</v>
      </c>
      <c r="AE481" t="str">
        <f>HYPERLINK("https://lindat.mff.cuni.cz/services/SynSemClass55/SynSemClass55.html?veclass=vec00637", "vec00637 / naklonit se (v41csfB)")</f>
        <v>vec00637 / naklonit se (v41csfB)</v>
      </c>
      <c r="AF481">
        <v>4.1320000000000003E-2</v>
      </c>
      <c r="AG481" t="s">
        <v>29</v>
      </c>
    </row>
    <row r="483" spans="1:33" x14ac:dyDescent="0.2">
      <c r="A483" t="str">
        <f>HYPERLINK("https://lindat.mff.cuni.cz/services/PDT-Vallex4.5/PDT-Vallex4.5.html?verb=ukojit", "ukojit")</f>
        <v>ukojit</v>
      </c>
      <c r="B483" t="str">
        <f>HYPERLINK("https://lindat.mff.cuni.cz/services/PDT-Vallex4.5/PDT-Vallex4.5.html?verb=ukojit#v41mmjA", "v41mmjA")</f>
        <v>v41mmjA</v>
      </c>
      <c r="E483">
        <v>184</v>
      </c>
      <c r="F483">
        <v>0.14580000000000001</v>
      </c>
      <c r="G483" s="1" t="s">
        <v>32</v>
      </c>
      <c r="K483" t="str">
        <f>HYPERLINK("https://lindat.mff.cuni.cz/services/SynSemClass55/SynSemClass55.html?veclass=vec00536", "vec00536 / uklidnit (v41mmaA)")</f>
        <v>vec00536 / uklidnit (v41mmaA)</v>
      </c>
      <c r="L483">
        <v>0.14580000000000001</v>
      </c>
      <c r="M483" t="s">
        <v>29</v>
      </c>
      <c r="P483" t="str">
        <f>HYPERLINK("https://lindat.mff.cuni.cz/services/SynSemClass55/SynSemClass55.html?veclass=vec00540", "vec00540 / uspokojit (v41mxgA)")</f>
        <v>vec00540 / uspokojit (v41mxgA)</v>
      </c>
      <c r="Q483">
        <v>0.13780000000000001</v>
      </c>
      <c r="R483" t="s">
        <v>31</v>
      </c>
      <c r="U483" t="str">
        <f>HYPERLINK("https://lindat.mff.cuni.cz/services/SynSemClass55/SynSemClass55.html?veclass=vec00958", "vec00958 / vyčinit (v41nvxA)")</f>
        <v>vec00958 / vyčinit (v41nvxA)</v>
      </c>
      <c r="V483">
        <v>3.431E-2</v>
      </c>
      <c r="W483" t="s">
        <v>29</v>
      </c>
      <c r="Z483" t="str">
        <f>HYPERLINK("https://lindat.mff.cuni.cz/services/SynSemClass55/SynSemClass55.html?veclass=vec01210", "vec01210 / dojmout (v41zgA)")</f>
        <v>vec01210 / dojmout (v41zgA)</v>
      </c>
      <c r="AA483">
        <v>2.5899999999999999E-2</v>
      </c>
      <c r="AB483" t="s">
        <v>29</v>
      </c>
      <c r="AE483" t="str">
        <f>HYPERLINK("https://lindat.mff.cuni.cz/services/SynSemClass55/SynSemClass55.html?veclass=vec00356", "vec00356 / vyrovnat (v41otzG)")</f>
        <v>vec00356 / vyrovnat (v41otzG)</v>
      </c>
      <c r="AF483">
        <v>2.5069999999999999E-2</v>
      </c>
      <c r="AG483" t="s">
        <v>29</v>
      </c>
    </row>
    <row r="485" spans="1:33" x14ac:dyDescent="0.2">
      <c r="A485" t="str">
        <f>HYPERLINK("https://lindat.mff.cuni.cz/services/PDT-Vallex4.5/PDT-Vallex4.5.html?verb=umocnit", "umocnit")</f>
        <v>umocnit</v>
      </c>
      <c r="B485" t="str">
        <f>HYPERLINK("https://lindat.mff.cuni.cz/services/PDT-Vallex4.5/PDT-Vallex4.5.html?verb=umocnit#v41mphA", "v41mphA")</f>
        <v>v41mphA</v>
      </c>
      <c r="E485">
        <v>46</v>
      </c>
      <c r="F485">
        <v>0.34671000000000002</v>
      </c>
      <c r="G485" s="1">
        <v>0</v>
      </c>
      <c r="I485" s="1" t="s">
        <v>185</v>
      </c>
      <c r="K485" t="str">
        <f>HYPERLINK("https://lindat.mff.cuni.cz/services/SynSemClass55/SynSemClass55.html?veclass=vec00785", "vec00785 / zhoršit (v41rcrA)")</f>
        <v>vec00785 / zhoršit (v41rcrA)</v>
      </c>
      <c r="L485">
        <v>0.34671000000000002</v>
      </c>
      <c r="M485" t="s">
        <v>29</v>
      </c>
      <c r="P485" t="str">
        <f>HYPERLINK("https://lindat.mff.cuni.cz/services/SynSemClass55/SynSemClass55.html?veclass=vec00539", "vec00539 / upevnit (v41mquD)")</f>
        <v>vec00539 / upevnit (v41mquD)</v>
      </c>
      <c r="Q485">
        <v>0.16793</v>
      </c>
      <c r="R485" t="s">
        <v>29</v>
      </c>
      <c r="U485" t="str">
        <f>HYPERLINK("https://lindat.mff.cuni.cz/services/SynSemClass55/SynSemClass55.html?veclass=vec01498", "vec01498 / napnout se (v41cxgA)")</f>
        <v>vec01498 / napnout se (v41cxgA)</v>
      </c>
      <c r="V485">
        <v>0.12212000000000001</v>
      </c>
      <c r="W485" t="s">
        <v>29</v>
      </c>
      <c r="Z485" t="str">
        <f>HYPERLINK("https://lindat.mff.cuni.cz/services/SynSemClass55/SynSemClass55.html?veclass=vec00187", "vec00187 / násobit (v41dcbB)")</f>
        <v>vec00187 / násobit (v41dcbB)</v>
      </c>
      <c r="AA485">
        <v>9.8159999999999997E-2</v>
      </c>
      <c r="AB485" t="s">
        <v>29</v>
      </c>
      <c r="AE485" t="str">
        <f>HYPERLINK("https://lindat.mff.cuni.cz/services/SynSemClass55/SynSemClass55.html?veclass=vec01301", "vec01301 / přitvrdit (v41javA)")</f>
        <v>vec01301 / přitvrdit (v41javA)</v>
      </c>
      <c r="AF485">
        <v>7.9839999999999994E-2</v>
      </c>
      <c r="AG485" t="s">
        <v>29</v>
      </c>
    </row>
    <row r="487" spans="1:33" x14ac:dyDescent="0.2">
      <c r="A487" t="str">
        <f>HYPERLINK("https://lindat.mff.cuni.cz/services/PDT-Vallex4.5/PDT-Vallex4.5.html?verb=umocňovat", "umocňovat")</f>
        <v>umocňovat</v>
      </c>
      <c r="B487" t="str">
        <f>HYPERLINK("https://lindat.mff.cuni.cz/services/PDT-Vallex4.5/PDT-Vallex4.5.html?verb=umocňovat#v41mpiB", "v41mpiB")</f>
        <v>v41mpiB</v>
      </c>
      <c r="E487">
        <v>60</v>
      </c>
      <c r="F487">
        <v>0.3483</v>
      </c>
      <c r="G487" s="1">
        <v>0</v>
      </c>
      <c r="I487" s="1" t="s">
        <v>185</v>
      </c>
      <c r="K487" t="str">
        <f>HYPERLINK("https://lindat.mff.cuni.cz/services/SynSemClass55/SynSemClass55.html?veclass=vec00187", "vec00187 / násobit (v41dcbB)")</f>
        <v>vec00187 / násobit (v41dcbB)</v>
      </c>
      <c r="L487">
        <v>0.3483</v>
      </c>
      <c r="M487" t="s">
        <v>29</v>
      </c>
      <c r="P487" t="str">
        <f>HYPERLINK("https://lindat.mff.cuni.cz/services/SynSemClass55/SynSemClass55.html?veclass=vec00785", "vec00785 / zhoršit (v41rcrA)")</f>
        <v>vec00785 / zhoršit (v41rcrA)</v>
      </c>
      <c r="Q487">
        <v>0.30547999999999997</v>
      </c>
      <c r="R487" t="s">
        <v>29</v>
      </c>
      <c r="U487" t="str">
        <f>HYPERLINK("https://lindat.mff.cuni.cz/services/SynSemClass55/SynSemClass55.html?veclass=vec00386", "vec00386 / zlepšit (v41rihA)")</f>
        <v>vec00386 / zlepšit (v41rihA)</v>
      </c>
      <c r="V487">
        <v>4.9759999999999999E-2</v>
      </c>
      <c r="W487" t="s">
        <v>29</v>
      </c>
      <c r="Z487" t="str">
        <f>HYPERLINK("https://lindat.mff.cuni.cz/services/SynSemClass55/SynSemClass55.html?veclass=vec00730", "vec00730 / stupňovat se (v41lnxA)")</f>
        <v>vec00730 / stupňovat se (v41lnxA)</v>
      </c>
      <c r="AA487">
        <v>3.7870000000000001E-2</v>
      </c>
      <c r="AB487" t="s">
        <v>29</v>
      </c>
      <c r="AE487" t="str">
        <f>HYPERLINK("https://lindat.mff.cuni.cz/services/SynSemClass55/SynSemClass55.html?veclass=vec01498", "vec01498 / napnout se (v41cxgA)")</f>
        <v>vec01498 / napnout se (v41cxgA)</v>
      </c>
      <c r="AF487">
        <v>3.3459999999999997E-2</v>
      </c>
      <c r="AG487" t="s">
        <v>29</v>
      </c>
    </row>
    <row r="489" spans="1:33" x14ac:dyDescent="0.2">
      <c r="A489" t="str">
        <f>HYPERLINK("https://lindat.mff.cuni.cz/services/PDT-Vallex4.5/PDT-Vallex4.5.html?verb=upéci", "upéci")</f>
        <v>upéci</v>
      </c>
      <c r="B489" t="str">
        <f>HYPERLINK("https://lindat.mff.cuni.cz/services/PDT-Vallex4.5/PDT-Vallex4.5.html?verb=upéci#v41mqrB", "v41mqrB")</f>
        <v>v41mqrB</v>
      </c>
      <c r="E489">
        <v>335</v>
      </c>
      <c r="F489">
        <v>0.61443000000000003</v>
      </c>
      <c r="G489" s="1" t="s">
        <v>186</v>
      </c>
      <c r="K489" t="str">
        <f>HYPERLINK("https://lindat.mff.cuni.cz/services/SynSemClass55/SynSemClass55.html?veclass=vec01589", "vec01589 / péci (v41fkbA)")</f>
        <v>vec01589 / péci (v41fkbA)</v>
      </c>
      <c r="L489">
        <v>0.61443000000000003</v>
      </c>
      <c r="M489" t="s">
        <v>29</v>
      </c>
      <c r="P489" t="str">
        <f>HYPERLINK("https://lindat.mff.cuni.cz/services/SynSemClass55/SynSemClass55.html?veclass=vec01340", "vec01340 / usmažit (v41mvxA)")</f>
        <v>vec01340 / usmažit (v41mvxA)</v>
      </c>
      <c r="Q489">
        <v>5.101E-2</v>
      </c>
      <c r="R489" t="s">
        <v>29</v>
      </c>
      <c r="U489" t="str">
        <f>HYPERLINK("https://lindat.mff.cuni.cz/services/SynSemClass55/SynSemClass55.html?veclass=vec00503", "vec00503 / přiznat se (v41jcjA)")</f>
        <v>vec00503 / přiznat se (v41jcjA)</v>
      </c>
      <c r="V489">
        <v>2.3740000000000001E-2</v>
      </c>
      <c r="W489" t="s">
        <v>29</v>
      </c>
      <c r="Z489" t="str">
        <f>HYPERLINK("https://lindat.mff.cuni.cz/services/SynSemClass55/SynSemClass55.html?veclass=vec01617", "vec01617 / vařit (v41ngvC)")</f>
        <v>vec01617 / vařit (v41ngvC)</v>
      </c>
      <c r="AA489">
        <v>2.3060000000000001E-2</v>
      </c>
      <c r="AB489" t="s">
        <v>29</v>
      </c>
      <c r="AE489" t="str">
        <f>HYPERLINK("https://lindat.mff.cuni.cz/services/SynSemClass55/SynSemClass55.html?veclass=vec01616", "vec01616 / vařit (v41ngvA)")</f>
        <v>vec01616 / vařit (v41ngvA)</v>
      </c>
      <c r="AF489">
        <v>2.0199999999999999E-2</v>
      </c>
      <c r="AG489" t="s">
        <v>29</v>
      </c>
    </row>
    <row r="491" spans="1:33" x14ac:dyDescent="0.2">
      <c r="A491" t="str">
        <f>HYPERLINK("https://lindat.mff.cuni.cz/services/PDT-Vallex4.5/PDT-Vallex4.5.html?verb=uplést si", "uplést si")</f>
        <v>uplést si</v>
      </c>
      <c r="B491" t="str">
        <f>HYPERLINK("https://lindat.mff.cuni.cz/services/PDT-Vallex4.5/PDT-Vallex4.5.html?verb=uplést si#v41mryA", "v41mryA")</f>
        <v>v41mryA</v>
      </c>
      <c r="E491">
        <v>38</v>
      </c>
      <c r="F491">
        <v>0.13593</v>
      </c>
      <c r="G491" s="1" t="s">
        <v>187</v>
      </c>
      <c r="H491" s="1" t="s">
        <v>188</v>
      </c>
      <c r="I491" s="1" t="s">
        <v>42</v>
      </c>
      <c r="K491" t="str">
        <f>HYPERLINK("https://lindat.mff.cuni.cz/services/SynSemClass55/SynSemClass55.html?veclass=vec00084", "vec00084 / produkovat (v41hcjA)")</f>
        <v>vec00084 / produkovat (v41hcjA)</v>
      </c>
      <c r="L491">
        <v>0.13593</v>
      </c>
      <c r="M491" t="s">
        <v>29</v>
      </c>
      <c r="P491" t="str">
        <f>HYPERLINK("https://lindat.mff.cuni.cz/services/SynSemClass55/SynSemClass55.html?veclass=vec01589", "vec01589 / péci (v41fkbA)")</f>
        <v>vec01589 / péci (v41fkbA)</v>
      </c>
      <c r="Q491">
        <v>6.4439999999999997E-2</v>
      </c>
      <c r="R491" t="s">
        <v>29</v>
      </c>
      <c r="U491" t="str">
        <f>HYPERLINK("https://lindat.mff.cuni.cz/services/SynSemClass55/SynSemClass55.html?veclass=vec01804", "vec01804 / okoukat (v41esbA)")</f>
        <v>vec01804 / okoukat (v41esbA)</v>
      </c>
      <c r="V491">
        <v>4.0430000000000001E-2</v>
      </c>
      <c r="W491" t="s">
        <v>29</v>
      </c>
      <c r="Z491" t="str">
        <f>HYPERLINK("https://lindat.mff.cuni.cz/services/SynSemClass55/SynSemClass55.html?veclass=vec00899", "vec00899 / připevnit (v41ivdA)")</f>
        <v>vec00899 / připevnit (v41ivdA)</v>
      </c>
      <c r="AA491">
        <v>3.3910000000000003E-2</v>
      </c>
      <c r="AB491" t="s">
        <v>29</v>
      </c>
      <c r="AE491" t="str">
        <f>HYPERLINK("https://lindat.mff.cuni.cz/services/SynSemClass55/SynSemClass55.html?veclass=vec01952", "vec01952 / vytesat (v41pcmA)")</f>
        <v>vec01952 / vytesat (v41pcmA)</v>
      </c>
      <c r="AF491">
        <v>2.266E-2</v>
      </c>
      <c r="AG491" t="s">
        <v>29</v>
      </c>
    </row>
    <row r="493" spans="1:33" x14ac:dyDescent="0.2">
      <c r="A493" t="str">
        <f>HYPERLINK("https://lindat.mff.cuni.cz/services/PDT-Vallex4.5/PDT-Vallex4.5.html?verb=useknout", "useknout")</f>
        <v>useknout</v>
      </c>
      <c r="B493" t="str">
        <f>HYPERLINK("https://lindat.mff.cuni.cz/services/PDT-Vallex4.5/PDT-Vallex4.5.html?verb=useknout#v41muvB", "v41muvB")</f>
        <v>v41muvB</v>
      </c>
      <c r="E493">
        <v>235</v>
      </c>
      <c r="F493">
        <v>0.20233000000000001</v>
      </c>
      <c r="G493" s="1" t="s">
        <v>189</v>
      </c>
      <c r="I493" s="1" t="s">
        <v>135</v>
      </c>
      <c r="K493" t="str">
        <f>HYPERLINK("https://lindat.mff.cuni.cz/services/SynSemClass55/SynSemClass55.html?veclass=vec01456", "vec01456 / useknout (v41muvA)")</f>
        <v>vec01456 / useknout (v41muvA)</v>
      </c>
      <c r="L493">
        <v>0.20233000000000001</v>
      </c>
      <c r="M493" t="s">
        <v>29</v>
      </c>
      <c r="P493" t="str">
        <f>HYPERLINK("https://lindat.mff.cuni.cz/services/SynSemClass55/SynSemClass55.html?veclass=vec00764", "vec00764 / vytrhnout (v41pdrB)")</f>
        <v>vec00764 / vytrhnout (v41pdrB)</v>
      </c>
      <c r="Q493">
        <v>0.19947999999999999</v>
      </c>
      <c r="R493" t="s">
        <v>29</v>
      </c>
      <c r="U493" t="str">
        <f>HYPERLINK("https://lindat.mff.cuni.cz/services/SynSemClass55/SynSemClass55.html?veclass=vec01413", "vec01413 / odtrhnout se (v41eltB)")</f>
        <v>vec01413 / odtrhnout se (v41eltB)</v>
      </c>
      <c r="V493">
        <v>8.3510000000000001E-2</v>
      </c>
      <c r="W493" t="s">
        <v>29</v>
      </c>
      <c r="Z493" t="str">
        <f>HYPERLINK("https://lindat.mff.cuni.cz/services/SynSemClass55/SynSemClass55.html?veclass=vec00903", "vec00903 / rozcupovat (v41jmmA)")</f>
        <v>vec00903 / rozcupovat (v41jmmA)</v>
      </c>
      <c r="AA493">
        <v>5.4789999999999998E-2</v>
      </c>
      <c r="AB493" t="s">
        <v>29</v>
      </c>
      <c r="AE493" t="str">
        <f>HYPERLINK("https://lindat.mff.cuni.cz/services/SynSemClass55/SynSemClass55.html?veclass=vec01615", "vec01615 / utrhnout (v41nbgA)")</f>
        <v>vec01615 / utrhnout (v41nbgA)</v>
      </c>
      <c r="AF493">
        <v>5.2920000000000002E-2</v>
      </c>
      <c r="AG493" t="s">
        <v>29</v>
      </c>
    </row>
    <row r="495" spans="1:33" x14ac:dyDescent="0.2">
      <c r="A495" t="str">
        <f>HYPERLINK("https://lindat.mff.cuni.cz/services/PDT-Vallex4.5/PDT-Vallex4.5.html?verb=usíci", "usíci")</f>
        <v>usíci</v>
      </c>
      <c r="B495" t="str">
        <f>HYPERLINK("https://lindat.mff.cuni.cz/services/PDT-Vallex4.5/PDT-Vallex4.5.html?verb=usíci#v41mvaA", "v41mvaA")</f>
        <v>v41mvaA</v>
      </c>
      <c r="E495">
        <v>9</v>
      </c>
      <c r="F495">
        <v>3.9559999999999998E-2</v>
      </c>
      <c r="G495" s="1" t="s">
        <v>190</v>
      </c>
      <c r="I495" s="1" t="s">
        <v>191</v>
      </c>
      <c r="K495" t="str">
        <f>HYPERLINK("https://lindat.mff.cuni.cz/services/SynSemClass55/SynSemClass55.html?veclass=vec00555", "vec00555 / vyhodit (v41oaaA)")</f>
        <v>vec00555 / vyhodit (v41oaaA)</v>
      </c>
      <c r="L495">
        <v>3.9559999999999998E-2</v>
      </c>
      <c r="M495" t="s">
        <v>29</v>
      </c>
      <c r="P495" t="str">
        <f>HYPERLINK("https://lindat.mff.cuni.cz/services/SynSemClass55/SynSemClass55.html?veclass=vec00031", "vec00031 / mluvit (v41chxD)")</f>
        <v>vec00031 / mluvit (v41chxD)</v>
      </c>
      <c r="Q495">
        <v>3.8699999999999998E-2</v>
      </c>
      <c r="R495" t="s">
        <v>29</v>
      </c>
      <c r="U495" t="str">
        <f>HYPERLINK("https://lindat.mff.cuni.cz/services/SynSemClass55/SynSemClass55.html?veclass=vec01491", "vec01491 / fasovat (v41appA)")</f>
        <v>vec01491 / fasovat (v41appA)</v>
      </c>
      <c r="V495">
        <v>3.3119999999999997E-2</v>
      </c>
      <c r="W495" t="s">
        <v>29</v>
      </c>
      <c r="Z495" t="str">
        <f>HYPERLINK("https://lindat.mff.cuni.cz/services/SynSemClass55/SynSemClass55.html?veclass=vec01206", "vec01206 / dát (v41plY)")</f>
        <v>vec01206 / dát (v41plY)</v>
      </c>
      <c r="AA495">
        <v>3.0370000000000001E-2</v>
      </c>
      <c r="AB495" t="s">
        <v>29</v>
      </c>
      <c r="AE495" t="str">
        <f>HYPERLINK("https://lindat.mff.cuni.cz/services/SynSemClass55/SynSemClass55.html?veclass=vec00019", "vec00019 / handrkovat se (v41atvA)")</f>
        <v>vec00019 / handrkovat se (v41atvA)</v>
      </c>
      <c r="AF495">
        <v>2.9430000000000001E-2</v>
      </c>
      <c r="AG495" t="s">
        <v>29</v>
      </c>
    </row>
    <row r="497" spans="1:33" x14ac:dyDescent="0.2">
      <c r="A497" t="str">
        <f>HYPERLINK("https://lindat.mff.cuni.cz/services/PDT-Vallex4.5/PDT-Vallex4.5.html?verb=usmolit", "usmolit")</f>
        <v>usmolit</v>
      </c>
      <c r="B497" t="str">
        <f>HYPERLINK("https://lindat.mff.cuni.cz/services/PDT-Vallex4.5/PDT-Vallex4.5.html?verb=usmolit#v41mwiA", "v41mwiA")</f>
        <v>v41mwiA</v>
      </c>
      <c r="E497">
        <v>1</v>
      </c>
      <c r="F497">
        <v>0.10406</v>
      </c>
      <c r="G497" s="1" t="s">
        <v>92</v>
      </c>
      <c r="K497" t="str">
        <f>HYPERLINK("https://lindat.mff.cuni.cz/services/SynSemClass55/SynSemClass55.html?veclass=vec01167", "vec01167 / zabudovat (v41pqdB)")</f>
        <v>vec01167 / zabudovat (v41pqdB)</v>
      </c>
      <c r="L497">
        <v>0.10406</v>
      </c>
      <c r="M497" t="s">
        <v>29</v>
      </c>
      <c r="P497" t="str">
        <f>HYPERLINK("https://lindat.mff.cuni.cz/services/SynSemClass55/SynSemClass55.html?veclass=vec01200", "vec01200 / žebrat (v41seaA)")</f>
        <v>vec01200 / žebrat (v41seaA)</v>
      </c>
      <c r="Q497">
        <v>7.5670000000000001E-2</v>
      </c>
      <c r="R497" t="s">
        <v>29</v>
      </c>
      <c r="U497" t="str">
        <f>HYPERLINK("https://lindat.mff.cuni.cz/services/SynSemClass55/SynSemClass55.html?veclass=vec01326", "vec01326 / stáčet (v41lhdA)")</f>
        <v>vec01326 / stáčet (v41lhdA)</v>
      </c>
      <c r="V497">
        <v>6.5610000000000002E-2</v>
      </c>
      <c r="W497" t="s">
        <v>29</v>
      </c>
      <c r="Z497" t="str">
        <f>HYPERLINK("https://lindat.mff.cuni.cz/services/SynSemClass55/SynSemClass55.html?veclass=vec00095", "vec00095 / přeměnit (v41iecA)")</f>
        <v>vec00095 / přeměnit (v41iecA)</v>
      </c>
      <c r="AA497">
        <v>5.756E-2</v>
      </c>
      <c r="AB497" t="s">
        <v>29</v>
      </c>
      <c r="AE497" t="str">
        <f>HYPERLINK("https://lindat.mff.cuni.cz/services/SynSemClass55/SynSemClass55.html?veclass=vec00791", "vec00791 / zkreslovat (v41rhfA)")</f>
        <v>vec00791 / zkreslovat (v41rhfA)</v>
      </c>
      <c r="AF497">
        <v>5.0139999999999997E-2</v>
      </c>
      <c r="AG497" t="s">
        <v>29</v>
      </c>
    </row>
    <row r="499" spans="1:33" x14ac:dyDescent="0.2">
      <c r="A499" t="str">
        <f>HYPERLINK("https://lindat.mff.cuni.cz/services/PDT-Vallex4.5/PDT-Vallex4.5.html?verb=uspat", "uspat")</f>
        <v>uspat</v>
      </c>
      <c r="B499" t="str">
        <f>HYPERLINK("https://lindat.mff.cuni.cz/services/PDT-Vallex4.5/PDT-Vallex4.5.html?verb=uspat#v41mwxA", "v41mwxA")</f>
        <v>v41mwxA</v>
      </c>
      <c r="E499">
        <v>204</v>
      </c>
      <c r="F499">
        <v>0.10106</v>
      </c>
      <c r="G499" s="1">
        <v>0</v>
      </c>
      <c r="I499" s="1" t="s">
        <v>192</v>
      </c>
      <c r="K499" t="str">
        <f>HYPERLINK("https://lindat.mff.cuni.cz/services/SynSemClass55/SynSemClass55.html?veclass=vec00091", "vec00091 / přebít (v41hueA)")</f>
        <v>vec00091 / přebít (v41hueA)</v>
      </c>
      <c r="L499">
        <v>0.10106</v>
      </c>
      <c r="M499" t="s">
        <v>29</v>
      </c>
      <c r="P499" t="str">
        <f>HYPERLINK("https://lindat.mff.cuni.cz/services/SynSemClass55/SynSemClass55.html?veclass=vec01210", "vec01210 / dojmout (v41zgA)")</f>
        <v>vec01210 / dojmout (v41zgA)</v>
      </c>
      <c r="Q499">
        <v>9.7320000000000004E-2</v>
      </c>
      <c r="R499" t="s">
        <v>29</v>
      </c>
      <c r="U499" t="str">
        <f>HYPERLINK("https://lindat.mff.cuni.cz/services/SynSemClass55/SynSemClass55.html?veclass=vec00536", "vec00536 / uklidnit (v41mmaA)")</f>
        <v>vec00536 / uklidnit (v41mmaA)</v>
      </c>
      <c r="V499">
        <v>7.3349999999999999E-2</v>
      </c>
      <c r="W499" t="s">
        <v>29</v>
      </c>
      <c r="Z499" t="str">
        <f>HYPERLINK("https://lindat.mff.cuni.cz/services/SynSemClass55/SynSemClass55.html?veclass=vec01506", "vec01506 / omráčit (v41etvB)")</f>
        <v>vec01506 / omráčit (v41etvB)</v>
      </c>
      <c r="AA499">
        <v>5.1339999999999997E-2</v>
      </c>
      <c r="AB499" t="s">
        <v>29</v>
      </c>
      <c r="AE499" t="str">
        <f>HYPERLINK("https://lindat.mff.cuni.cz/services/SynSemClass55/SynSemClass55.html?veclass=vec00761", "vec00761 / vystrašit (v41oyoA)")</f>
        <v>vec00761 / vystrašit (v41oyoA)</v>
      </c>
      <c r="AF499">
        <v>4.4249999999999998E-2</v>
      </c>
      <c r="AG499" t="s">
        <v>29</v>
      </c>
    </row>
    <row r="501" spans="1:33" x14ac:dyDescent="0.2">
      <c r="A501" t="str">
        <f>HYPERLINK("https://lindat.mff.cuni.cz/services/PDT-Vallex4.5/PDT-Vallex4.5.html?verb=ustat", "ustat")</f>
        <v>ustat</v>
      </c>
      <c r="B501" t="str">
        <f>HYPERLINK("https://lindat.mff.cuni.cz/services/PDT-Vallex4.5/PDT-Vallex4.5.html?verb=ustat#v41mxxA", "v41mxxA")</f>
        <v>v41mxxA</v>
      </c>
      <c r="E501">
        <v>1048</v>
      </c>
      <c r="F501">
        <v>0.20349</v>
      </c>
      <c r="G501" s="1" t="s">
        <v>189</v>
      </c>
      <c r="K501" t="str">
        <f>HYPERLINK("https://lindat.mff.cuni.cz/services/SynSemClass55/SynSemClass55.html?veclass=vec00522", "vec00522 / stabilizovat se (v41lhbA)")</f>
        <v>vec00522 / stabilizovat se (v41lhbA)</v>
      </c>
      <c r="L501">
        <v>0.20349</v>
      </c>
      <c r="M501" t="s">
        <v>29</v>
      </c>
      <c r="P501" t="str">
        <f>HYPERLINK("https://lindat.mff.cuni.cz/services/SynSemClass55/SynSemClass55.html?veclass=vec00733", "vec00733 / uklidnit se (v41mmbA)")</f>
        <v>vec00733 / uklidnit se (v41mmbA)</v>
      </c>
      <c r="Q501">
        <v>0.14877000000000001</v>
      </c>
      <c r="R501" t="s">
        <v>29</v>
      </c>
      <c r="U501" t="str">
        <f>HYPERLINK("https://lindat.mff.cuni.cz/services/SynSemClass55/SynSemClass55.html?veclass=vec00113", "vec00113 / skončit (v41krfH)")</f>
        <v>vec00113 / skončit (v41krfH)</v>
      </c>
      <c r="V501">
        <v>0.14545</v>
      </c>
      <c r="W501" t="s">
        <v>29</v>
      </c>
      <c r="Z501" t="str">
        <f>HYPERLINK("https://lindat.mff.cuni.cz/services/SynSemClass55/SynSemClass55.html?veclass=vec01369", "vec01369 / zadrhnout se (v41pscA)")</f>
        <v>vec01369 / zadrhnout se (v41pscA)</v>
      </c>
      <c r="AA501">
        <v>7.8750000000000001E-2</v>
      </c>
      <c r="AB501" t="s">
        <v>29</v>
      </c>
      <c r="AE501" t="str">
        <f>HYPERLINK("https://lindat.mff.cuni.cz/services/SynSemClass55/SynSemClass55.html?veclass=vec00793", "vec00793 / zmírnit se (v41rkyA)")</f>
        <v>vec00793 / zmírnit se (v41rkyA)</v>
      </c>
      <c r="AF501">
        <v>6.9690000000000002E-2</v>
      </c>
      <c r="AG501" t="s">
        <v>29</v>
      </c>
    </row>
    <row r="503" spans="1:33" x14ac:dyDescent="0.2">
      <c r="A503" t="str">
        <f>HYPERLINK("https://lindat.mff.cuni.cz/services/PDT-Vallex4.5/PDT-Vallex4.5.html?verb=ustávat", "ustávat")</f>
        <v>ustávat</v>
      </c>
      <c r="B503" t="str">
        <f>HYPERLINK("https://lindat.mff.cuni.cz/services/PDT-Vallex4.5/PDT-Vallex4.5.html?verb=ustávat#v41mxzA", "v41mxzA")</f>
        <v>v41mxzA</v>
      </c>
      <c r="E503">
        <v>232</v>
      </c>
      <c r="F503">
        <v>0.42452000000000001</v>
      </c>
      <c r="G503" s="1" t="s">
        <v>189</v>
      </c>
      <c r="K503" t="str">
        <f>HYPERLINK("https://lindat.mff.cuni.cz/services/SynSemClass55/SynSemClass55.html?veclass=vec00113", "vec00113 / skončit (v41krfH)")</f>
        <v>vec00113 / skončit (v41krfH)</v>
      </c>
      <c r="L503">
        <v>0.42452000000000001</v>
      </c>
      <c r="M503" t="s">
        <v>29</v>
      </c>
      <c r="P503" t="str">
        <f>HYPERLINK("https://lindat.mff.cuni.cz/services/SynSemClass55/SynSemClass55.html?veclass=vec00793", "vec00793 / zmírnit se (v41rkyA)")</f>
        <v>vec00793 / zmírnit se (v41rkyA)</v>
      </c>
      <c r="Q503">
        <v>0.1052</v>
      </c>
      <c r="R503" t="s">
        <v>29</v>
      </c>
      <c r="U503" t="str">
        <f>HYPERLINK("https://lindat.mff.cuni.cz/services/SynSemClass55/SynSemClass55.html?veclass=vec00873", "vec00873 / pominout (v41gehB)")</f>
        <v>vec00873 / pominout (v41gehB)</v>
      </c>
      <c r="V503">
        <v>7.528E-2</v>
      </c>
      <c r="W503" t="s">
        <v>29</v>
      </c>
      <c r="Z503" t="str">
        <f>HYPERLINK("https://lindat.mff.cuni.cz/services/SynSemClass55/SynSemClass55.html?veclass=vec01718", "vec01718 / ztichnout (v41rymA)")</f>
        <v>vec01718 / ztichnout (v41rymA)</v>
      </c>
      <c r="AA503">
        <v>5.6550000000000003E-2</v>
      </c>
      <c r="AB503" t="s">
        <v>29</v>
      </c>
      <c r="AE503" t="str">
        <f>HYPERLINK("https://lindat.mff.cuni.cz/services/SynSemClass55/SynSemClass55.html?veclass=vec01369", "vec01369 / zadrhnout se (v41pscA)")</f>
        <v>vec01369 / zadrhnout se (v41pscA)</v>
      </c>
      <c r="AF503">
        <v>3.8019999999999998E-2</v>
      </c>
      <c r="AG503" t="s">
        <v>29</v>
      </c>
    </row>
    <row r="505" spans="1:33" x14ac:dyDescent="0.2">
      <c r="A505" t="str">
        <f>HYPERLINK("https://lindat.mff.cuni.cz/services/PDT-Vallex4.5/PDT-Vallex4.5.html?verb=ustavovat", "ustavovat")</f>
        <v>ustavovat</v>
      </c>
      <c r="B505" t="str">
        <f>HYPERLINK("https://lindat.mff.cuni.cz/services/PDT-Vallex4.5/PDT-Vallex4.5.html?verb=ustavovat#v41mycA", "v41mycA")</f>
        <v>v41mycA</v>
      </c>
      <c r="E505">
        <v>11</v>
      </c>
      <c r="F505">
        <v>0.55605000000000004</v>
      </c>
      <c r="G505" s="1" t="s">
        <v>193</v>
      </c>
      <c r="K505" t="str">
        <f>HYPERLINK("https://lindat.mff.cuni.cz/services/SynSemClass55/SynSemClass55.html?veclass=vec00179", "vec00179 / zakládat (v41pwsA)")</f>
        <v>vec00179 / zakládat (v41pwsA)</v>
      </c>
      <c r="L505">
        <v>0.55605000000000004</v>
      </c>
      <c r="M505" t="s">
        <v>29</v>
      </c>
      <c r="P505" t="str">
        <f>HYPERLINK("https://lindat.mff.cuni.cz/services/SynSemClass55/SynSemClass55.html?veclass=vec00488", "vec00488 / prohlásit (v41hddA)")</f>
        <v>vec00488 / prohlásit (v41hddA)</v>
      </c>
      <c r="Q505">
        <v>6.0740000000000002E-2</v>
      </c>
      <c r="R505" t="s">
        <v>29</v>
      </c>
      <c r="U505" t="str">
        <f>HYPERLINK("https://lindat.mff.cuni.cz/services/SynSemClass55/SynSemClass55.html?veclass=vec00127", "vec00127 / stanovit (v41lhzD)")</f>
        <v>vec00127 / stanovit (v41lhzD)</v>
      </c>
      <c r="V505">
        <v>6.0350000000000001E-2</v>
      </c>
      <c r="W505" t="s">
        <v>29</v>
      </c>
      <c r="Z505" t="str">
        <f>HYPERLINK("https://lindat.mff.cuni.cz/services/SynSemClass55/SynSemClass55.html?veclass=vec00084", "vec00084 / produkovat (v41hcjA)")</f>
        <v>vec00084 / produkovat (v41hcjA)</v>
      </c>
      <c r="AA505">
        <v>2.9090000000000001E-2</v>
      </c>
      <c r="AB505" t="s">
        <v>29</v>
      </c>
      <c r="AE505" t="str">
        <f>HYPERLINK("https://lindat.mff.cuni.cz/services/SynSemClass55/SynSemClass55.html?veclass=vec01490", "vec01490 / dotvořit (v41ahrA)")</f>
        <v>vec01490 / dotvořit (v41ahrA)</v>
      </c>
      <c r="AF505">
        <v>2.683E-2</v>
      </c>
      <c r="AG505" t="s">
        <v>29</v>
      </c>
    </row>
    <row r="507" spans="1:33" x14ac:dyDescent="0.2">
      <c r="A507" t="str">
        <f>HYPERLINK("https://lindat.mff.cuni.cz/services/PDT-Vallex4.5/PDT-Vallex4.5.html?verb=utahovat", "utahovat")</f>
        <v>utahovat</v>
      </c>
      <c r="B507" t="str">
        <f>HYPERLINK("https://lindat.mff.cuni.cz/services/PDT-Vallex4.5/PDT-Vallex4.5.html?verb=utahovat#v41mzlB", "v41mzlB")</f>
        <v>v41mzlB</v>
      </c>
      <c r="E507">
        <v>315</v>
      </c>
      <c r="F507">
        <v>0.17323</v>
      </c>
      <c r="G507" s="1" t="s">
        <v>194</v>
      </c>
      <c r="H507" s="1" t="s">
        <v>195</v>
      </c>
      <c r="I507" s="1" t="s">
        <v>42</v>
      </c>
      <c r="K507" t="str">
        <f>HYPERLINK("https://lindat.mff.cuni.cz/services/SynSemClass55/SynSemClass55.html?veclass=vec00943", "vec00943 / utáhnout (v41mzjC)")</f>
        <v>vec00943 / utáhnout (v41mzjC)</v>
      </c>
      <c r="L507">
        <v>0.17323</v>
      </c>
      <c r="M507" t="s">
        <v>29</v>
      </c>
      <c r="P507" t="str">
        <f>HYPERLINK("https://lindat.mff.cuni.cz/services/SynSemClass55/SynSemClass55.html?veclass=vec01667", "vec01667 / příst (v41iyxA)")</f>
        <v>vec01667 / příst (v41iyxA)</v>
      </c>
      <c r="Q507">
        <v>2.93E-2</v>
      </c>
      <c r="R507" t="s">
        <v>29</v>
      </c>
      <c r="U507" t="str">
        <f>HYPERLINK("https://lindat.mff.cuni.cz/services/SynSemClass55/SynSemClass55.html?veclass=vec01810", "vec01810 / osahávat (v41eyrA)")</f>
        <v>vec01810 / osahávat (v41eyrA)</v>
      </c>
      <c r="V507">
        <v>2.862E-2</v>
      </c>
      <c r="W507" t="s">
        <v>29</v>
      </c>
      <c r="Z507" t="str">
        <f>HYPERLINK("https://lindat.mff.cuni.cz/services/SynSemClass55/SynSemClass55.html?veclass=vec00677", "vec00677 / popadnout (v41gggA)")</f>
        <v>vec00677 / popadnout (v41gggA)</v>
      </c>
      <c r="AA507">
        <v>2.6610000000000002E-2</v>
      </c>
      <c r="AB507" t="s">
        <v>29</v>
      </c>
      <c r="AE507" t="str">
        <f>HYPERLINK("https://lindat.mff.cuni.cz/services/SynSemClass55/SynSemClass55.html?veclass=vec01580", "vec01580 / natahovat (v41dekC)")</f>
        <v>vec01580 / natahovat (v41dekC)</v>
      </c>
      <c r="AF507">
        <v>2.3390000000000001E-2</v>
      </c>
      <c r="AG507" t="s">
        <v>29</v>
      </c>
    </row>
    <row r="509" spans="1:33" x14ac:dyDescent="0.2">
      <c r="A509" t="str">
        <f>HYPERLINK("https://lindat.mff.cuni.cz/services/PDT-Vallex4.5/PDT-Vallex4.5.html?verb=utkvět", "utkvět")</f>
        <v>utkvět</v>
      </c>
      <c r="B509" t="str">
        <f>HYPERLINK("https://lindat.mff.cuni.cz/services/PDT-Vallex4.5/PDT-Vallex4.5.html?verb=utkvět#v41nahA", "v41nahA")</f>
        <v>v41nahA</v>
      </c>
      <c r="E509">
        <v>402</v>
      </c>
      <c r="F509">
        <v>0.51619999999999999</v>
      </c>
      <c r="G509" s="1" t="s">
        <v>196</v>
      </c>
      <c r="K509" t="str">
        <f>HYPERLINK("https://lindat.mff.cuni.cz/services/SynSemClass55/SynSemClass55.html?veclass=vec00394", "vec00394 / zůstat (v41sadF)")</f>
        <v>vec00394 / zůstat (v41sadF)</v>
      </c>
      <c r="L509">
        <v>0.51619999999999999</v>
      </c>
      <c r="M509" t="s">
        <v>29</v>
      </c>
      <c r="P509" t="str">
        <f>HYPERLINK("https://lindat.mff.cuni.cz/services/SynSemClass55/SynSemClass55.html?veclass=vec00579", "vec00579 / zastavit se (v41qmhA)")</f>
        <v>vec00579 / zastavit se (v41qmhA)</v>
      </c>
      <c r="Q509">
        <v>0.13125000000000001</v>
      </c>
      <c r="R509" t="s">
        <v>29</v>
      </c>
      <c r="U509" t="str">
        <f>HYPERLINK("https://lindat.mff.cuni.cz/services/SynSemClass55/SynSemClass55.html?veclass=vec01369", "vec01369 / zadrhnout se (v41pscA)")</f>
        <v>vec01369 / zadrhnout se (v41pscA)</v>
      </c>
      <c r="V509">
        <v>5.0540000000000002E-2</v>
      </c>
      <c r="W509" t="s">
        <v>29</v>
      </c>
      <c r="Z509" t="str">
        <f>HYPERLINK("https://lindat.mff.cuni.cz/services/SynSemClass55/SynSemClass55.html?veclass=vec01475", "vec01475 / zadrhávat se (v41psbA)")</f>
        <v>vec01475 / zadrhávat se (v41psbA)</v>
      </c>
      <c r="AA509">
        <v>2.947E-2</v>
      </c>
      <c r="AB509" t="s">
        <v>29</v>
      </c>
      <c r="AE509" t="str">
        <f>HYPERLINK("https://lindat.mff.cuni.cz/services/SynSemClass55/SynSemClass55.html?veclass=vec00199", "vec00199 / zůstat (v41sadA)")</f>
        <v>vec00199 / zůstat (v41sadA)</v>
      </c>
      <c r="AF509">
        <v>1.9730000000000001E-2</v>
      </c>
      <c r="AG509" t="s">
        <v>29</v>
      </c>
    </row>
    <row r="511" spans="1:33" x14ac:dyDescent="0.2">
      <c r="A511" t="str">
        <f>HYPERLINK("https://lindat.mff.cuni.cz/services/PDT-Vallex4.5/PDT-Vallex4.5.html?verb=utlumit se", "utlumit se")</f>
        <v>utlumit se</v>
      </c>
      <c r="B511" t="str">
        <f>HYPERLINK("https://lindat.mff.cuni.cz/services/PDT-Vallex4.5/PDT-Vallex4.5.html?verb=utlumit se#v41naqA", "v41naqA")</f>
        <v>v41naqA</v>
      </c>
      <c r="E511">
        <v>44</v>
      </c>
      <c r="F511">
        <v>0.69982</v>
      </c>
      <c r="G511" s="1" t="s">
        <v>181</v>
      </c>
      <c r="K511" t="str">
        <f>HYPERLINK("https://lindat.mff.cuni.cz/services/SynSemClass55/SynSemClass55.html?veclass=vec00055", "vec00055 / oslabit (v41ezlC)")</f>
        <v>vec00055 / oslabit (v41ezlC)</v>
      </c>
      <c r="L511">
        <v>0.69982</v>
      </c>
      <c r="M511" t="s">
        <v>29</v>
      </c>
      <c r="P511" t="str">
        <f>HYPERLINK("https://lindat.mff.cuni.cz/services/SynSemClass55/SynSemClass55.html?veclass=vec00536", "vec00536 / uklidnit (v41mmaA)")</f>
        <v>vec00536 / uklidnit (v41mmaA)</v>
      </c>
      <c r="Q511">
        <v>0.10538</v>
      </c>
      <c r="R511" t="s">
        <v>29</v>
      </c>
      <c r="U511" t="str">
        <f>HYPERLINK("https://lindat.mff.cuni.cz/services/SynSemClass55/SynSemClass55.html?veclass=vec00815", "vec00815 / dusit (v41alyD)")</f>
        <v>vec00815 / dusit (v41alyD)</v>
      </c>
      <c r="V511">
        <v>9.035E-2</v>
      </c>
      <c r="W511" t="s">
        <v>29</v>
      </c>
      <c r="Z511" t="str">
        <f>HYPERLINK("https://lindat.mff.cuni.cz/services/SynSemClass55/SynSemClass55.html?veclass=vec01301", "vec01301 / přitvrdit (v41javA)")</f>
        <v>vec01301 / přitvrdit (v41javA)</v>
      </c>
      <c r="AA511">
        <v>2.7300000000000001E-2</v>
      </c>
      <c r="AB511" t="s">
        <v>29</v>
      </c>
      <c r="AE511" t="str">
        <f>HYPERLINK("https://lindat.mff.cuni.cz/services/SynSemClass55/SynSemClass55.html?veclass=vec00545", "vec00545 / uvolnit (v41ndvG)")</f>
        <v>vec00545 / uvolnit (v41ndvG)</v>
      </c>
      <c r="AF511">
        <v>2.2669999999999999E-2</v>
      </c>
      <c r="AG511" t="s">
        <v>29</v>
      </c>
    </row>
    <row r="513" spans="1:33" x14ac:dyDescent="0.2">
      <c r="A513" t="str">
        <f>HYPERLINK("https://lindat.mff.cuni.cz/services/PDT-Vallex4.5/PDT-Vallex4.5.html?verb=utrhnout se", "utrhnout se")</f>
        <v>utrhnout se</v>
      </c>
      <c r="B513" t="str">
        <f>HYPERLINK("https://lindat.mff.cuni.cz/services/PDT-Vallex4.5/PDT-Vallex4.5.html?verb=utrhnout se#v41nbhA", "v41nbhA")</f>
        <v>v41nbhA</v>
      </c>
      <c r="E513">
        <v>782</v>
      </c>
      <c r="F513">
        <v>0.13247</v>
      </c>
      <c r="G513" s="1" t="s">
        <v>197</v>
      </c>
      <c r="K513" t="str">
        <f>HYPERLINK("https://lindat.mff.cuni.cz/services/SynSemClass55/SynSemClass55.html?veclass=vec01615", "vec01615 / utrhnout (v41nbgA)")</f>
        <v>vec01615 / utrhnout (v41nbgA)</v>
      </c>
      <c r="L513">
        <v>0.13247</v>
      </c>
      <c r="M513" t="s">
        <v>29</v>
      </c>
      <c r="P513" t="str">
        <f>HYPERLINK("https://lindat.mff.cuni.cz/services/SynSemClass55/SynSemClass55.html?veclass=vec00764", "vec00764 / vytrhnout (v41pdrB)")</f>
        <v>vec00764 / vytrhnout (v41pdrB)</v>
      </c>
      <c r="Q513">
        <v>0.11032</v>
      </c>
      <c r="R513" t="s">
        <v>29</v>
      </c>
      <c r="U513" t="str">
        <f>HYPERLINK("https://lindat.mff.cuni.cz/services/SynSemClass55/SynSemClass55.html?veclass=vec01413", "vec01413 / odtrhnout se (v41eltB)")</f>
        <v>vec01413 / odtrhnout se (v41eltB)</v>
      </c>
      <c r="V513">
        <v>8.5629999999999998E-2</v>
      </c>
      <c r="W513" t="s">
        <v>29</v>
      </c>
      <c r="Z513" t="str">
        <f>HYPERLINK("https://lindat.mff.cuni.cz/services/SynSemClass55/SynSemClass55.html?veclass=vec00648", "vec00648 / odebrat (v41dygC)")</f>
        <v>vec00648 / odebrat (v41dygC)</v>
      </c>
      <c r="AA513">
        <v>5.0750000000000003E-2</v>
      </c>
      <c r="AB513" t="s">
        <v>29</v>
      </c>
      <c r="AE513" t="str">
        <f>HYPERLINK("https://lindat.mff.cuni.cz/services/SynSemClass55/SynSemClass55.html?veclass=vec01508", "vec01508 / ořezávat (v41eymA)")</f>
        <v>vec01508 / ořezávat (v41eymA)</v>
      </c>
      <c r="AF513">
        <v>3.7870000000000001E-2</v>
      </c>
      <c r="AG513" t="s">
        <v>29</v>
      </c>
    </row>
    <row r="515" spans="1:33" x14ac:dyDescent="0.2">
      <c r="A515" t="str">
        <f>HYPERLINK("https://lindat.mff.cuni.cz/services/PDT-Vallex4.5/PDT-Vallex4.5.html?verb=uvalovat", "uvalovat")</f>
        <v>uvalovat</v>
      </c>
      <c r="B515" t="str">
        <f>HYPERLINK("https://lindat.mff.cuni.cz/services/PDT-Vallex4.5/PDT-Vallex4.5.html?verb=uvalovat#v41nciA", "v41nciA")</f>
        <v>v41nciA</v>
      </c>
      <c r="E515">
        <v>19</v>
      </c>
      <c r="F515">
        <v>0.13055</v>
      </c>
      <c r="G515" s="1" t="s">
        <v>32</v>
      </c>
      <c r="K515" t="str">
        <f>HYPERLINK("https://lindat.mff.cuni.cz/services/SynSemClass55/SynSemClass55.html?veclass=vec01712", "vec01712 / zatěžovat (v41qppB)")</f>
        <v>vec01712 / zatěžovat (v41qppB)</v>
      </c>
      <c r="L515">
        <v>0.13055</v>
      </c>
      <c r="M515" t="s">
        <v>29</v>
      </c>
      <c r="P515" t="str">
        <f>HYPERLINK("https://lindat.mff.cuni.cz/services/SynSemClass55/SynSemClass55.html?veclass=vec00347", "vec00347 / vinit (v41nllA)")</f>
        <v>vec00347 / vinit (v41nllA)</v>
      </c>
      <c r="Q515">
        <v>8.2400000000000001E-2</v>
      </c>
      <c r="R515" t="s">
        <v>31</v>
      </c>
      <c r="U515" t="str">
        <f>HYPERLINK("https://lindat.mff.cuni.cz/services/SynSemClass55/SynSemClass55.html?veclass=vec00819", "vec00819 / házet (v41aupC)")</f>
        <v>vec00819 / házet (v41aupC)</v>
      </c>
      <c r="V515">
        <v>6.0010000000000001E-2</v>
      </c>
      <c r="W515" t="s">
        <v>29</v>
      </c>
      <c r="Z515" t="str">
        <f>HYPERLINK("https://lindat.mff.cuni.cz/services/SynSemClass55/SynSemClass55.html?veclass=vec00196", "vec00196 / způsobit (v41rvuB)")</f>
        <v>vec00196 / způsobit (v41rvuB)</v>
      </c>
      <c r="AA515">
        <v>5.9839999999999997E-2</v>
      </c>
      <c r="AB515" t="s">
        <v>29</v>
      </c>
      <c r="AE515" t="str">
        <f>HYPERLINK("https://lindat.mff.cuni.cz/services/SynSemClass55/SynSemClass55.html?veclass=vec01407", "vec01407 / nakládat (v41crzA)")</f>
        <v>vec01407 / nakládat (v41crzA)</v>
      </c>
      <c r="AF515">
        <v>4.897E-2</v>
      </c>
      <c r="AG515" t="s">
        <v>29</v>
      </c>
    </row>
    <row r="517" spans="1:33" x14ac:dyDescent="0.2">
      <c r="A517" t="str">
        <f>HYPERLINK("https://lindat.mff.cuni.cz/services/PDT-Vallex4.5/PDT-Vallex4.5.html?verb=uvázat se", "uvázat se")</f>
        <v>uvázat se</v>
      </c>
      <c r="B517" t="str">
        <f>HYPERLINK("https://lindat.mff.cuni.cz/services/PDT-Vallex4.5/PDT-Vallex4.5.html?verb=uvázat se#v41ncmA", "v41ncmA")</f>
        <v>v41ncmA</v>
      </c>
      <c r="E517">
        <v>361</v>
      </c>
      <c r="F517">
        <v>0.41570000000000001</v>
      </c>
      <c r="G517" s="1" t="s">
        <v>198</v>
      </c>
      <c r="K517" t="str">
        <f>HYPERLINK("https://lindat.mff.cuni.cz/services/SynSemClass55/SynSemClass55.html?veclass=vec00899", "vec00899 / připevnit (v41ivdA)")</f>
        <v>vec00899 / připevnit (v41ivdA)</v>
      </c>
      <c r="L517">
        <v>0.41570000000000001</v>
      </c>
      <c r="M517" t="s">
        <v>29</v>
      </c>
      <c r="P517" t="str">
        <f>HYPERLINK("https://lindat.mff.cuni.cz/services/SynSemClass55/SynSemClass55.html?veclass=vec00943", "vec00943 / utáhnout (v41mzjC)")</f>
        <v>vec00943 / utáhnout (v41mzjC)</v>
      </c>
      <c r="Q517">
        <v>0.10163999999999999</v>
      </c>
      <c r="R517" t="s">
        <v>29</v>
      </c>
      <c r="U517" t="str">
        <f>HYPERLINK("https://lindat.mff.cuni.cz/services/SynSemClass55/SynSemClass55.html?veclass=vec00519", "vec00519 / spojovat (v41ldaC)")</f>
        <v>vec00519 / spojovat (v41ldaC)</v>
      </c>
      <c r="V517">
        <v>6.7790000000000003E-2</v>
      </c>
      <c r="W517" t="s">
        <v>29</v>
      </c>
      <c r="Z517" t="str">
        <f>HYPERLINK("https://lindat.mff.cuni.cz/services/SynSemClass55/SynSemClass55.html?veclass=vec01141", "vec01141 / vázat (v41nhcE)")</f>
        <v>vec01141 / vázat (v41nhcE)</v>
      </c>
      <c r="AA517">
        <v>5.611E-2</v>
      </c>
      <c r="AB517" t="s">
        <v>29</v>
      </c>
      <c r="AE517" t="str">
        <f>HYPERLINK("https://lindat.mff.cuni.cz/services/SynSemClass55/SynSemClass55.html?veclass=vec01500", "vec01500 / obouvat (v41drsA)")</f>
        <v>vec01500 / obouvat (v41drsA)</v>
      </c>
      <c r="AF517">
        <v>4.4119999999999999E-2</v>
      </c>
      <c r="AG517" t="s">
        <v>29</v>
      </c>
    </row>
    <row r="519" spans="1:33" x14ac:dyDescent="0.2">
      <c r="A519" t="str">
        <f>HYPERLINK("https://lindat.mff.cuni.cz/services/PDT-Vallex4.5/PDT-Vallex4.5.html?verb=uzobnout", "uzobnout")</f>
        <v>uzobnout</v>
      </c>
      <c r="B519" t="str">
        <f>HYPERLINK("https://lindat.mff.cuni.cz/services/PDT-Vallex4.5/PDT-Vallex4.5.html?verb=uzobnout#v41nfdA", "v41nfdA")</f>
        <v>v41nfdA</v>
      </c>
      <c r="E519">
        <v>5</v>
      </c>
      <c r="F519">
        <v>0.15623999999999999</v>
      </c>
      <c r="G519" s="1" t="s">
        <v>199</v>
      </c>
      <c r="K519" t="str">
        <f>HYPERLINK("https://lindat.mff.cuni.cz/services/SynSemClass55/SynSemClass55.html?veclass=vec01810", "vec01810 / osahávat (v41eyrA)")</f>
        <v>vec01810 / osahávat (v41eyrA)</v>
      </c>
      <c r="L519">
        <v>0.15623999999999999</v>
      </c>
      <c r="M519" t="s">
        <v>29</v>
      </c>
      <c r="P519" t="str">
        <f>HYPERLINK("https://lindat.mff.cuni.cz/services/SynSemClass55/SynSemClass55.html?veclass=vec01699", "vec01699 / veslovat (v41njuA)")</f>
        <v>vec01699 / veslovat (v41njuA)</v>
      </c>
      <c r="Q519">
        <v>7.059E-2</v>
      </c>
      <c r="R519" t="s">
        <v>29</v>
      </c>
      <c r="U519" t="str">
        <f>HYPERLINK("https://lindat.mff.cuni.cz/services/SynSemClass55/SynSemClass55.html?veclass=vec01216", "vec01216 / hrabat se (v41aygA)")</f>
        <v>vec01216 / hrabat se (v41aygA)</v>
      </c>
      <c r="V519">
        <v>6.966E-2</v>
      </c>
      <c r="W519" t="s">
        <v>29</v>
      </c>
      <c r="Z519" t="str">
        <f>HYPERLINK("https://lindat.mff.cuni.cz/services/SynSemClass55/SynSemClass55.html?veclass=vec01615", "vec01615 / utrhnout (v41nbgA)")</f>
        <v>vec01615 / utrhnout (v41nbgA)</v>
      </c>
      <c r="AA519">
        <v>6.1629999999999997E-2</v>
      </c>
      <c r="AB519" t="s">
        <v>29</v>
      </c>
      <c r="AE519" t="str">
        <f>HYPERLINK("https://lindat.mff.cuni.cz/services/SynSemClass55/SynSemClass55.html?veclass=vec01678", "vec01678 / smeknout (v41kuuA)")</f>
        <v>vec01678 / smeknout (v41kuuA)</v>
      </c>
      <c r="AF519">
        <v>6.1010000000000002E-2</v>
      </c>
      <c r="AG519" t="s">
        <v>29</v>
      </c>
    </row>
    <row r="521" spans="1:33" x14ac:dyDescent="0.2">
      <c r="A521" t="str">
        <f>HYPERLINK("https://lindat.mff.cuni.cz/services/PDT-Vallex4.5/PDT-Vallex4.5.html?verb=uzpůsobit", "uzpůsobit")</f>
        <v>uzpůsobit</v>
      </c>
      <c r="B521" t="str">
        <f>HYPERLINK("https://lindat.mff.cuni.cz/services/PDT-Vallex4.5/PDT-Vallex4.5.html?verb=uzpůsobit#v41nffB", "v41nffB")</f>
        <v>v41nffB</v>
      </c>
      <c r="E521">
        <v>50</v>
      </c>
      <c r="F521">
        <v>0.46425</v>
      </c>
      <c r="G521" s="1" t="s">
        <v>32</v>
      </c>
      <c r="K521" t="str">
        <f>HYPERLINK("https://lindat.mff.cuni.cz/services/SynSemClass55/SynSemClass55.html?veclass=vec00902", "vec00902 / přizpůsobovat (v41jcrA)")</f>
        <v>vec00902 / přizpůsobovat (v41jcrA)</v>
      </c>
      <c r="L521">
        <v>0.46425</v>
      </c>
      <c r="M521" t="s">
        <v>31</v>
      </c>
      <c r="P521" t="str">
        <f>HYPERLINK("https://lindat.mff.cuni.cz/services/SynSemClass55/SynSemClass55.html?veclass=vec00095", "vec00095 / přeměnit (v41iecA)")</f>
        <v>vec00095 / přeměnit (v41iecA)</v>
      </c>
      <c r="Q521">
        <v>0.12525</v>
      </c>
      <c r="R521" t="s">
        <v>29</v>
      </c>
      <c r="U521" t="str">
        <f>HYPERLINK("https://lindat.mff.cuni.cz/services/SynSemClass55/SynSemClass55.html?veclass=vec00040", "vec00040 / navrhnout (v41dgxD)")</f>
        <v>vec00040 / navrhnout (v41dgxD)</v>
      </c>
      <c r="V521">
        <v>3.5430000000000003E-2</v>
      </c>
      <c r="W521" t="s">
        <v>29</v>
      </c>
      <c r="Z521" t="str">
        <f>HYPERLINK("https://lindat.mff.cuni.cz/services/SynSemClass55/SynSemClass55.html?veclass=vec00696", "vec00696 / přizpůsobit se (v41jcpA)")</f>
        <v>vec00696 / přizpůsobit se (v41jcpA)</v>
      </c>
      <c r="AA521">
        <v>3.0609999999999998E-2</v>
      </c>
      <c r="AB521" t="s">
        <v>29</v>
      </c>
      <c r="AE521" t="str">
        <f>HYPERLINK("https://lindat.mff.cuni.cz/services/SynSemClass55/SynSemClass55.html?veclass=vec00556", "vec00556 / vyhradit (v41oavA)")</f>
        <v>vec00556 / vyhradit (v41oavA)</v>
      </c>
      <c r="AF521">
        <v>2.4549999999999999E-2</v>
      </c>
      <c r="AG521" t="s">
        <v>29</v>
      </c>
    </row>
    <row r="523" spans="1:33" x14ac:dyDescent="0.2">
      <c r="A523" t="str">
        <f>HYPERLINK("https://lindat.mff.cuni.cz/services/PDT-Vallex4.5/PDT-Vallex4.5.html?verb=vést si", "vést si")</f>
        <v>vést si</v>
      </c>
      <c r="B523" t="str">
        <f>HYPERLINK("https://lindat.mff.cuni.cz/services/PDT-Vallex4.5/PDT-Vallex4.5.html?verb=vést si#v41njzB", "v41njzB")</f>
        <v>v41njzB</v>
      </c>
      <c r="E523">
        <v>5000</v>
      </c>
      <c r="F523">
        <v>0.14768000000000001</v>
      </c>
      <c r="G523" s="1" t="s">
        <v>200</v>
      </c>
      <c r="H523" s="1" t="s">
        <v>201</v>
      </c>
      <c r="I523" s="1" t="s">
        <v>42</v>
      </c>
      <c r="K523" t="str">
        <f>HYPERLINK("https://lindat.mff.cuni.cz/services/SynSemClass55/SynSemClass55.html?veclass=vec01377", "vec01377 / zavést (v41qsnC)")</f>
        <v>vec01377 / zavést (v41qsnC)</v>
      </c>
      <c r="L523">
        <v>0.14768000000000001</v>
      </c>
      <c r="M523" t="s">
        <v>29</v>
      </c>
      <c r="P523" t="str">
        <f>HYPERLINK("https://lindat.mff.cuni.cz/services/SynSemClass55/SynSemClass55.html?veclass=vec00153", "vec00153 / vést si (v41njzA)")</f>
        <v>vec00153 / vést si (v41njzA)</v>
      </c>
      <c r="Q523">
        <v>0.13120000000000001</v>
      </c>
      <c r="R523" t="s">
        <v>29</v>
      </c>
      <c r="U523" t="str">
        <f>HYPERLINK("https://lindat.mff.cuni.cz/services/SynSemClass55/SynSemClass55.html?veclass=vec01694", "vec01694 / ústit (v41myeB)")</f>
        <v>vec01694 / ústit (v41myeB)</v>
      </c>
      <c r="V523">
        <v>7.5609999999999997E-2</v>
      </c>
      <c r="W523" t="s">
        <v>29</v>
      </c>
      <c r="Z523" t="str">
        <f>HYPERLINK("https://lindat.mff.cuni.cz/services/SynSemClass55/SynSemClass55.html?veclass=vec00302", "vec00302 / řídit (v41kegA)")</f>
        <v>vec00302 / řídit (v41kegA)</v>
      </c>
      <c r="AA523">
        <v>5.3940000000000002E-2</v>
      </c>
      <c r="AB523" t="s">
        <v>29</v>
      </c>
      <c r="AE523" t="str">
        <f>HYPERLINK("https://lindat.mff.cuni.cz/services/SynSemClass55/SynSemClass55.html?veclass=vec00359", "vec00359 / vyústit (v41pfhA)")</f>
        <v>vec00359 / vyústit (v41pfhA)</v>
      </c>
      <c r="AF523">
        <v>4.5359999999999998E-2</v>
      </c>
      <c r="AG523" t="s">
        <v>29</v>
      </c>
    </row>
    <row r="525" spans="1:33" x14ac:dyDescent="0.2">
      <c r="A525" t="str">
        <f>HYPERLINK("https://lindat.mff.cuni.cz/services/PDT-Vallex4.5/PDT-Vallex4.5.html?verb=vetknout", "vetknout")</f>
        <v>vetknout</v>
      </c>
      <c r="B525" t="str">
        <f>HYPERLINK("https://lindat.mff.cuni.cz/services/PDT-Vallex4.5/PDT-Vallex4.5.html?verb=vetknout#v41nkfA", "v41nkfA")</f>
        <v>v41nkfA</v>
      </c>
      <c r="E525">
        <v>27</v>
      </c>
      <c r="F525">
        <v>0.25480999999999998</v>
      </c>
      <c r="G525" s="1" t="s">
        <v>32</v>
      </c>
      <c r="K525" t="str">
        <f>HYPERLINK("https://lindat.mff.cuni.cz/services/SynSemClass55/SynSemClass55.html?veclass=vec00735", "vec00735 / umístit (v41motA)")</f>
        <v>vec00735 / umístit (v41motA)</v>
      </c>
      <c r="L525">
        <v>0.25480999999999998</v>
      </c>
      <c r="M525" t="s">
        <v>31</v>
      </c>
      <c r="P525" t="str">
        <f>HYPERLINK("https://lindat.mff.cuni.cz/services/SynSemClass55/SynSemClass55.html?veclass=vec00899", "vec00899 / připevnit (v41ivdA)")</f>
        <v>vec00899 / připevnit (v41ivdA)</v>
      </c>
      <c r="Q525">
        <v>0.15340999999999999</v>
      </c>
      <c r="R525" t="s">
        <v>29</v>
      </c>
      <c r="U525" t="str">
        <f>HYPERLINK("https://lindat.mff.cuni.cz/services/SynSemClass55/SynSemClass55.html?veclass=vec00932", "vec00932 / strčit (v41lmaE)")</f>
        <v>vec00932 / strčit (v41lmaE)</v>
      </c>
      <c r="V525">
        <v>0.12520999999999999</v>
      </c>
      <c r="W525" t="s">
        <v>29</v>
      </c>
      <c r="Z525" t="str">
        <f>HYPERLINK("https://lindat.mff.cuni.cz/services/SynSemClass55/SynSemClass55.html?veclass=vec00841", "vec00841 / nacpat (v41cmpB)")</f>
        <v>vec00841 / nacpat (v41cmpB)</v>
      </c>
      <c r="AA525">
        <v>5.79E-2</v>
      </c>
      <c r="AB525" t="s">
        <v>29</v>
      </c>
      <c r="AE525" t="str">
        <f>HYPERLINK("https://lindat.mff.cuni.cz/services/SynSemClass55/SynSemClass55.html?veclass=vec01966", "vec01966 / zapustit (v41qiaB)")</f>
        <v>vec01966 / zapustit (v41qiaB)</v>
      </c>
      <c r="AF525">
        <v>5.4120000000000001E-2</v>
      </c>
      <c r="AG525" t="s">
        <v>29</v>
      </c>
    </row>
    <row r="527" spans="1:33" x14ac:dyDescent="0.2">
      <c r="A527" t="str">
        <f>HYPERLINK("https://lindat.mff.cuni.cz/services/PDT-Vallex4.5/PDT-Vallex4.5.html?verb=vhlížet", "vhlížet")</f>
        <v>vhlížet</v>
      </c>
      <c r="B527" t="str">
        <f>HYPERLINK("https://lindat.mff.cuni.cz/services/PDT-Vallex4.5/PDT-Vallex4.5.html?verb=vhlížet#v41nkyA", "v41nkyA")</f>
        <v>v41nkyA</v>
      </c>
      <c r="E527">
        <v>2</v>
      </c>
      <c r="F527">
        <v>0.76005</v>
      </c>
      <c r="G527" s="1" t="s">
        <v>32</v>
      </c>
      <c r="K527" t="str">
        <f>HYPERLINK("https://lindat.mff.cuni.cz/services/SynSemClass55/SynSemClass55.html?veclass=vec00869", "vec00869 / podívat se (v41fsdH)")</f>
        <v>vec00869 / podívat se (v41fsdH)</v>
      </c>
      <c r="L527">
        <v>0.76005</v>
      </c>
      <c r="M527" t="s">
        <v>31</v>
      </c>
      <c r="P527" t="str">
        <f>HYPERLINK("https://lindat.mff.cuni.cz/services/SynSemClass55/SynSemClass55.html?veclass=vec01515", "vec01515 / přeměřovat (v41iegA)")</f>
        <v>vec01515 / přeměřovat (v41iegA)</v>
      </c>
      <c r="Q527">
        <v>5.4309999999999997E-2</v>
      </c>
      <c r="R527" t="s">
        <v>29</v>
      </c>
      <c r="U527" t="str">
        <f>HYPERLINK("https://lindat.mff.cuni.cz/services/SynSemClass55/SynSemClass55.html?veclass=vec01263", "vec01263 / porozhlédnout se (v41gjlB)")</f>
        <v>vec01263 / porozhlédnout se (v41gjlB)</v>
      </c>
      <c r="V527">
        <v>4.9340000000000002E-2</v>
      </c>
      <c r="W527" t="s">
        <v>29</v>
      </c>
      <c r="Z527" t="str">
        <f>HYPERLINK("https://lindat.mff.cuni.cz/services/SynSemClass55/SynSemClass55.html?veclass=vec01128", "vec01128 / tolerovat (v41lzxA)")</f>
        <v>vec01128 / tolerovat (v41lzxA)</v>
      </c>
      <c r="AA527">
        <v>4.0710000000000003E-2</v>
      </c>
      <c r="AB527" t="s">
        <v>29</v>
      </c>
      <c r="AE527" t="str">
        <f>HYPERLINK("https://lindat.mff.cuni.cz/services/SynSemClass55/SynSemClass55.html?veclass=vec00918", "vec00918 / sáhnout (v41kevC)")</f>
        <v>vec00918 / sáhnout (v41kevC)</v>
      </c>
      <c r="AF527">
        <v>3.005E-2</v>
      </c>
      <c r="AG527" t="s">
        <v>29</v>
      </c>
    </row>
    <row r="529" spans="1:33" x14ac:dyDescent="0.2">
      <c r="A529" t="str">
        <f>HYPERLINK("https://lindat.mff.cuni.cz/services/PDT-Vallex4.5/PDT-Vallex4.5.html?verb=viklat se", "viklat se")</f>
        <v>viklat se</v>
      </c>
      <c r="B529" t="str">
        <f>HYPERLINK("https://lindat.mff.cuni.cz/services/PDT-Vallex4.5/PDT-Vallex4.5.html?verb=viklat se#v41nliA", "v41nliA")</f>
        <v>v41nliA</v>
      </c>
      <c r="E529">
        <v>56</v>
      </c>
      <c r="F529">
        <v>8.4589999999999999E-2</v>
      </c>
      <c r="G529" s="1" t="s">
        <v>32</v>
      </c>
      <c r="K529" t="str">
        <f>HYPERLINK("https://lindat.mff.cuni.cz/services/SynSemClass55/SynSemClass55.html?veclass=vec00626", "vec00626 / kymácet se (v41bxpA)")</f>
        <v>vec00626 / kymácet se (v41bxpA)</v>
      </c>
      <c r="L529">
        <v>8.4589999999999999E-2</v>
      </c>
      <c r="M529" t="s">
        <v>33</v>
      </c>
      <c r="P529" t="str">
        <f>HYPERLINK("https://lindat.mff.cuni.cz/services/SynSemClass55/SynSemClass55.html?veclass=vec01219", "vec01219 / klouzat (v41bmaA)")</f>
        <v>vec01219 / klouzat (v41bmaA)</v>
      </c>
      <c r="Q529">
        <v>7.3609999999999995E-2</v>
      </c>
      <c r="R529" t="s">
        <v>29</v>
      </c>
      <c r="U529" t="str">
        <f>HYPERLINK("https://lindat.mff.cuni.cz/services/SynSemClass55/SynSemClass55.html?veclass=vec00993", "vec00993 / zkroutit se (v41rhjA)")</f>
        <v>vec00993 / zkroutit se (v41rhjA)</v>
      </c>
      <c r="V529">
        <v>6.8210000000000007E-2</v>
      </c>
      <c r="W529" t="s">
        <v>29</v>
      </c>
      <c r="Z529" t="str">
        <f>HYPERLINK("https://lindat.mff.cuni.cz/services/SynSemClass55/SynSemClass55.html?veclass=vec01336", "vec01336 / tyčit se (v41meuA)")</f>
        <v>vec01336 / tyčit se (v41meuA)</v>
      </c>
      <c r="AA529">
        <v>3.9649999999999998E-2</v>
      </c>
      <c r="AB529" t="s">
        <v>29</v>
      </c>
      <c r="AE529" t="str">
        <f>HYPERLINK("https://lindat.mff.cuni.cz/services/SynSemClass55/SynSemClass55.html?veclass=vec01634", "vec01634 / zmítat se (v41rldA)")</f>
        <v>vec01634 / zmítat se (v41rldA)</v>
      </c>
      <c r="AF529">
        <v>3.884E-2</v>
      </c>
      <c r="AG529" t="s">
        <v>29</v>
      </c>
    </row>
    <row r="531" spans="1:33" x14ac:dyDescent="0.2">
      <c r="A531" t="str">
        <f>HYPERLINK("https://lindat.mff.cuni.cz/services/PDT-Vallex4.5/PDT-Vallex4.5.html?verb=vlévat", "vlévat")</f>
        <v>vlévat</v>
      </c>
      <c r="B531" t="str">
        <f>HYPERLINK("https://lindat.mff.cuni.cz/services/PDT-Vallex4.5/PDT-Vallex4.5.html?verb=vlévat#v41nndA", "v41nndA")</f>
        <v>v41nndA</v>
      </c>
      <c r="E531">
        <v>171</v>
      </c>
      <c r="F531">
        <v>0.47194000000000003</v>
      </c>
      <c r="G531" s="1" t="s">
        <v>202</v>
      </c>
      <c r="K531" t="str">
        <f>HYPERLINK("https://lindat.mff.cuni.cz/services/SynSemClass55/SynSemClass55.html?veclass=vec00952", "vec00952 / vlévat se (v41nneA)")</f>
        <v>vec00952 / vlévat se (v41nneA)</v>
      </c>
      <c r="L531">
        <v>0.47194000000000003</v>
      </c>
      <c r="M531" t="s">
        <v>29</v>
      </c>
      <c r="P531" t="str">
        <f>HYPERLINK("https://lindat.mff.cuni.cz/services/SynSemClass55/SynSemClass55.html?veclass=vec01942", "vec01942 / vylít (v41oijA)")</f>
        <v>vec01942 / vylít (v41oijA)</v>
      </c>
      <c r="Q531">
        <v>3.4630000000000001E-2</v>
      </c>
      <c r="R531" t="s">
        <v>29</v>
      </c>
      <c r="U531" t="str">
        <f>HYPERLINK("https://lindat.mff.cuni.cz/services/SynSemClass55/SynSemClass55.html?veclass=vec00893", "vec00893 / překypovat (v41ideA)")</f>
        <v>vec00893 / překypovat (v41ideA)</v>
      </c>
      <c r="V531">
        <v>2.4209999999999999E-2</v>
      </c>
      <c r="W531" t="s">
        <v>29</v>
      </c>
      <c r="Z531" t="str">
        <f>HYPERLINK("https://lindat.mff.cuni.cz/services/SynSemClass55/SynSemClass55.html?veclass=vec00218", "vec00218 / dostat se (v41afyI)")</f>
        <v>vec00218 / dostat se (v41afyI)</v>
      </c>
      <c r="AA531">
        <v>2.112E-2</v>
      </c>
      <c r="AB531" t="s">
        <v>29</v>
      </c>
      <c r="AE531" t="str">
        <f>HYPERLINK("https://lindat.mff.cuni.cz/services/SynSemClass55/SynSemClass55.html?veclass=vec00318", "vec00318 / spojit se (v41lcwA)")</f>
        <v>vec00318 / spojit se (v41lcwA)</v>
      </c>
      <c r="AF531">
        <v>1.9650000000000001E-2</v>
      </c>
      <c r="AG531" t="s">
        <v>29</v>
      </c>
    </row>
    <row r="533" spans="1:33" x14ac:dyDescent="0.2">
      <c r="A533" t="str">
        <f>HYPERLINK("https://lindat.mff.cuni.cz/services/PDT-Vallex4.5/PDT-Vallex4.5.html?verb=vměšovat se", "vměšovat se")</f>
        <v>vměšovat se</v>
      </c>
      <c r="B533" t="str">
        <f>HYPERLINK("https://lindat.mff.cuni.cz/services/PDT-Vallex4.5/PDT-Vallex4.5.html?verb=vměšovat se#v41nnvB", "v41nnvB")</f>
        <v>v41nnvB</v>
      </c>
      <c r="E533">
        <v>82</v>
      </c>
      <c r="F533">
        <v>0.90273999999999999</v>
      </c>
      <c r="G533" s="1" t="s">
        <v>32</v>
      </c>
      <c r="K533" t="str">
        <f>HYPERLINK("https://lindat.mff.cuni.cz/services/SynSemClass55/SynSemClass55.html?veclass=vec00775", "vec00775 / zasahovat (v41qkaB)")</f>
        <v>vec00775 / zasahovat (v41qkaB)</v>
      </c>
      <c r="L533">
        <v>0.90273999999999999</v>
      </c>
      <c r="M533" t="s">
        <v>31</v>
      </c>
      <c r="P533" t="str">
        <f>HYPERLINK("https://lindat.mff.cuni.cz/services/SynSemClass55/SynSemClass55.html?veclass=vec00818", "vec00818 / fušovat (v41askA)")</f>
        <v>vec00818 / fušovat (v41askA)</v>
      </c>
      <c r="Q533">
        <v>6.166E-2</v>
      </c>
      <c r="R533" t="s">
        <v>29</v>
      </c>
      <c r="U533" t="str">
        <f>HYPERLINK("https://lindat.mff.cuni.cz/services/SynSemClass55/SynSemClass55.html?veclass=vec01712", "vec01712 / zatěžovat (v41qppB)")</f>
        <v>vec01712 / zatěžovat (v41qppB)</v>
      </c>
      <c r="V533">
        <v>2.2620000000000001E-2</v>
      </c>
      <c r="W533" t="s">
        <v>29</v>
      </c>
      <c r="Z533" t="str">
        <f>HYPERLINK("https://lindat.mff.cuni.cz/services/SynSemClass55/SynSemClass55.html?veclass=vec00175", "vec00175 / zahrnout (v41ptwC)")</f>
        <v>vec00175 / zahrnout (v41ptwC)</v>
      </c>
      <c r="AA533">
        <v>1.7500000000000002E-2</v>
      </c>
      <c r="AB533" t="s">
        <v>29</v>
      </c>
      <c r="AE533" t="str">
        <f>HYPERLINK("https://lindat.mff.cuni.cz/services/SynSemClass55/SynSemClass55.html?veclass=vec01706", "vec01706 / zaplést (v41qfnA)")</f>
        <v>vec01706 / zaplést (v41qfnA)</v>
      </c>
      <c r="AF533">
        <v>1.4279999999999999E-2</v>
      </c>
      <c r="AG533" t="s">
        <v>29</v>
      </c>
    </row>
    <row r="535" spans="1:33" x14ac:dyDescent="0.2">
      <c r="A535" t="str">
        <f>HYPERLINK("https://lindat.mff.cuni.cz/services/PDT-Vallex4.5/PDT-Vallex4.5.html?verb=vpadávat", "vpadávat")</f>
        <v>vpadávat</v>
      </c>
      <c r="B535" t="str">
        <f>HYPERLINK("https://lindat.mff.cuni.cz/services/PDT-Vallex4.5/PDT-Vallex4.5.html?verb=vpadávat#v41npcA", "v41npcA")</f>
        <v>v41npcA</v>
      </c>
      <c r="E535">
        <v>4</v>
      </c>
      <c r="F535">
        <v>0.53444000000000003</v>
      </c>
      <c r="G535" s="1" t="s">
        <v>203</v>
      </c>
      <c r="K535" t="str">
        <f>HYPERLINK("https://lindat.mff.cuni.cz/services/SynSemClass55/SynSemClass55.html?veclass=vec00218", "vec00218 / dostat se (v41afyI)")</f>
        <v>vec00218 / dostat se (v41afyI)</v>
      </c>
      <c r="L535">
        <v>0.53444000000000003</v>
      </c>
      <c r="M535" t="s">
        <v>29</v>
      </c>
      <c r="P535" t="str">
        <f>HYPERLINK("https://lindat.mff.cuni.cz/services/SynSemClass55/SynSemClass55.html?veclass=vec00579", "vec00579 / zastavit se (v41qmhA)")</f>
        <v>vec00579 / zastavit se (v41qmhA)</v>
      </c>
      <c r="Q535">
        <v>5.6270000000000001E-2</v>
      </c>
      <c r="R535" t="s">
        <v>29</v>
      </c>
      <c r="U535" t="str">
        <f>HYPERLINK("https://lindat.mff.cuni.cz/services/SynSemClass55/SynSemClass55.html?veclass=vec00042", "vec00042 / navštěvovat (v41dhjB)")</f>
        <v>vec00042 / navštěvovat (v41dhjB)</v>
      </c>
      <c r="V535">
        <v>4.0869999999999997E-2</v>
      </c>
      <c r="W535" t="s">
        <v>29</v>
      </c>
      <c r="Z535" t="str">
        <f>HYPERLINK("https://lindat.mff.cuni.cz/services/SynSemClass55/SynSemClass55.html?veclass=vec00747", "vec00747 / vrhnout se (v41nqnC)")</f>
        <v>vec00747 / vrhnout se (v41nqnC)</v>
      </c>
      <c r="AA535">
        <v>3.6240000000000001E-2</v>
      </c>
      <c r="AB535" t="s">
        <v>29</v>
      </c>
      <c r="AE535" t="str">
        <f>HYPERLINK("https://lindat.mff.cuni.cz/services/SynSemClass55/SynSemClass55.html?veclass=vec00665", "vec00665 / plazit se (v41fnbA)")</f>
        <v>vec00665 / plazit se (v41fnbA)</v>
      </c>
      <c r="AF535">
        <v>2.7949999999999999E-2</v>
      </c>
      <c r="AG535" t="s">
        <v>29</v>
      </c>
    </row>
    <row r="537" spans="1:33" x14ac:dyDescent="0.2">
      <c r="A537" t="str">
        <f>HYPERLINK("https://lindat.mff.cuni.cz/services/PDT-Vallex4.5/PDT-Vallex4.5.html?verb=vpadnout", "vpadnout")</f>
        <v>vpadnout</v>
      </c>
      <c r="B537" t="str">
        <f>HYPERLINK("https://lindat.mff.cuni.cz/services/PDT-Vallex4.5/PDT-Vallex4.5.html?verb=vpadnout#v41npdB", "v41npdB")</f>
        <v>v41npdB</v>
      </c>
      <c r="E537">
        <v>845</v>
      </c>
      <c r="F537">
        <v>0.51583000000000001</v>
      </c>
      <c r="G537" s="1" t="s">
        <v>203</v>
      </c>
      <c r="K537" t="str">
        <f>HYPERLINK("https://lindat.mff.cuni.cz/services/SynSemClass55/SynSemClass55.html?veclass=vec00218", "vec00218 / dostat se (v41afyI)")</f>
        <v>vec00218 / dostat se (v41afyI)</v>
      </c>
      <c r="L537">
        <v>0.51583000000000001</v>
      </c>
      <c r="M537" t="s">
        <v>29</v>
      </c>
      <c r="P537" t="str">
        <f>HYPERLINK("https://lindat.mff.cuni.cz/services/SynSemClass55/SynSemClass55.html?veclass=vec00751", "vec00751 / vtrhnout (v41nsvA)")</f>
        <v>vec00751 / vtrhnout (v41nsvA)</v>
      </c>
      <c r="Q537">
        <v>4.7759999999999997E-2</v>
      </c>
      <c r="R537" t="s">
        <v>29</v>
      </c>
      <c r="U537" t="str">
        <f>HYPERLINK("https://lindat.mff.cuni.cz/services/SynSemClass55/SynSemClass55.html?veclass=vec00747", "vec00747 / vrhnout se (v41nqnC)")</f>
        <v>vec00747 / vrhnout se (v41nqnC)</v>
      </c>
      <c r="V537">
        <v>3.7530000000000001E-2</v>
      </c>
      <c r="W537" t="s">
        <v>29</v>
      </c>
      <c r="Z537" t="str">
        <f>HYPERLINK("https://lindat.mff.cuni.cz/services/SynSemClass55/SynSemClass55.html?veclass=vec00775", "vec00775 / zasahovat (v41qkaB)")</f>
        <v>vec00775 / zasahovat (v41qkaB)</v>
      </c>
      <c r="AA537">
        <v>2.6579999999999999E-2</v>
      </c>
      <c r="AB537" t="s">
        <v>29</v>
      </c>
      <c r="AE537" t="str">
        <f>HYPERLINK("https://lindat.mff.cuni.cz/services/SynSemClass55/SynSemClass55.html?veclass=vec01060", "vec01060 / odseknout (v41eizA)")</f>
        <v>vec01060 / odseknout (v41eizA)</v>
      </c>
      <c r="AF537">
        <v>2.5020000000000001E-2</v>
      </c>
      <c r="AG537" t="s">
        <v>29</v>
      </c>
    </row>
    <row r="539" spans="1:33" x14ac:dyDescent="0.2">
      <c r="A539" t="str">
        <f>HYPERLINK("https://lindat.mff.cuni.cz/services/PDT-Vallex4.5/PDT-Vallex4.5.html?verb=vplouvat", "vplouvat")</f>
        <v>vplouvat</v>
      </c>
      <c r="B539" t="str">
        <f>HYPERLINK("https://lindat.mff.cuni.cz/services/PDT-Vallex4.5/PDT-Vallex4.5.html?verb=vplouvat#v41npnB", "v41npnB")</f>
        <v>v41npnB</v>
      </c>
      <c r="E539">
        <v>45</v>
      </c>
      <c r="F539">
        <v>0.60653000000000001</v>
      </c>
      <c r="G539" s="1" t="s">
        <v>32</v>
      </c>
      <c r="I539" s="1" t="s">
        <v>204</v>
      </c>
      <c r="K539" t="str">
        <f>HYPERLINK("https://lindat.mff.cuni.cz/services/SynSemClass55/SynSemClass55.html?veclass=vec00218", "vec00218 / dostat se (v41afyI)")</f>
        <v>vec00218 / dostat se (v41afyI)</v>
      </c>
      <c r="L539">
        <v>0.60653000000000001</v>
      </c>
      <c r="M539" t="s">
        <v>31</v>
      </c>
      <c r="P539" t="str">
        <f>HYPERLINK("https://lindat.mff.cuni.cz/services/SynSemClass55/SynSemClass55.html?veclass=vec00665", "vec00665 / plazit se (v41fnbA)")</f>
        <v>vec00665 / plazit se (v41fnbA)</v>
      </c>
      <c r="Q539">
        <v>6.9589999999999999E-2</v>
      </c>
      <c r="R539" t="s">
        <v>29</v>
      </c>
      <c r="U539" t="str">
        <f>HYPERLINK("https://lindat.mff.cuni.cz/services/SynSemClass55/SynSemClass55.html?veclass=vec00952", "vec00952 / vlévat se (v41nneA)")</f>
        <v>vec00952 / vlévat se (v41nneA)</v>
      </c>
      <c r="V539">
        <v>4.8460000000000003E-2</v>
      </c>
      <c r="W539" t="s">
        <v>29</v>
      </c>
      <c r="Z539" t="str">
        <f>HYPERLINK("https://lindat.mff.cuni.cz/services/SynSemClass55/SynSemClass55.html?veclass=vec00747", "vec00747 / vrhnout se (v41nqnC)")</f>
        <v>vec00747 / vrhnout se (v41nqnC)</v>
      </c>
      <c r="AA539">
        <v>4.1279999999999997E-2</v>
      </c>
      <c r="AB539" t="s">
        <v>29</v>
      </c>
      <c r="AE539" t="str">
        <f>HYPERLINK("https://lindat.mff.cuni.cz/services/SynSemClass55/SynSemClass55.html?veclass=vec01115", "vec01115 / sklouznout (v41kqyB)")</f>
        <v>vec01115 / sklouznout (v41kqyB)</v>
      </c>
      <c r="AF539">
        <v>2.9309999999999999E-2</v>
      </c>
      <c r="AG539" t="s">
        <v>29</v>
      </c>
    </row>
    <row r="541" spans="1:33" x14ac:dyDescent="0.2">
      <c r="A541" t="str">
        <f>HYPERLINK("https://lindat.mff.cuni.cz/services/PDT-Vallex4.5/PDT-Vallex4.5.html?verb=vrtat se", "vrtat se")</f>
        <v>vrtat se</v>
      </c>
      <c r="B541" t="str">
        <f>HYPERLINK("https://lindat.mff.cuni.cz/services/PDT-Vallex4.5/PDT-Vallex4.5.html?verb=vrtat se#v41nqyB", "v41nqyB")</f>
        <v>v41nqyB</v>
      </c>
      <c r="E541">
        <v>284</v>
      </c>
      <c r="F541">
        <v>7.0480000000000001E-2</v>
      </c>
      <c r="G541" s="1">
        <v>0</v>
      </c>
      <c r="I541" s="1" t="s">
        <v>205</v>
      </c>
      <c r="K541" t="str">
        <f>HYPERLINK("https://lindat.mff.cuni.cz/services/SynSemClass55/SynSemClass55.html?veclass=vec00818", "vec00818 / fušovat (v41askA)")</f>
        <v>vec00818 / fušovat (v41askA)</v>
      </c>
      <c r="L541">
        <v>7.0480000000000001E-2</v>
      </c>
      <c r="M541" t="s">
        <v>29</v>
      </c>
      <c r="P541" t="str">
        <f>HYPERLINK("https://lindat.mff.cuni.cz/services/SynSemClass55/SynSemClass55.html?veclass=vec00991", "vec00991 / zavrtět (v41qubA)")</f>
        <v>vec00991 / zavrtět (v41qubA)</v>
      </c>
      <c r="Q541">
        <v>6.2420000000000003E-2</v>
      </c>
      <c r="R541" t="s">
        <v>29</v>
      </c>
      <c r="U541" t="str">
        <f>HYPERLINK("https://lindat.mff.cuni.cz/services/SynSemClass55/SynSemClass55.html?veclass=vec00995", "vec00995 / zmítat (v41rlcA)")</f>
        <v>vec00995 / zmítat (v41rlcA)</v>
      </c>
      <c r="V541">
        <v>3.6319999999999998E-2</v>
      </c>
      <c r="W541" t="s">
        <v>29</v>
      </c>
      <c r="Z541" t="str">
        <f>HYPERLINK("https://lindat.mff.cuni.cz/services/SynSemClass55/SynSemClass55.html?veclass=vec01216", "vec01216 / hrabat se (v41aygA)")</f>
        <v>vec01216 / hrabat se (v41aygA)</v>
      </c>
      <c r="AA541">
        <v>3.2840000000000001E-2</v>
      </c>
      <c r="AB541" t="s">
        <v>29</v>
      </c>
      <c r="AE541" t="str">
        <f>HYPERLINK("https://lindat.mff.cuni.cz/services/SynSemClass55/SynSemClass55.html?veclass=vec00055", "vec00055 / oslabit (v41ezlC)")</f>
        <v>vec00055 / oslabit (v41ezlC)</v>
      </c>
      <c r="AF541">
        <v>2.5870000000000001E-2</v>
      </c>
      <c r="AG541" t="s">
        <v>29</v>
      </c>
    </row>
    <row r="543" spans="1:33" x14ac:dyDescent="0.2">
      <c r="A543" t="str">
        <f>HYPERLINK("https://lindat.mff.cuni.cz/services/PDT-Vallex4.5/PDT-Vallex4.5.html?verb=vřeštět", "vřeštět")</f>
        <v>vřeštět</v>
      </c>
      <c r="B543" t="str">
        <f>HYPERLINK("https://lindat.mff.cuni.cz/services/PDT-Vallex4.5/PDT-Vallex4.5.html?verb=vřeštět#v41nrdA", "v41nrdA")</f>
        <v>v41nrdA</v>
      </c>
      <c r="E543">
        <v>185</v>
      </c>
      <c r="F543">
        <v>0.10266</v>
      </c>
      <c r="G543" s="1" t="s">
        <v>32</v>
      </c>
      <c r="K543" t="str">
        <f>HYPERLINK("https://lindat.mff.cuni.cz/services/SynSemClass55/SynSemClass55.html?veclass=vec00426", "vec00426 / křičet (v41bwcA)")</f>
        <v>vec00426 / křičet (v41bwcA)</v>
      </c>
      <c r="L543">
        <v>0.10266</v>
      </c>
      <c r="M543" t="s">
        <v>31</v>
      </c>
      <c r="P543" t="str">
        <f>HYPERLINK("https://lindat.mff.cuni.cz/services/SynSemClass55/SynSemClass55.html?veclass=vec01489", "vec01489 / bručet (v41inA)")</f>
        <v>vec01489 / bručet (v41inA)</v>
      </c>
      <c r="Q543">
        <v>0.10116</v>
      </c>
      <c r="R543" t="s">
        <v>29</v>
      </c>
      <c r="U543" t="str">
        <f>HYPERLINK("https://lindat.mff.cuni.cz/services/SynSemClass55/SynSemClass55.html?veclass=vec01348", "vec01348 / vrčet (v41nqjC)")</f>
        <v>vec01348 / vrčet (v41nqjC)</v>
      </c>
      <c r="V543">
        <v>7.1730000000000002E-2</v>
      </c>
      <c r="W543" t="s">
        <v>29</v>
      </c>
      <c r="Z543" t="str">
        <f>HYPERLINK("https://lindat.mff.cuni.cz/services/SynSemClass55/SynSemClass55.html?veclass=vec01196", "vec01196 / zvonit (v41sclA)")</f>
        <v>vec01196 / zvonit (v41sclA)</v>
      </c>
      <c r="AA543">
        <v>4.4909999999999999E-2</v>
      </c>
      <c r="AB543" t="s">
        <v>29</v>
      </c>
      <c r="AE543" t="str">
        <f>HYPERLINK("https://lindat.mff.cuni.cz/services/SynSemClass55/SynSemClass55.html?veclass=vec01110", "vec01110 / sípat (v41koqA)")</f>
        <v>vec01110 / sípat (v41koqA)</v>
      </c>
      <c r="AF543">
        <v>4.3290000000000002E-2</v>
      </c>
      <c r="AG543" t="s">
        <v>29</v>
      </c>
    </row>
    <row r="545" spans="1:33" x14ac:dyDescent="0.2">
      <c r="A545" t="str">
        <f>HYPERLINK("https://lindat.mff.cuni.cz/services/PDT-Vallex4.5/PDT-Vallex4.5.html?verb=vsázet se", "vsázet se")</f>
        <v>vsázet se</v>
      </c>
      <c r="B545" t="str">
        <f>HYPERLINK("https://lindat.mff.cuni.cz/services/PDT-Vallex4.5/PDT-Vallex4.5.html?verb=vsázet se#v41nrjA", "v41nrjA")</f>
        <v>v41nrjA</v>
      </c>
      <c r="E545">
        <v>22</v>
      </c>
      <c r="F545">
        <v>0.12715000000000001</v>
      </c>
      <c r="G545" s="1" t="s">
        <v>206</v>
      </c>
      <c r="K545" t="str">
        <f>HYPERLINK("https://lindat.mff.cuni.cz/services/SynSemClass55/SynSemClass55.html?veclass=vec00112", "vec00112 / sázet (v41kfhE)")</f>
        <v>vec00112 / sázet (v41kfhE)</v>
      </c>
      <c r="L545">
        <v>0.12715000000000001</v>
      </c>
      <c r="M545" t="s">
        <v>29</v>
      </c>
      <c r="P545" t="str">
        <f>HYPERLINK("https://lindat.mff.cuni.cz/services/SynSemClass55/SynSemClass55.html?veclass=vec00345", "vec00345 / věřit (v41njsD)")</f>
        <v>vec00345 / věřit (v41njsD)</v>
      </c>
      <c r="Q545">
        <v>0.11352</v>
      </c>
      <c r="R545" t="s">
        <v>29</v>
      </c>
      <c r="U545" t="str">
        <f>HYPERLINK("https://lindat.mff.cuni.cz/services/SynSemClass55/SynSemClass55.html?veclass=vec00121", "vec00121 / soupeřit (v41kyvA)")</f>
        <v>vec00121 / soupeřit (v41kyvA)</v>
      </c>
      <c r="V545">
        <v>6.9980000000000001E-2</v>
      </c>
      <c r="W545" t="s">
        <v>29</v>
      </c>
      <c r="Z545" t="str">
        <f>HYPERLINK("https://lindat.mff.cuni.cz/services/SynSemClass55/SynSemClass55.html?veclass=vec00520", "vec00520 / spoléhat (v41ldnA)")</f>
        <v>vec00520 / spoléhat (v41ldnA)</v>
      </c>
      <c r="AA545">
        <v>6.83E-2</v>
      </c>
      <c r="AB545" t="s">
        <v>29</v>
      </c>
      <c r="AE545" t="str">
        <f>HYPERLINK("https://lindat.mff.cuni.cz/services/SynSemClass55/SynSemClass55.html?veclass=vec01500", "vec01500 / obouvat (v41drsA)")</f>
        <v>vec01500 / obouvat (v41drsA)</v>
      </c>
      <c r="AF545">
        <v>3.7810000000000003E-2</v>
      </c>
      <c r="AG545" t="s">
        <v>29</v>
      </c>
    </row>
    <row r="547" spans="1:33" x14ac:dyDescent="0.2">
      <c r="A547" t="str">
        <f>HYPERLINK("https://lindat.mff.cuni.cz/services/PDT-Vallex4.5/PDT-Vallex4.5.html?verb=vtlačovat", "vtlačovat")</f>
        <v>vtlačovat</v>
      </c>
      <c r="B547" t="str">
        <f>HYPERLINK("https://lindat.mff.cuni.cz/services/PDT-Vallex4.5/PDT-Vallex4.5.html?verb=vtlačovat#v41nstA", "v41nstA")</f>
        <v>v41nstA</v>
      </c>
      <c r="E547">
        <v>11</v>
      </c>
      <c r="F547">
        <v>0.45788000000000001</v>
      </c>
      <c r="G547" s="1" t="s">
        <v>207</v>
      </c>
      <c r="K547" t="str">
        <f>HYPERLINK("https://lindat.mff.cuni.cz/services/SynSemClass55/SynSemClass55.html?veclass=vec00932", "vec00932 / strčit (v41lmaE)")</f>
        <v>vec00932 / strčit (v41lmaE)</v>
      </c>
      <c r="L547">
        <v>0.45788000000000001</v>
      </c>
      <c r="M547" t="s">
        <v>29</v>
      </c>
      <c r="P547" t="str">
        <f>HYPERLINK("https://lindat.mff.cuni.cz/services/SynSemClass55/SynSemClass55.html?veclass=vec01971", "vec01971 / zatlačovat (v41qpwA)")</f>
        <v>vec01971 / zatlačovat (v41qpwA)</v>
      </c>
      <c r="Q547">
        <v>4.5909999999999999E-2</v>
      </c>
      <c r="R547" t="s">
        <v>29</v>
      </c>
      <c r="U547" t="str">
        <f>HYPERLINK("https://lindat.mff.cuni.cz/services/SynSemClass55/SynSemClass55.html?veclass=vec00735", "vec00735 / umístit (v41motA)")</f>
        <v>vec00735 / umístit (v41motA)</v>
      </c>
      <c r="V547">
        <v>3.4229999999999997E-2</v>
      </c>
      <c r="W547" t="s">
        <v>29</v>
      </c>
      <c r="Z547" t="str">
        <f>HYPERLINK("https://lindat.mff.cuni.cz/services/SynSemClass55/SynSemClass55.html?veclass=vec01403", "vec01403 / kopat (v41bsgD)")</f>
        <v>vec01403 / kopat (v41bsgD)</v>
      </c>
      <c r="AA547">
        <v>2.9770000000000001E-2</v>
      </c>
      <c r="AB547" t="s">
        <v>29</v>
      </c>
      <c r="AE547" t="str">
        <f>HYPERLINK("https://lindat.mff.cuni.cz/services/SynSemClass55/SynSemClass55.html?veclass=vec01966", "vec01966 / zapustit (v41qiaB)")</f>
        <v>vec01966 / zapustit (v41qiaB)</v>
      </c>
      <c r="AF547">
        <v>2.879E-2</v>
      </c>
      <c r="AG547" t="s">
        <v>29</v>
      </c>
    </row>
    <row r="549" spans="1:33" x14ac:dyDescent="0.2">
      <c r="A549" t="str">
        <f>HYPERLINK("https://lindat.mff.cuni.cz/services/PDT-Vallex4.5/PDT-Vallex4.5.html?verb=vybouchnout", "vybouchnout")</f>
        <v>vybouchnout</v>
      </c>
      <c r="B549" t="str">
        <f>HYPERLINK("https://lindat.mff.cuni.cz/services/PDT-Vallex4.5/PDT-Vallex4.5.html?verb=vybouchnout#v41nuiB", "v41nuiB")</f>
        <v>v41nuiB</v>
      </c>
      <c r="E549">
        <v>164</v>
      </c>
      <c r="F549">
        <v>0.15995000000000001</v>
      </c>
      <c r="G549" s="1" t="s">
        <v>32</v>
      </c>
      <c r="K549" t="str">
        <f>HYPERLINK("https://lindat.mff.cuni.cz/services/SynSemClass55/SynSemClass55.html?veclass=vec00681", "vec00681 / prasknout (v41gykA)")</f>
        <v>vec00681 / prasknout (v41gykA)</v>
      </c>
      <c r="L549">
        <v>0.15995000000000001</v>
      </c>
      <c r="M549" t="s">
        <v>29</v>
      </c>
      <c r="P549" t="str">
        <f>HYPERLINK("https://lindat.mff.cuni.cz/services/SynSemClass55/SynSemClass55.html?veclass=vec01587", "vec01587 / omdlít (v41etaA)")</f>
        <v>vec01587 / omdlít (v41etaA)</v>
      </c>
      <c r="Q549">
        <v>8.2540000000000002E-2</v>
      </c>
      <c r="R549" t="s">
        <v>29</v>
      </c>
      <c r="U549" t="str">
        <f>HYPERLINK("https://lindat.mff.cuni.cz/services/SynSemClass55/SynSemClass55.html?veclass=vec00113", "vec00113 / skončit (v41krfH)")</f>
        <v>vec00113 / skončit (v41krfH)</v>
      </c>
      <c r="V549">
        <v>5.9520000000000003E-2</v>
      </c>
      <c r="W549" t="s">
        <v>29</v>
      </c>
      <c r="Z549" t="str">
        <f>HYPERLINK("https://lindat.mff.cuni.cz/services/SynSemClass55/SynSemClass55.html?veclass=vec01348", "vec01348 / vrčet (v41nqjC)")</f>
        <v>vec01348 / vrčet (v41nqjC)</v>
      </c>
      <c r="AA549">
        <v>5.074E-2</v>
      </c>
      <c r="AB549" t="s">
        <v>29</v>
      </c>
      <c r="AE549" t="str">
        <f>HYPERLINK("https://lindat.mff.cuni.cz/services/SynSemClass55/SynSemClass55.html?veclass=vec00018", "vec00018 / explodovat (v41aonA)")</f>
        <v>vec00018 / explodovat (v41aonA)</v>
      </c>
      <c r="AF549">
        <v>5.0029999999999998E-2</v>
      </c>
      <c r="AG549" t="s">
        <v>31</v>
      </c>
    </row>
    <row r="551" spans="1:33" x14ac:dyDescent="0.2">
      <c r="A551" t="str">
        <f>HYPERLINK("https://lindat.mff.cuni.cz/services/PDT-Vallex4.5/PDT-Vallex4.5.html?verb=vyboulit se", "vyboulit se")</f>
        <v>vyboulit se</v>
      </c>
      <c r="B551" t="str">
        <f>HYPERLINK("https://lindat.mff.cuni.cz/services/PDT-Vallex4.5/PDT-Vallex4.5.html?verb=vyboulit se#v41nujA", "v41nujA")</f>
        <v>v41nujA</v>
      </c>
      <c r="E551">
        <v>35</v>
      </c>
      <c r="F551">
        <v>0.11332</v>
      </c>
      <c r="G551" s="1" t="s">
        <v>32</v>
      </c>
      <c r="K551" t="str">
        <f>HYPERLINK("https://lindat.mff.cuni.cz/services/SynSemClass55/SynSemClass55.html?veclass=vec00681", "vec00681 / prasknout (v41gykA)")</f>
        <v>vec00681 / prasknout (v41gykA)</v>
      </c>
      <c r="L551">
        <v>0.11332</v>
      </c>
      <c r="M551" t="s">
        <v>29</v>
      </c>
      <c r="P551" t="str">
        <f>HYPERLINK("https://lindat.mff.cuni.cz/services/SynSemClass55/SynSemClass55.html?veclass=vec00993", "vec00993 / zkroutit se (v41rhjA)")</f>
        <v>vec00993 / zkroutit se (v41rhjA)</v>
      </c>
      <c r="Q551">
        <v>0.10057000000000001</v>
      </c>
      <c r="R551" t="s">
        <v>31</v>
      </c>
      <c r="U551" t="str">
        <f>HYPERLINK("https://lindat.mff.cuni.cz/services/SynSemClass55/SynSemClass55.html?veclass=vec01517", "vec01517 / rozhořet se (v41jquA)")</f>
        <v>vec01517 / rozhořet se (v41jquA)</v>
      </c>
      <c r="V551">
        <v>5.3190000000000001E-2</v>
      </c>
      <c r="W551" t="s">
        <v>29</v>
      </c>
      <c r="Z551" t="str">
        <f>HYPERLINK("https://lindat.mff.cuni.cz/services/SynSemClass55/SynSemClass55.html?veclass=vec00949", "vec00949 / valit se (v41nghA)")</f>
        <v>vec00949 / valit se (v41nghA)</v>
      </c>
      <c r="AA551">
        <v>4.2299999999999997E-2</v>
      </c>
      <c r="AB551" t="s">
        <v>29</v>
      </c>
      <c r="AE551" t="str">
        <f>HYPERLINK("https://lindat.mff.cuni.cz/services/SynSemClass55/SynSemClass55.html?veclass=vec01219", "vec01219 / klouzat (v41bmaA)")</f>
        <v>vec01219 / klouzat (v41bmaA)</v>
      </c>
      <c r="AF551">
        <v>4.1770000000000002E-2</v>
      </c>
      <c r="AG551" t="s">
        <v>29</v>
      </c>
    </row>
    <row r="553" spans="1:33" x14ac:dyDescent="0.2">
      <c r="A553" t="str">
        <f>HYPERLINK("https://lindat.mff.cuni.cz/services/PDT-Vallex4.5/PDT-Vallex4.5.html?verb=vycouvat", "vycouvat")</f>
        <v>vycouvat</v>
      </c>
      <c r="B553" t="str">
        <f>HYPERLINK("https://lindat.mff.cuni.cz/services/PDT-Vallex4.5/PDT-Vallex4.5.html?verb=vycouvat#v41nvkB", "v41nvkB")</f>
        <v>v41nvkB</v>
      </c>
      <c r="E553">
        <v>339</v>
      </c>
      <c r="F553">
        <v>0.16835</v>
      </c>
      <c r="G553" s="1" t="s">
        <v>32</v>
      </c>
      <c r="K553" t="str">
        <f>HYPERLINK("https://lindat.mff.cuni.cz/services/SynSemClass55/SynSemClass55.html?veclass=vec00048", "vec00048 / odejít (v41dyrA)")</f>
        <v>vec00048 / odejít (v41dyrA)</v>
      </c>
      <c r="L553">
        <v>0.16835</v>
      </c>
      <c r="M553" t="s">
        <v>31</v>
      </c>
      <c r="P553" t="str">
        <f>HYPERLINK("https://lindat.mff.cuni.cz/services/SynSemClass55/SynSemClass55.html?veclass=vec00665", "vec00665 / plazit se (v41fnbA)")</f>
        <v>vec00665 / plazit se (v41fnbA)</v>
      </c>
      <c r="Q553">
        <v>8.6819999999999994E-2</v>
      </c>
      <c r="R553" t="s">
        <v>29</v>
      </c>
      <c r="U553" t="str">
        <f>HYPERLINK("https://lindat.mff.cuni.cz/services/SynSemClass55/SynSemClass55.html?veclass=vec00811", "vec00811 / dostat se (v41afyG)")</f>
        <v>vec00811 / dostat se (v41afyG)</v>
      </c>
      <c r="V553">
        <v>7.8479999999999994E-2</v>
      </c>
      <c r="W553" t="s">
        <v>29</v>
      </c>
      <c r="Z553" t="str">
        <f>HYPERLINK("https://lindat.mff.cuni.cz/services/SynSemClass55/SynSemClass55.html?veclass=vec01465", "vec01465 / vykroutit se (v41oguA)")</f>
        <v>vec01465 / vykroutit se (v41oguA)</v>
      </c>
      <c r="AA553">
        <v>7.6539999999999997E-2</v>
      </c>
      <c r="AB553" t="s">
        <v>29</v>
      </c>
      <c r="AE553" t="str">
        <f>HYPERLINK("https://lindat.mff.cuni.cz/services/SynSemClass55/SynSemClass55.html?veclass=vec01938", "vec01938 / vyhřeznout (v41obsA)")</f>
        <v>vec01938 / vyhřeznout (v41obsA)</v>
      </c>
      <c r="AF553">
        <v>5.8909999999999997E-2</v>
      </c>
      <c r="AG553" t="s">
        <v>29</v>
      </c>
    </row>
    <row r="555" spans="1:33" x14ac:dyDescent="0.2">
      <c r="A555" t="str">
        <f>HYPERLINK("https://lindat.mff.cuni.cz/services/PDT-Vallex4.5/PDT-Vallex4.5.html?verb=vycucat si", "vycucat si")</f>
        <v>vycucat si</v>
      </c>
      <c r="B555" t="str">
        <f>HYPERLINK("https://lindat.mff.cuni.cz/services/PDT-Vallex4.5/PDT-Vallex4.5.html?verb=vycucat si#v41nvmA", "v41nvmA")</f>
        <v>v41nvmA</v>
      </c>
      <c r="E555">
        <v>43</v>
      </c>
      <c r="F555">
        <v>0.46277000000000001</v>
      </c>
      <c r="G555" s="1" t="s">
        <v>208</v>
      </c>
      <c r="K555" t="str">
        <f>HYPERLINK("https://lindat.mff.cuni.cz/services/SynSemClass55/SynSemClass55.html?veclass=vec00648", "vec00648 / odebrat (v41dygC)")</f>
        <v>vec00648 / odebrat (v41dygC)</v>
      </c>
      <c r="L555">
        <v>0.46277000000000001</v>
      </c>
      <c r="M555" t="s">
        <v>29</v>
      </c>
      <c r="P555" t="str">
        <f>HYPERLINK("https://lindat.mff.cuni.cz/services/SynSemClass55/SynSemClass55.html?veclass=vec01538", "vec01538 / vyloupnout (v41ojcA)")</f>
        <v>vec01538 / vyloupnout (v41ojcA)</v>
      </c>
      <c r="Q555">
        <v>8.3119999999999999E-2</v>
      </c>
      <c r="R555" t="s">
        <v>29</v>
      </c>
      <c r="U555" t="str">
        <f>HYPERLINK("https://lindat.mff.cuni.cz/services/SynSemClass55/SynSemClass55.html?veclass=vec00816", "vec00816 / extrahovat (v41aowA)")</f>
        <v>vec00816 / extrahovat (v41aowA)</v>
      </c>
      <c r="V555">
        <v>6.9080000000000003E-2</v>
      </c>
      <c r="W555" t="s">
        <v>29</v>
      </c>
      <c r="Z555" t="str">
        <f>HYPERLINK("https://lindat.mff.cuni.cz/services/SynSemClass55/SynSemClass55.html?veclass=vec00764", "vec00764 / vytrhnout (v41pdrB)")</f>
        <v>vec00764 / vytrhnout (v41pdrB)</v>
      </c>
      <c r="AA555">
        <v>4.9399999999999999E-2</v>
      </c>
      <c r="AB555" t="s">
        <v>29</v>
      </c>
      <c r="AE555" t="str">
        <f>HYPERLINK("https://lindat.mff.cuni.cz/services/SynSemClass55/SynSemClass55.html?veclass=vec00196", "vec00196 / způsobit (v41rvuB)")</f>
        <v>vec00196 / způsobit (v41rvuB)</v>
      </c>
      <c r="AF555">
        <v>3.3930000000000002E-2</v>
      </c>
      <c r="AG555" t="s">
        <v>29</v>
      </c>
    </row>
    <row r="557" spans="1:33" x14ac:dyDescent="0.2">
      <c r="A557" t="str">
        <f>HYPERLINK("https://lindat.mff.cuni.cz/services/PDT-Vallex4.5/PDT-Vallex4.5.html?verb=vyčkávat", "vyčkávat")</f>
        <v>vyčkávat</v>
      </c>
      <c r="B557" t="str">
        <f>HYPERLINK("https://lindat.mff.cuni.cz/services/PDT-Vallex4.5/PDT-Vallex4.5.html?verb=vyčkávat#v41nwiA", "v41nwiA")</f>
        <v>v41nwiA</v>
      </c>
      <c r="E557">
        <v>644</v>
      </c>
      <c r="F557">
        <v>0.97702999999999995</v>
      </c>
      <c r="G557" s="1">
        <v>0</v>
      </c>
      <c r="I557" s="1" t="s">
        <v>209</v>
      </c>
      <c r="K557" t="str">
        <f>HYPERLINK("https://lindat.mff.cuni.cz/services/SynSemClass55/SynSemClass55.html?veclass=vec00003", "vec00003 / čekat (v41mtF)")</f>
        <v>vec00003 / čekat (v41mtF)</v>
      </c>
      <c r="L557">
        <v>0.97702999999999995</v>
      </c>
      <c r="M557" t="s">
        <v>29</v>
      </c>
      <c r="P557" t="str">
        <f>HYPERLINK("https://lindat.mff.cuni.cz/services/SynSemClass55/SynSemClass55.html?veclass=vec01490", "vec01490 / dotvořit (v41ahrA)")</f>
        <v>vec01490 / dotvořit (v41ahrA)</v>
      </c>
      <c r="Q557">
        <v>1.9699999999999999E-2</v>
      </c>
      <c r="R557" t="s">
        <v>29</v>
      </c>
      <c r="U557" t="str">
        <f>HYPERLINK("https://lindat.mff.cuni.cz/services/SynSemClass55/SynSemClass55.html?veclass=vec00199", "vec00199 / zůstat (v41sadA)")</f>
        <v>vec00199 / zůstat (v41sadA)</v>
      </c>
      <c r="V557">
        <v>1.478E-2</v>
      </c>
      <c r="W557" t="s">
        <v>29</v>
      </c>
      <c r="Z557" t="str">
        <f>HYPERLINK("https://lindat.mff.cuni.cz/services/SynSemClass55/SynSemClass55.html?veclass=vec00014", "vec00014 / držet (v41alcD)")</f>
        <v>vec00014 / držet (v41alcD)</v>
      </c>
      <c r="AA557">
        <v>1.123E-2</v>
      </c>
      <c r="AB557" t="s">
        <v>29</v>
      </c>
      <c r="AE557" t="str">
        <f>HYPERLINK("https://lindat.mff.cuni.cz/services/SynSemClass55/SynSemClass55.html?veclass=vec00499", "vec00499 / přidat (v41ipvA)")</f>
        <v>vec00499 / přidat (v41ipvA)</v>
      </c>
      <c r="AF557">
        <v>1.0070000000000001E-2</v>
      </c>
      <c r="AG557" t="s">
        <v>29</v>
      </c>
    </row>
    <row r="559" spans="1:33" x14ac:dyDescent="0.2">
      <c r="A559" t="str">
        <f>HYPERLINK("https://lindat.mff.cuni.cz/services/PDT-Vallex4.5/PDT-Vallex4.5.html?verb=vyfasovat", "vyfasovat")</f>
        <v>vyfasovat</v>
      </c>
      <c r="B559" t="str">
        <f>HYPERLINK("https://lindat.mff.cuni.cz/services/PDT-Vallex4.5/PDT-Vallex4.5.html?verb=vyfasovat#v41nyhA", "v41nyhA")</f>
        <v>v41nyhA</v>
      </c>
      <c r="E559">
        <v>116</v>
      </c>
      <c r="F559">
        <v>0.55364999999999998</v>
      </c>
      <c r="G559" s="1">
        <v>0</v>
      </c>
      <c r="I559" s="1" t="s">
        <v>210</v>
      </c>
      <c r="K559" t="str">
        <f>HYPERLINK("https://lindat.mff.cuni.cz/services/SynSemClass55/SynSemClass55.html?veclass=vec01491", "vec01491 / fasovat (v41appA)")</f>
        <v>vec01491 / fasovat (v41appA)</v>
      </c>
      <c r="L559">
        <v>0.55364999999999998</v>
      </c>
      <c r="M559" t="s">
        <v>29</v>
      </c>
      <c r="P559" t="str">
        <f>HYPERLINK("https://lindat.mff.cuni.cz/services/SynSemClass55/SynSemClass55.html?veclass=vec00189", "vec00189 / získat (v41reiA)")</f>
        <v>vec00189 / získat (v41reiA)</v>
      </c>
      <c r="Q559">
        <v>0.34138000000000002</v>
      </c>
      <c r="R559" t="s">
        <v>29</v>
      </c>
      <c r="U559" t="str">
        <f>HYPERLINK("https://lindat.mff.cuni.cz/services/SynSemClass55/SynSemClass55.html?veclass=vec00708", "vec00708 / shrábnout (v41kmvA)")</f>
        <v>vec00708 / shrábnout (v41kmvA)</v>
      </c>
      <c r="V559">
        <v>5.4359999999999999E-2</v>
      </c>
      <c r="W559" t="s">
        <v>29</v>
      </c>
      <c r="Z559" t="str">
        <f>HYPERLINK("https://lindat.mff.cuni.cz/services/SynSemClass55/SynSemClass55.html?veclass=vec00586", "vec00586 / získat (v41reiE)")</f>
        <v>vec00586 / získat (v41reiE)</v>
      </c>
      <c r="AA559">
        <v>3.474E-2</v>
      </c>
      <c r="AB559" t="s">
        <v>29</v>
      </c>
      <c r="AE559" t="str">
        <f>HYPERLINK("https://lindat.mff.cuni.cz/services/SynSemClass55/SynSemClass55.html?veclass=vec00648", "vec00648 / odebrat (v41dygC)")</f>
        <v>vec00648 / odebrat (v41dygC)</v>
      </c>
      <c r="AF559">
        <v>2.4840000000000001E-2</v>
      </c>
      <c r="AG559" t="s">
        <v>29</v>
      </c>
    </row>
    <row r="561" spans="1:33" x14ac:dyDescent="0.2">
      <c r="A561" t="str">
        <f>HYPERLINK("https://lindat.mff.cuni.cz/services/PDT-Vallex4.5/PDT-Vallex4.5.html?verb=vyhladovět", "vyhladovět")</f>
        <v>vyhladovět</v>
      </c>
      <c r="B561" t="str">
        <f>HYPERLINK("https://lindat.mff.cuni.cz/services/PDT-Vallex4.5/PDT-Vallex4.5.html?verb=vyhladovět#v41nzaB", "v41nzaB")</f>
        <v>v41nzaB</v>
      </c>
      <c r="E561">
        <v>46</v>
      </c>
      <c r="F561">
        <v>5.3069999999999999E-2</v>
      </c>
      <c r="G561" s="1" t="s">
        <v>211</v>
      </c>
      <c r="I561" s="1" t="s">
        <v>212</v>
      </c>
      <c r="K561" t="str">
        <f>HYPERLINK("https://lindat.mff.cuni.cz/services/SynSemClass55/SynSemClass55.html?veclass=vec00233", "vec00233 / najít (v41croB)")</f>
        <v>vec00233 / najít (v41croB)</v>
      </c>
      <c r="L561">
        <v>5.3069999999999999E-2</v>
      </c>
      <c r="M561" t="s">
        <v>29</v>
      </c>
      <c r="P561" t="str">
        <f>HYPERLINK("https://lindat.mff.cuni.cz/services/SynSemClass55/SynSemClass55.html?veclass=vec00185", "vec00185 / zatknout (v41qpuA)")</f>
        <v>vec00185 / zatknout (v41qpuA)</v>
      </c>
      <c r="Q561">
        <v>5.2780000000000001E-2</v>
      </c>
      <c r="R561" t="s">
        <v>29</v>
      </c>
      <c r="U561" t="str">
        <f>HYPERLINK("https://lindat.mff.cuni.cz/services/SynSemClass55/SynSemClass55.html?veclass=vec01105", "vec01105 / rýžovat (v41kdgB)")</f>
        <v>vec01105 / rýžovat (v41kdgB)</v>
      </c>
      <c r="V561">
        <v>5.033E-2</v>
      </c>
      <c r="W561" t="s">
        <v>29</v>
      </c>
      <c r="Z561" t="str">
        <f>HYPERLINK("https://lindat.mff.cuni.cz/services/SynSemClass55/SynSemClass55.html?veclass=vec00657", "vec00657 / okrást (v41eskA)")</f>
        <v>vec00657 / okrást (v41eskA)</v>
      </c>
      <c r="AA561">
        <v>4.759E-2</v>
      </c>
      <c r="AB561" t="s">
        <v>29</v>
      </c>
      <c r="AE561" t="str">
        <f>HYPERLINK("https://lindat.mff.cuni.cz/services/SynSemClass55/SynSemClass55.html?veclass=vec01727", "vec01727 / clít (v41lnA)")</f>
        <v>vec01727 / clít (v41lnA)</v>
      </c>
      <c r="AF561">
        <v>3.2480000000000002E-2</v>
      </c>
      <c r="AG561" t="s">
        <v>29</v>
      </c>
    </row>
    <row r="563" spans="1:33" x14ac:dyDescent="0.2">
      <c r="A563" t="str">
        <f>HYPERLINK("https://lindat.mff.cuni.cz/services/PDT-Vallex4.5/PDT-Vallex4.5.html?verb=vyhrknout", "vyhrknout")</f>
        <v>vyhrknout</v>
      </c>
      <c r="B563" t="str">
        <f>HYPERLINK("https://lindat.mff.cuni.cz/services/PDT-Vallex4.5/PDT-Vallex4.5.html?verb=vyhrknout#v41obgB", "v41obgB")</f>
        <v>v41obgB</v>
      </c>
      <c r="E563">
        <v>1714</v>
      </c>
      <c r="F563">
        <v>0.26040999999999997</v>
      </c>
      <c r="G563" s="1">
        <v>0</v>
      </c>
      <c r="I563" s="1" t="s">
        <v>213</v>
      </c>
      <c r="K563" t="str">
        <f>HYPERLINK("https://lindat.mff.cuni.cz/services/SynSemClass55/SynSemClass55.html?veclass=vec01060", "vec01060 / odseknout (v41eizA)")</f>
        <v>vec01060 / odseknout (v41eizA)</v>
      </c>
      <c r="L563">
        <v>0.26040999999999997</v>
      </c>
      <c r="M563" t="s">
        <v>29</v>
      </c>
      <c r="P563" t="str">
        <f>HYPERLINK("https://lindat.mff.cuni.cz/services/SynSemClass55/SynSemClass55.html?veclass=vec01945", "vec01945 / vyrukovat (v41ouhA)")</f>
        <v>vec01945 / vyrukovat (v41ouhA)</v>
      </c>
      <c r="Q563">
        <v>0.20946999999999999</v>
      </c>
      <c r="R563" t="s">
        <v>29</v>
      </c>
      <c r="U563" t="str">
        <f>HYPERLINK("https://lindat.mff.cuni.cz/services/SynSemClass55/SynSemClass55.html?veclass=vec01056", "vec01056 / odfrknout si (v41dznA)")</f>
        <v>vec01056 / odfrknout si (v41dznA)</v>
      </c>
      <c r="V563">
        <v>0.14877000000000001</v>
      </c>
      <c r="W563" t="s">
        <v>29</v>
      </c>
      <c r="Z563" t="str">
        <f>HYPERLINK("https://lindat.mff.cuni.cz/services/SynSemClass55/SynSemClass55.html?veclass=vec01009", "vec01009 / citovat (v41lgA)")</f>
        <v>vec01009 / citovat (v41lgA)</v>
      </c>
      <c r="AA563">
        <v>7.9509999999999997E-2</v>
      </c>
      <c r="AB563" t="s">
        <v>29</v>
      </c>
      <c r="AE563" t="str">
        <f>HYPERLINK("https://lindat.mff.cuni.cz/services/SynSemClass55/SynSemClass55.html?veclass=vec00426", "vec00426 / křičet (v41bwcA)")</f>
        <v>vec00426 / křičet (v41bwcA)</v>
      </c>
      <c r="AF563">
        <v>6.6409999999999997E-2</v>
      </c>
      <c r="AG563" t="s">
        <v>29</v>
      </c>
    </row>
    <row r="565" spans="1:33" x14ac:dyDescent="0.2">
      <c r="A565" t="str">
        <f>HYPERLINK("https://lindat.mff.cuni.cz/services/PDT-Vallex4.5/PDT-Vallex4.5.html?verb=vyjevit se", "vyjevit se")</f>
        <v>vyjevit se</v>
      </c>
      <c r="B565" t="str">
        <f>HYPERLINK("https://lindat.mff.cuni.cz/services/PDT-Vallex4.5/PDT-Vallex4.5.html?verb=vyjevit se#v41odrA", "v41odrA")</f>
        <v>v41odrA</v>
      </c>
      <c r="E565">
        <v>137</v>
      </c>
      <c r="F565">
        <v>0.23380000000000001</v>
      </c>
      <c r="G565" s="1" t="s">
        <v>214</v>
      </c>
      <c r="K565" t="str">
        <f>HYPERLINK("https://lindat.mff.cuni.cz/services/SynSemClass55/SynSemClass55.html?veclass=vec00086", "vec00086 / projevit se (v41hfeC)")</f>
        <v>vec00086 / projevit se (v41hfeC)</v>
      </c>
      <c r="L565">
        <v>0.23380000000000001</v>
      </c>
      <c r="M565" t="s">
        <v>29</v>
      </c>
      <c r="P565" t="str">
        <f>HYPERLINK("https://lindat.mff.cuni.cz/services/SynSemClass55/SynSemClass55.html?veclass=vec00060", "vec00060 / oznámit (v41fgeD)")</f>
        <v>vec00060 / oznámit (v41fgeD)</v>
      </c>
      <c r="Q565">
        <v>9.0990000000000001E-2</v>
      </c>
      <c r="R565" t="s">
        <v>29</v>
      </c>
      <c r="U565" t="str">
        <f>HYPERLINK("https://lindat.mff.cuni.cz/services/SynSemClass55/SynSemClass55.html?veclass=vec00330", "vec00330 / ukázat (v41mlkB)")</f>
        <v>vec00330 / ukázat (v41mlkB)</v>
      </c>
      <c r="V565">
        <v>5.246E-2</v>
      </c>
      <c r="W565" t="s">
        <v>29</v>
      </c>
      <c r="Z565" t="str">
        <f>HYPERLINK("https://lindat.mff.cuni.cz/services/SynSemClass55/SynSemClass55.html?veclass=vec00245", "vec00245 / objevit se (v41dpuA)")</f>
        <v>vec00245 / objevit se (v41dpuA)</v>
      </c>
      <c r="AA565">
        <v>5.142E-2</v>
      </c>
      <c r="AB565" t="s">
        <v>29</v>
      </c>
      <c r="AE565" t="str">
        <f>HYPERLINK("https://lindat.mff.cuni.cz/services/SynSemClass55/SynSemClass55.html?veclass=vec01466", "vec01466 / vylévat si (v41oicA)")</f>
        <v>vec01466 / vylévat si (v41oicA)</v>
      </c>
      <c r="AF565">
        <v>4.5190000000000001E-2</v>
      </c>
      <c r="AG565" t="s">
        <v>29</v>
      </c>
    </row>
    <row r="567" spans="1:33" x14ac:dyDescent="0.2">
      <c r="A567" t="str">
        <f>HYPERLINK("https://lindat.mff.cuni.cz/services/PDT-Vallex4.5/PDT-Vallex4.5.html?verb=vykreslit", "vykreslit")</f>
        <v>vykreslit</v>
      </c>
      <c r="B567" t="str">
        <f>HYPERLINK("https://lindat.mff.cuni.cz/services/PDT-Vallex4.5/PDT-Vallex4.5.html?verb=vykreslit#v41ognB", "v41ognB")</f>
        <v>v41ognB</v>
      </c>
      <c r="E567">
        <v>116</v>
      </c>
      <c r="F567">
        <v>0.28791</v>
      </c>
      <c r="G567" s="1" t="s">
        <v>32</v>
      </c>
      <c r="K567" t="str">
        <f>HYPERLINK("https://lindat.mff.cuni.cz/services/SynSemClass55/SynSemClass55.html?veclass=vec00638", "vec00638 / namalovat (v41cutB)")</f>
        <v>vec00638 / namalovat (v41cutB)</v>
      </c>
      <c r="L567">
        <v>0.28791</v>
      </c>
      <c r="M567" t="s">
        <v>31</v>
      </c>
      <c r="P567" t="str">
        <f>HYPERLINK("https://lindat.mff.cuni.cz/services/SynSemClass55/SynSemClass55.html?veclass=vec00417", "vec00417 / charakterizovat (v41barA)")</f>
        <v>vec00417 / charakterizovat (v41barA)</v>
      </c>
      <c r="Q567">
        <v>0.18035999999999999</v>
      </c>
      <c r="R567" t="s">
        <v>29</v>
      </c>
      <c r="U567" t="str">
        <f>HYPERLINK("https://lindat.mff.cuni.cz/services/SynSemClass55/SynSemClass55.html?veclass=vec01496", "vec01496 / načrtávat (v41cneA)")</f>
        <v>vec01496 / načrtávat (v41cneA)</v>
      </c>
      <c r="V567">
        <v>7.9269999999999993E-2</v>
      </c>
      <c r="W567" t="s">
        <v>29</v>
      </c>
      <c r="Z567" t="str">
        <f>HYPERLINK("https://lindat.mff.cuni.cz/services/SynSemClass55/SynSemClass55.html?veclass=vec00141", "vec00141 / ukazovat (v41mlqF)")</f>
        <v>vec00141 / ukazovat (v41mlqF)</v>
      </c>
      <c r="AA567">
        <v>3.9640000000000002E-2</v>
      </c>
      <c r="AB567" t="s">
        <v>29</v>
      </c>
      <c r="AE567" t="str">
        <f>HYPERLINK("https://lindat.mff.cuni.cz/services/SynSemClass55/SynSemClass55.html?veclass=vec00402", "vec00402 / brát (v41hsE)")</f>
        <v>vec00402 / brát (v41hsE)</v>
      </c>
      <c r="AF567">
        <v>3.4610000000000002E-2</v>
      </c>
      <c r="AG567" t="s">
        <v>29</v>
      </c>
    </row>
    <row r="569" spans="1:33" x14ac:dyDescent="0.2">
      <c r="A569" t="str">
        <f>HYPERLINK("https://lindat.mff.cuni.cz/services/PDT-Vallex4.5/PDT-Vallex4.5.html?verb=vykulminovat", "vykulminovat")</f>
        <v>vykulminovat</v>
      </c>
      <c r="B569" t="str">
        <f>HYPERLINK("https://lindat.mff.cuni.cz/services/PDT-Vallex4.5/PDT-Vallex4.5.html?verb=vykulminovat#v41ohcA", "v41ohcA")</f>
        <v>v41ohcA</v>
      </c>
      <c r="E569">
        <v>1</v>
      </c>
      <c r="F569">
        <v>0.21271000000000001</v>
      </c>
      <c r="G569" s="1" t="s">
        <v>43</v>
      </c>
      <c r="K569" t="str">
        <f>HYPERLINK("https://lindat.mff.cuni.cz/services/SynSemClass55/SynSemClass55.html?veclass=vec01634", "vec01634 / zmítat se (v41rldA)")</f>
        <v>vec01634 / zmítat se (v41rldA)</v>
      </c>
      <c r="L569">
        <v>0.21271000000000001</v>
      </c>
      <c r="M569" t="s">
        <v>29</v>
      </c>
      <c r="P569" t="str">
        <f>HYPERLINK("https://lindat.mff.cuni.cz/services/SynSemClass55/SynSemClass55.html?veclass=vec01219", "vec01219 / klouzat (v41bmaA)")</f>
        <v>vec01219 / klouzat (v41bmaA)</v>
      </c>
      <c r="Q569">
        <v>9.1429999999999997E-2</v>
      </c>
      <c r="R569" t="s">
        <v>29</v>
      </c>
      <c r="U569" t="str">
        <f>HYPERLINK("https://lindat.mff.cuni.cz/services/SynSemClass55/SynSemClass55.html?veclass=vec01336", "vec01336 / tyčit se (v41meuA)")</f>
        <v>vec01336 / tyčit se (v41meuA)</v>
      </c>
      <c r="V569">
        <v>9.1410000000000005E-2</v>
      </c>
      <c r="W569" t="s">
        <v>29</v>
      </c>
      <c r="Z569" t="str">
        <f>HYPERLINK("https://lindat.mff.cuni.cz/services/SynSemClass55/SynSemClass55.html?veclass=vec01714", "vec01714 / zkřivit (v41rhlA)")</f>
        <v>vec01714 / zkřivit (v41rhlA)</v>
      </c>
      <c r="AA569">
        <v>7.4130000000000001E-2</v>
      </c>
      <c r="AB569" t="s">
        <v>29</v>
      </c>
      <c r="AE569" t="str">
        <f>HYPERLINK("https://lindat.mff.cuni.cz/services/SynSemClass55/SynSemClass55.html?veclass=vec01608", "vec01608 / sypat se (v41lsaA)")</f>
        <v>vec01608 / sypat se (v41lsaA)</v>
      </c>
      <c r="AF569">
        <v>5.8779999999999999E-2</v>
      </c>
      <c r="AG569" t="s">
        <v>29</v>
      </c>
    </row>
    <row r="571" spans="1:33" x14ac:dyDescent="0.2">
      <c r="A571" t="str">
        <f>HYPERLINK("https://lindat.mff.cuni.cz/services/PDT-Vallex4.5/PDT-Vallex4.5.html?verb=vykvasit", "vykvasit")</f>
        <v>vykvasit</v>
      </c>
      <c r="B571" t="str">
        <f>HYPERLINK("https://lindat.mff.cuni.cz/services/PDT-Vallex4.5/PDT-Vallex4.5.html?verb=vykvasit#v41ohgA", "v41ohgA")</f>
        <v>v41ohgA</v>
      </c>
      <c r="E571">
        <v>6</v>
      </c>
      <c r="F571">
        <v>0.20182</v>
      </c>
      <c r="G571" s="1" t="s">
        <v>215</v>
      </c>
      <c r="K571" t="str">
        <f>HYPERLINK("https://lindat.mff.cuni.cz/services/SynSemClass55/SynSemClass55.html?veclass=vec01018", "vec01018 / dozrávat (v41ajrA)")</f>
        <v>vec01018 / dozrávat (v41ajrA)</v>
      </c>
      <c r="L571">
        <v>0.20182</v>
      </c>
      <c r="M571" t="s">
        <v>29</v>
      </c>
      <c r="P571" t="str">
        <f>HYPERLINK("https://lindat.mff.cuni.cz/services/SynSemClass55/SynSemClass55.html?veclass=vec01103", "vec01103 / roztavit se (v41jztA)")</f>
        <v>vec01103 / roztavit se (v41jztA)</v>
      </c>
      <c r="Q571">
        <v>0.10750999999999999</v>
      </c>
      <c r="R571" t="s">
        <v>29</v>
      </c>
      <c r="U571" t="str">
        <f>HYPERLINK("https://lindat.mff.cuni.cz/services/SynSemClass55/SynSemClass55.html?veclass=vec01382", "vec01382 / zlidovět (v41risA)")</f>
        <v>vec01382 / zlidovět (v41risA)</v>
      </c>
      <c r="V571">
        <v>6.5439999999999998E-2</v>
      </c>
      <c r="W571" t="s">
        <v>29</v>
      </c>
      <c r="Z571" t="str">
        <f>HYPERLINK("https://lindat.mff.cuni.cz/services/SynSemClass55/SynSemClass55.html?veclass=vec00360", "vec00360 / vyvinout (v41pgrA)")</f>
        <v>vec00360 / vyvinout (v41pgrA)</v>
      </c>
      <c r="AA571">
        <v>5.8259999999999999E-2</v>
      </c>
      <c r="AB571" t="s">
        <v>29</v>
      </c>
      <c r="AE571" t="str">
        <f>HYPERLINK("https://lindat.mff.cuni.cz/services/SynSemClass55/SynSemClass55.html?veclass=vec00097", "vec00097 / přicházet (v41irqL)")</f>
        <v>vec00097 / přicházet (v41irqL)</v>
      </c>
      <c r="AF571">
        <v>5.3289999999999997E-2</v>
      </c>
      <c r="AG571" t="s">
        <v>29</v>
      </c>
    </row>
    <row r="573" spans="1:33" x14ac:dyDescent="0.2">
      <c r="A573" t="str">
        <f>HYPERLINK("https://lindat.mff.cuni.cz/services/PDT-Vallex4.5/PDT-Vallex4.5.html?verb=vyloučit se", "vyloučit se")</f>
        <v>vyloučit se</v>
      </c>
      <c r="B573" t="str">
        <f>HYPERLINK("https://lindat.mff.cuni.cz/services/PDT-Vallex4.5/PDT-Vallex4.5.html?verb=vyloučit se#v41ojaA", "v41ojaA")</f>
        <v>v41ojaA</v>
      </c>
      <c r="E573">
        <v>547</v>
      </c>
      <c r="F573">
        <v>0.58323999999999998</v>
      </c>
      <c r="G573" s="1">
        <v>0</v>
      </c>
      <c r="I573" s="1" t="s">
        <v>216</v>
      </c>
      <c r="K573" t="str">
        <f>HYPERLINK("https://lindat.mff.cuni.cz/services/SynSemClass55/SynSemClass55.html?veclass=vec00558", "vec00558 / vyloučit (v41oizC)")</f>
        <v>vec00558 / vyloučit (v41oizC)</v>
      </c>
      <c r="L573">
        <v>0.58323999999999998</v>
      </c>
      <c r="M573" t="s">
        <v>29</v>
      </c>
      <c r="P573" t="str">
        <f>HYPERLINK("https://lindat.mff.cuni.cz/services/SynSemClass55/SynSemClass55.html?veclass=vec00555", "vec00555 / vyhodit (v41oaaA)")</f>
        <v>vec00555 / vyhodit (v41oaaA)</v>
      </c>
      <c r="Q573">
        <v>0.22333</v>
      </c>
      <c r="R573" t="s">
        <v>29</v>
      </c>
      <c r="U573" t="str">
        <f>HYPERLINK("https://lindat.mff.cuni.cz/services/SynSemClass55/SynSemClass55.html?veclass=vec00367", "vec00367 / zakázat (v41pwlA)")</f>
        <v>vec00367 / zakázat (v41pwlA)</v>
      </c>
      <c r="V573">
        <v>8.9440000000000006E-2</v>
      </c>
      <c r="W573" t="s">
        <v>29</v>
      </c>
      <c r="Z573" t="str">
        <f>HYPERLINK("https://lindat.mff.cuni.cz/services/SynSemClass55/SynSemClass55.html?veclass=vec00560", "vec00560 / vynechat (v41ommB)")</f>
        <v>vec00560 / vynechat (v41ommB)</v>
      </c>
      <c r="AA573">
        <v>2.5940000000000001E-2</v>
      </c>
      <c r="AB573" t="s">
        <v>29</v>
      </c>
      <c r="AE573" t="str">
        <f>HYPERLINK("https://lindat.mff.cuni.cz/services/SynSemClass55/SynSemClass55.html?veclass=vec00962", "vec00962 / vymazat (v41ojwA)")</f>
        <v>vec00962 / vymazat (v41ojwA)</v>
      </c>
      <c r="AF573">
        <v>2.3099999999999999E-2</v>
      </c>
      <c r="AG573" t="s">
        <v>29</v>
      </c>
    </row>
    <row r="575" spans="1:33" x14ac:dyDescent="0.2">
      <c r="A575" t="str">
        <f>HYPERLINK("https://lindat.mff.cuni.cz/services/PDT-Vallex4.5/PDT-Vallex4.5.html?verb=vymáčknout", "vymáčknout")</f>
        <v>vymáčknout</v>
      </c>
      <c r="B575" t="str">
        <f>HYPERLINK("https://lindat.mff.cuni.cz/services/PDT-Vallex4.5/PDT-Vallex4.5.html?verb=vymáčknout#v41ojnB", "v41ojnB")</f>
        <v>v41ojnB</v>
      </c>
      <c r="E575">
        <v>213</v>
      </c>
      <c r="F575">
        <v>0.28837000000000002</v>
      </c>
      <c r="G575" s="1" t="s">
        <v>32</v>
      </c>
      <c r="I575" s="1" t="s">
        <v>217</v>
      </c>
      <c r="K575" t="str">
        <f>HYPERLINK("https://lindat.mff.cuni.cz/services/SynSemClass55/SynSemClass55.html?veclass=vec00648", "vec00648 / odebrat (v41dygC)")</f>
        <v>vec00648 / odebrat (v41dygC)</v>
      </c>
      <c r="L575">
        <v>0.28837000000000002</v>
      </c>
      <c r="M575" t="s">
        <v>29</v>
      </c>
      <c r="P575" t="str">
        <f>HYPERLINK("https://lindat.mff.cuni.cz/services/SynSemClass55/SynSemClass55.html?veclass=vec01538", "vec01538 / vyloupnout (v41ojcA)")</f>
        <v>vec01538 / vyloupnout (v41ojcA)</v>
      </c>
      <c r="Q575">
        <v>9.0880000000000002E-2</v>
      </c>
      <c r="R575" t="s">
        <v>29</v>
      </c>
      <c r="U575" t="str">
        <f>HYPERLINK("https://lindat.mff.cuni.cz/services/SynSemClass55/SynSemClass55.html?veclass=vec00704", "vec00704 / sebrat (v41khhA)")</f>
        <v>vec00704 / sebrat (v41khhA)</v>
      </c>
      <c r="V575">
        <v>4.8059999999999999E-2</v>
      </c>
      <c r="W575" t="s">
        <v>29</v>
      </c>
      <c r="Z575" t="str">
        <f>HYPERLINK("https://lindat.mff.cuni.cz/services/SynSemClass55/SynSemClass55.html?veclass=vec00816", "vec00816 / extrahovat (v41aowA)")</f>
        <v>vec00816 / extrahovat (v41aowA)</v>
      </c>
      <c r="AA575">
        <v>3.7409999999999999E-2</v>
      </c>
      <c r="AB575" t="s">
        <v>33</v>
      </c>
      <c r="AE575" t="str">
        <f>HYPERLINK("https://lindat.mff.cuni.cz/services/SynSemClass55/SynSemClass55.html?veclass=vec00764", "vec00764 / vytrhnout (v41pdrB)")</f>
        <v>vec00764 / vytrhnout (v41pdrB)</v>
      </c>
      <c r="AF575">
        <v>3.4569999999999997E-2</v>
      </c>
      <c r="AG575" t="s">
        <v>29</v>
      </c>
    </row>
    <row r="577" spans="1:33" x14ac:dyDescent="0.2">
      <c r="A577" t="str">
        <f>HYPERLINK("https://lindat.mff.cuni.cz/services/PDT-Vallex4.5/PDT-Vallex4.5.html?verb=vymanévrovat", "vymanévrovat")</f>
        <v>vymanévrovat</v>
      </c>
      <c r="B577" t="str">
        <f>HYPERLINK("https://lindat.mff.cuni.cz/services/PDT-Vallex4.5/PDT-Vallex4.5.html?verb=vymanévrovat#v41ojtA", "v41ojtA")</f>
        <v>v41ojtA</v>
      </c>
      <c r="E577">
        <v>21</v>
      </c>
      <c r="F577">
        <v>0.17085</v>
      </c>
      <c r="G577" s="1" t="s">
        <v>218</v>
      </c>
      <c r="K577" t="str">
        <f>HYPERLINK("https://lindat.mff.cuni.cz/services/SynSemClass55/SynSemClass55.html?veclass=vec01354", "vec01354 / vyprošťovat (v41osaA)")</f>
        <v>vec01354 / vyprošťovat (v41osaA)</v>
      </c>
      <c r="L577">
        <v>0.17085</v>
      </c>
      <c r="M577" t="s">
        <v>29</v>
      </c>
      <c r="P577" t="str">
        <f>HYPERLINK("https://lindat.mff.cuni.cz/services/SynSemClass55/SynSemClass55.html?veclass=vec01465", "vec01465 / vykroutit se (v41oguA)")</f>
        <v>vec01465 / vykroutit se (v41oguA)</v>
      </c>
      <c r="Q577">
        <v>0.10085</v>
      </c>
      <c r="R577" t="s">
        <v>29</v>
      </c>
      <c r="U577" t="str">
        <f>HYPERLINK("https://lindat.mff.cuni.cz/services/SynSemClass55/SynSemClass55.html?veclass=vec00555", "vec00555 / vyhodit (v41oaaA)")</f>
        <v>vec00555 / vyhodit (v41oaaA)</v>
      </c>
      <c r="V577">
        <v>9.4729999999999995E-2</v>
      </c>
      <c r="W577" t="s">
        <v>29</v>
      </c>
      <c r="Z577" t="str">
        <f>HYPERLINK("https://lindat.mff.cuni.cz/services/SynSemClass55/SynSemClass55.html?veclass=vec00811", "vec00811 / dostat se (v41afyG)")</f>
        <v>vec00811 / dostat se (v41afyG)</v>
      </c>
      <c r="AA577">
        <v>8.6239999999999997E-2</v>
      </c>
      <c r="AB577" t="s">
        <v>29</v>
      </c>
      <c r="AE577" t="str">
        <f>HYPERLINK("https://lindat.mff.cuni.cz/services/SynSemClass55/SynSemClass55.html?veclass=vec01214", "vec01214 / evakuovat (v41anpA)")</f>
        <v>vec01214 / evakuovat (v41anpA)</v>
      </c>
      <c r="AF577">
        <v>6.8430000000000005E-2</v>
      </c>
      <c r="AG577" t="s">
        <v>29</v>
      </c>
    </row>
    <row r="579" spans="1:33" x14ac:dyDescent="0.2">
      <c r="A579" t="str">
        <f>HYPERLINK("https://lindat.mff.cuni.cz/services/PDT-Vallex4.5/PDT-Vallex4.5.html?verb=vypískávat", "vypískávat")</f>
        <v>vypískávat</v>
      </c>
      <c r="B579" t="str">
        <f>HYPERLINK("https://lindat.mff.cuni.cz/services/PDT-Vallex4.5/PDT-Vallex4.5.html?verb=vypískávat#v41oocA", "v41oocA")</f>
        <v>v41oocA</v>
      </c>
      <c r="E579">
        <v>4</v>
      </c>
      <c r="F579">
        <v>0.10150000000000001</v>
      </c>
      <c r="G579" s="1" t="s">
        <v>32</v>
      </c>
      <c r="K579" t="str">
        <f>HYPERLINK("https://lindat.mff.cuni.cz/services/SynSemClass55/SynSemClass55.html?veclass=vec00958", "vec00958 / vyčinit (v41nvxA)")</f>
        <v>vec00958 / vyčinit (v41nvxA)</v>
      </c>
      <c r="L579">
        <v>0.10150000000000001</v>
      </c>
      <c r="M579" t="s">
        <v>31</v>
      </c>
      <c r="P579" t="str">
        <f>HYPERLINK("https://lindat.mff.cuni.cz/services/SynSemClass55/SynSemClass55.html?veclass=vec00633", "vec00633 / nadávat (v41cnkB)")</f>
        <v>vec00633 / nadávat (v41cnkB)</v>
      </c>
      <c r="Q579">
        <v>8.1089999999999995E-2</v>
      </c>
      <c r="R579" t="s">
        <v>29</v>
      </c>
      <c r="U579" t="str">
        <f>HYPERLINK("https://lindat.mff.cuni.cz/services/SynSemClass55/SynSemClass55.html?veclass=vec01220", "vec01220 / knokautovat (v41bmhA)")</f>
        <v>vec01220 / knokautovat (v41bmhA)</v>
      </c>
      <c r="V579">
        <v>7.2279999999999997E-2</v>
      </c>
      <c r="W579" t="s">
        <v>29</v>
      </c>
      <c r="Z579" t="str">
        <f>HYPERLINK("https://lindat.mff.cuni.cz/services/SynSemClass55/SynSemClass55.html?veclass=vec00819", "vec00819 / házet (v41aupC)")</f>
        <v>vec00819 / házet (v41aupC)</v>
      </c>
      <c r="AA579">
        <v>5.8880000000000002E-2</v>
      </c>
      <c r="AB579" t="s">
        <v>29</v>
      </c>
      <c r="AE579" t="str">
        <f>HYPERLINK("https://lindat.mff.cuni.cz/services/SynSemClass55/SynSemClass55.html?veclass=vec01489", "vec01489 / bručet (v41inA)")</f>
        <v>vec01489 / bručet (v41inA)</v>
      </c>
      <c r="AF579">
        <v>5.355E-2</v>
      </c>
      <c r="AG579" t="s">
        <v>29</v>
      </c>
    </row>
    <row r="581" spans="1:33" x14ac:dyDescent="0.2">
      <c r="A581" t="str">
        <f>HYPERLINK("https://lindat.mff.cuni.cz/services/PDT-Vallex4.5/PDT-Vallex4.5.html?verb=vyplatit se", "vyplatit se")</f>
        <v>vyplatit se</v>
      </c>
      <c r="B581" t="str">
        <f>HYPERLINK("https://lindat.mff.cuni.cz/services/PDT-Vallex4.5/PDT-Vallex4.5.html?verb=vyplatit se#v41oooB", "v41oooB")</f>
        <v>v41oooB</v>
      </c>
      <c r="E581">
        <v>495</v>
      </c>
      <c r="F581">
        <v>0.61282000000000003</v>
      </c>
      <c r="G581" s="1" t="s">
        <v>219</v>
      </c>
      <c r="I581" s="1" t="s">
        <v>220</v>
      </c>
      <c r="K581" t="str">
        <f>HYPERLINK("https://lindat.mff.cuni.cz/services/SynSemClass55/SynSemClass55.html?veclass=vec00757", "vec00757 / vyplácet se (v41oojA)")</f>
        <v>vec00757 / vyplácet se (v41oojA)</v>
      </c>
      <c r="L581">
        <v>0.61282000000000003</v>
      </c>
      <c r="M581" t="s">
        <v>29</v>
      </c>
      <c r="P581" t="str">
        <f>HYPERLINK("https://lindat.mff.cuni.cz/services/SynSemClass55/SynSemClass55.html?veclass=vec01356", "vec01356 / vysázet (v41ovmA)")</f>
        <v>vec01356 / vysázet (v41ovmA)</v>
      </c>
      <c r="Q581">
        <v>0.16878000000000001</v>
      </c>
      <c r="R581" t="s">
        <v>29</v>
      </c>
      <c r="U581" t="str">
        <f>HYPERLINK("https://lindat.mff.cuni.cz/services/SynSemClass55/SynSemClass55.html?veclass=vec00125", "vec00125 / splatit (v41lbvA)")</f>
        <v>vec00125 / splatit (v41lbvA)</v>
      </c>
      <c r="V581">
        <v>8.5099999999999995E-2</v>
      </c>
      <c r="W581" t="s">
        <v>29</v>
      </c>
      <c r="Z581" t="str">
        <f>HYPERLINK("https://lindat.mff.cuni.cz/services/SynSemClass55/SynSemClass55.html?veclass=vec01159", "vec01159 / vyplatit (v41oonD)")</f>
        <v>vec01159 / vyplatit (v41oonD)</v>
      </c>
      <c r="AA581">
        <v>4.8070000000000002E-2</v>
      </c>
      <c r="AB581" t="s">
        <v>29</v>
      </c>
      <c r="AE581" t="str">
        <f>HYPERLINK("https://lindat.mff.cuni.cz/services/SynSemClass55/SynSemClass55.html?veclass=vec01840", "vec01840 / proplácet (v41hkcA)")</f>
        <v>vec01840 / proplácet (v41hkcA)</v>
      </c>
      <c r="AF581">
        <v>3.4520000000000002E-2</v>
      </c>
      <c r="AG581" t="s">
        <v>29</v>
      </c>
    </row>
    <row r="583" spans="1:33" x14ac:dyDescent="0.2">
      <c r="A583" t="str">
        <f>HYPERLINK("https://lindat.mff.cuni.cz/services/PDT-Vallex4.5/PDT-Vallex4.5.html?verb=vyplísnit", "vyplísnit")</f>
        <v>vyplísnit</v>
      </c>
      <c r="B583" t="str">
        <f>HYPERLINK("https://lindat.mff.cuni.cz/services/PDT-Vallex4.5/PDT-Vallex4.5.html?verb=vyplísnit#v41oovA", "v41oovA")</f>
        <v>v41oovA</v>
      </c>
      <c r="E583">
        <v>27</v>
      </c>
      <c r="F583">
        <v>0.11164</v>
      </c>
      <c r="G583" s="1" t="s">
        <v>32</v>
      </c>
      <c r="K583" t="str">
        <f>HYPERLINK("https://lindat.mff.cuni.cz/services/SynSemClass55/SynSemClass55.html?veclass=vec00958", "vec00958 / vyčinit (v41nvxA)")</f>
        <v>vec00958 / vyčinit (v41nvxA)</v>
      </c>
      <c r="L583">
        <v>0.11164</v>
      </c>
      <c r="M583" t="s">
        <v>31</v>
      </c>
      <c r="P583" t="str">
        <f>HYPERLINK("https://lindat.mff.cuni.cz/services/SynSemClass55/SynSemClass55.html?veclass=vec00555", "vec00555 / vyhodit (v41oaaA)")</f>
        <v>vec00555 / vyhodit (v41oaaA)</v>
      </c>
      <c r="Q583">
        <v>6.241E-2</v>
      </c>
      <c r="R583" t="s">
        <v>29</v>
      </c>
      <c r="U583" t="str">
        <f>HYPERLINK("https://lindat.mff.cuni.cz/services/SynSemClass55/SynSemClass55.html?veclass=vec01192", "vec01192 / ztrapnit (v41rzaA)")</f>
        <v>vec01192 / ztrapnit (v41rzaA)</v>
      </c>
      <c r="V583">
        <v>6.0350000000000001E-2</v>
      </c>
      <c r="W583" t="s">
        <v>29</v>
      </c>
      <c r="Z583" t="str">
        <f>HYPERLINK("https://lindat.mff.cuni.cz/services/SynSemClass55/SynSemClass55.html?veclass=vec00620", "vec00620 / kárat (v41bjqA)")</f>
        <v>vec00620 / kárat (v41bjqA)</v>
      </c>
      <c r="AA583">
        <v>5.6860000000000001E-2</v>
      </c>
      <c r="AB583" t="s">
        <v>29</v>
      </c>
      <c r="AE583" t="str">
        <f>HYPERLINK("https://lindat.mff.cuni.cz/services/SynSemClass55/SynSemClass55.html?veclass=vec01699", "vec01699 / veslovat (v41njuA)")</f>
        <v>vec01699 / veslovat (v41njuA)</v>
      </c>
      <c r="AF583">
        <v>4.99E-2</v>
      </c>
      <c r="AG583" t="s">
        <v>29</v>
      </c>
    </row>
    <row r="585" spans="1:33" x14ac:dyDescent="0.2">
      <c r="A585" t="str">
        <f>HYPERLINK("https://lindat.mff.cuni.cz/services/PDT-Vallex4.5/PDT-Vallex4.5.html?verb=vypodobňovat", "vypodobňovat")</f>
        <v>vypodobňovat</v>
      </c>
      <c r="B585" t="str">
        <f>HYPERLINK("https://lindat.mff.cuni.cz/services/PDT-Vallex4.5/PDT-Vallex4.5.html?verb=vypodobňovat#v41optA", "v41optA")</f>
        <v>v41optA</v>
      </c>
      <c r="E585">
        <v>1</v>
      </c>
      <c r="F585">
        <v>0.27953</v>
      </c>
      <c r="G585" s="1" t="s">
        <v>32</v>
      </c>
      <c r="K585" t="str">
        <f>HYPERLINK("https://lindat.mff.cuni.cz/services/SynSemClass55/SynSemClass55.html?veclass=vec00101", "vec00101 / přirovnat (v41ixjA)")</f>
        <v>vec00101 / přirovnat (v41ixjA)</v>
      </c>
      <c r="L585">
        <v>0.27953</v>
      </c>
      <c r="M585" t="s">
        <v>29</v>
      </c>
      <c r="P585" t="str">
        <f>HYPERLINK("https://lindat.mff.cuni.cz/services/SynSemClass55/SynSemClass55.html?veclass=vec01031", "vec01031 / karikovat (v41bjuA)")</f>
        <v>vec01031 / karikovat (v41bjuA)</v>
      </c>
      <c r="Q585">
        <v>0.10703</v>
      </c>
      <c r="R585" t="s">
        <v>29</v>
      </c>
      <c r="U585" t="str">
        <f>HYPERLINK("https://lindat.mff.cuni.cz/services/SynSemClass55/SynSemClass55.html?veclass=vec00417", "vec00417 / charakterizovat (v41barA)")</f>
        <v>vec00417 / charakterizovat (v41barA)</v>
      </c>
      <c r="V585">
        <v>6.6970000000000002E-2</v>
      </c>
      <c r="W585" t="s">
        <v>31</v>
      </c>
      <c r="Z585" t="str">
        <f>HYPERLINK("https://lindat.mff.cuni.cz/services/SynSemClass55/SynSemClass55.html?veclass=vec01184", "vec01184 / zobecňovat (v41rqhA)")</f>
        <v>vec01184 / zobecňovat (v41rqhA)</v>
      </c>
      <c r="AA585">
        <v>3.0130000000000001E-2</v>
      </c>
      <c r="AB585" t="s">
        <v>29</v>
      </c>
      <c r="AE585" t="str">
        <f>HYPERLINK("https://lindat.mff.cuni.cz/services/SynSemClass55/SynSemClass55.html?veclass=vec01342", "vec01342 / uzamknout (v41nefA)")</f>
        <v>vec01342 / uzamknout (v41nefA)</v>
      </c>
      <c r="AF585">
        <v>2.564E-2</v>
      </c>
      <c r="AG585" t="s">
        <v>29</v>
      </c>
    </row>
    <row r="587" spans="1:33" x14ac:dyDescent="0.2">
      <c r="A587" t="str">
        <f>HYPERLINK("https://lindat.mff.cuni.cz/services/PDT-Vallex4.5/PDT-Vallex4.5.html?verb=vysypávat se", "vysypávat se")</f>
        <v>vysypávat se</v>
      </c>
      <c r="B587" t="str">
        <f>HYPERLINK("https://lindat.mff.cuni.cz/services/PDT-Vallex4.5/PDT-Vallex4.5.html?verb=vysypávat se#v41pagA", "v41pagA")</f>
        <v>v41pagA</v>
      </c>
      <c r="E587">
        <v>21</v>
      </c>
      <c r="F587">
        <v>0.39262999999999998</v>
      </c>
      <c r="G587" s="1">
        <v>0</v>
      </c>
      <c r="I587" s="1" t="s">
        <v>221</v>
      </c>
      <c r="K587" t="str">
        <f>HYPERLINK("https://lindat.mff.cuni.cz/services/SynSemClass55/SynSemClass55.html?veclass=vec01358", "vec01358 / vysypávat (v41pafA)")</f>
        <v>vec01358 / vysypávat (v41pafA)</v>
      </c>
      <c r="L587">
        <v>0.39262999999999998</v>
      </c>
      <c r="M587" t="s">
        <v>29</v>
      </c>
      <c r="P587" t="str">
        <f>HYPERLINK("https://lindat.mff.cuni.cz/services/SynSemClass55/SynSemClass55.html?veclass=vec00380", "vec00380 / zbavit se (v41qvrA)")</f>
        <v>vec00380 / zbavit se (v41qvrA)</v>
      </c>
      <c r="Q587">
        <v>4.6789999999999998E-2</v>
      </c>
      <c r="R587" t="s">
        <v>29</v>
      </c>
      <c r="U587" t="str">
        <f>HYPERLINK("https://lindat.mff.cuni.cz/services/SynSemClass55/SynSemClass55.html?veclass=vec01156", "vec01156 / vykládat (v41oeyG)")</f>
        <v>vec01156 / vykládat (v41oeyG)</v>
      </c>
      <c r="V587">
        <v>3.739E-2</v>
      </c>
      <c r="W587" t="s">
        <v>29</v>
      </c>
      <c r="Z587" t="str">
        <f>HYPERLINK("https://lindat.mff.cuni.cz/services/SynSemClass55/SynSemClass55.html?veclass=vec00819", "vec00819 / házet (v41aupC)")</f>
        <v>vec00819 / házet (v41aupC)</v>
      </c>
      <c r="AA587">
        <v>3.3160000000000002E-2</v>
      </c>
      <c r="AB587" t="s">
        <v>29</v>
      </c>
      <c r="AE587" t="str">
        <f>HYPERLINK("https://lindat.mff.cuni.cz/services/SynSemClass55/SynSemClass55.html?veclass=vec00841", "vec00841 / nacpat (v41cmpB)")</f>
        <v>vec00841 / nacpat (v41cmpB)</v>
      </c>
      <c r="AF587">
        <v>2.9669999999999998E-2</v>
      </c>
      <c r="AG587" t="s">
        <v>29</v>
      </c>
    </row>
    <row r="589" spans="1:33" x14ac:dyDescent="0.2">
      <c r="A589" t="str">
        <f>HYPERLINK("https://lindat.mff.cuni.cz/services/PDT-Vallex4.5/PDT-Vallex4.5.html?verb=vytrpět", "vytrpět")</f>
        <v>vytrpět</v>
      </c>
      <c r="B589" t="str">
        <f>HYPERLINK("https://lindat.mff.cuni.cz/services/PDT-Vallex4.5/PDT-Vallex4.5.html?verb=vytrpět#v41pdtA", "v41pdtA")</f>
        <v>v41pdtA</v>
      </c>
      <c r="E589">
        <v>194</v>
      </c>
      <c r="F589">
        <v>0.13705999999999999</v>
      </c>
      <c r="G589" s="1" t="s">
        <v>222</v>
      </c>
      <c r="K589" t="str">
        <f>HYPERLINK("https://lindat.mff.cuni.cz/services/SynSemClass55/SynSemClass55.html?veclass=vec00740", "vec00740 / utrpět (v41nbkB)")</f>
        <v>vec00740 / utrpět (v41nbkB)</v>
      </c>
      <c r="L589">
        <v>0.13705999999999999</v>
      </c>
      <c r="M589" t="s">
        <v>29</v>
      </c>
      <c r="P589" t="str">
        <f>HYPERLINK("https://lindat.mff.cuni.cz/services/SynSemClass55/SynSemClass55.html?veclass=vec00340", "vec00340 / utrpět (v41nbkA)")</f>
        <v>vec00340 / utrpět (v41nbkA)</v>
      </c>
      <c r="Q589">
        <v>0.11186</v>
      </c>
      <c r="R589" t="s">
        <v>29</v>
      </c>
      <c r="U589" t="str">
        <f>HYPERLINK("https://lindat.mff.cuni.cz/services/SynSemClass55/SynSemClass55.html?veclass=vec01989", "vec01989 / zvládat (v41scaA)")</f>
        <v>vec01989 / zvládat (v41scaA)</v>
      </c>
      <c r="V589">
        <v>7.6869999999999994E-2</v>
      </c>
      <c r="W589" t="s">
        <v>29</v>
      </c>
      <c r="Z589" t="str">
        <f>HYPERLINK("https://lindat.mff.cuni.cz/services/SynSemClass55/SynSemClass55.html?veclass=vec01800", "vec01800 / odskákat (v41ejcA)")</f>
        <v>vec01800 / odskákat (v41ejcA)</v>
      </c>
      <c r="AA589">
        <v>6.8479999999999999E-2</v>
      </c>
      <c r="AB589" t="s">
        <v>29</v>
      </c>
      <c r="AE589" t="str">
        <f>HYPERLINK("https://lindat.mff.cuni.cz/services/SynSemClass55/SynSemClass55.html?veclass=vec00379", "vec00379 / zažít (v41qvdA)")</f>
        <v>vec00379 / zažít (v41qvdA)</v>
      </c>
      <c r="AF589">
        <v>5.9740000000000001E-2</v>
      </c>
      <c r="AG589" t="s">
        <v>29</v>
      </c>
    </row>
    <row r="591" spans="1:33" x14ac:dyDescent="0.2">
      <c r="A591" t="str">
        <f>HYPERLINK("https://lindat.mff.cuni.cz/services/PDT-Vallex4.5/PDT-Vallex4.5.html?verb=vytýkat", "vytýkat")</f>
        <v>vytýkat</v>
      </c>
      <c r="B591" t="str">
        <f>HYPERLINK("https://lindat.mff.cuni.cz/services/PDT-Vallex4.5/PDT-Vallex4.5.html?verb=vytýkat#v41pevA", "v41pevA")</f>
        <v>v41pevA</v>
      </c>
      <c r="E591">
        <v>208</v>
      </c>
      <c r="F591">
        <v>0.93794999999999995</v>
      </c>
      <c r="G591" s="1" t="s">
        <v>182</v>
      </c>
      <c r="K591" t="str">
        <f>HYPERLINK("https://lindat.mff.cuni.cz/services/SynSemClass55/SynSemClass55.html?veclass=vec00620", "vec00620 / kárat (v41bjqA)")</f>
        <v>vec00620 / kárat (v41bjqA)</v>
      </c>
      <c r="L591">
        <v>0.93794999999999995</v>
      </c>
      <c r="M591" t="s">
        <v>29</v>
      </c>
      <c r="P591" t="str">
        <f>HYPERLINK("https://lindat.mff.cuni.cz/services/SynSemClass55/SynSemClass55.html?veclass=vec00347", "vec00347 / vinit (v41nllA)")</f>
        <v>vec00347 / vinit (v41nllA)</v>
      </c>
      <c r="Q591">
        <v>1.746E-2</v>
      </c>
      <c r="R591" t="s">
        <v>29</v>
      </c>
      <c r="U591" t="str">
        <f>HYPERLINK("https://lindat.mff.cuni.cz/services/SynSemClass55/SynSemClass55.html?veclass=vec01361", "vec01361 / vyvodit (v41pgzA)")</f>
        <v>vec01361 / vyvodit (v41pgzA)</v>
      </c>
      <c r="V591">
        <v>1.6500000000000001E-2</v>
      </c>
      <c r="W591" t="s">
        <v>29</v>
      </c>
      <c r="Z591" t="str">
        <f>HYPERLINK("https://lindat.mff.cuni.cz/services/SynSemClass55/SynSemClass55.html?veclass=vec01489", "vec01489 / bručet (v41inA)")</f>
        <v>vec01489 / bručet (v41inA)</v>
      </c>
      <c r="AA591">
        <v>1.618E-2</v>
      </c>
      <c r="AB591" t="s">
        <v>29</v>
      </c>
      <c r="AE591" t="str">
        <f>HYPERLINK("https://lindat.mff.cuni.cz/services/SynSemClass55/SynSemClass55.html?veclass=vec00032", "vec00032 / myslet si (v41ckkA)")</f>
        <v>vec00032 / myslet si (v41ckkA)</v>
      </c>
      <c r="AF591">
        <v>1.4710000000000001E-2</v>
      </c>
      <c r="AG591" t="s">
        <v>29</v>
      </c>
    </row>
    <row r="593" spans="1:34" x14ac:dyDescent="0.2">
      <c r="A593" t="str">
        <f>HYPERLINK("https://lindat.mff.cuni.cz/services/PDT-Vallex4.5/PDT-Vallex4.5.html?verb=vyvařit", "vyvařit")</f>
        <v>vyvařit</v>
      </c>
      <c r="B593" t="str">
        <f>HYPERLINK("https://lindat.mff.cuni.cz/services/PDT-Vallex4.5/PDT-Vallex4.5.html?verb=vyvařit#v41pfwA", "v41pfwA")</f>
        <v>v41pfwA</v>
      </c>
      <c r="E593">
        <v>41</v>
      </c>
      <c r="F593">
        <v>0.15562999999999999</v>
      </c>
      <c r="G593" s="1">
        <v>0</v>
      </c>
      <c r="I593" s="1" t="s">
        <v>223</v>
      </c>
      <c r="K593" t="str">
        <f>HYPERLINK("https://lindat.mff.cuni.cz/services/SynSemClass55/SynSemClass55.html?veclass=vec01616", "vec01616 / vařit (v41ngvA)")</f>
        <v>vec01616 / vařit (v41ngvA)</v>
      </c>
      <c r="L593">
        <v>0.15562999999999999</v>
      </c>
      <c r="M593" t="s">
        <v>29</v>
      </c>
      <c r="P593" t="str">
        <f>HYPERLINK("https://lindat.mff.cuni.cz/services/SynSemClass55/SynSemClass55.html?veclass=vec01103", "vec01103 / roztavit se (v41jztA)")</f>
        <v>vec01103 / roztavit se (v41jztA)</v>
      </c>
      <c r="Q593">
        <v>0.10548</v>
      </c>
      <c r="R593" t="s">
        <v>29</v>
      </c>
      <c r="U593" t="str">
        <f>HYPERLINK("https://lindat.mff.cuni.cz/services/SynSemClass55/SynSemClass55.html?veclass=vec00911", "vec00911 / rozptýlit se (v41jxjB)")</f>
        <v>vec00911 / rozptýlit se (v41jxjB)</v>
      </c>
      <c r="V593">
        <v>5.0099999999999999E-2</v>
      </c>
      <c r="W593" t="s">
        <v>29</v>
      </c>
      <c r="Z593" t="str">
        <f>HYPERLINK("https://lindat.mff.cuni.cz/services/SynSemClass55/SynSemClass55.html?veclass=vec00648", "vec00648 / odebrat (v41dygC)")</f>
        <v>vec00648 / odebrat (v41dygC)</v>
      </c>
      <c r="AA593">
        <v>4.6920000000000003E-2</v>
      </c>
      <c r="AB593" t="s">
        <v>29</v>
      </c>
      <c r="AE593" t="str">
        <f>HYPERLINK("https://lindat.mff.cuni.cz/services/SynSemClass55/SynSemClass55.html?veclass=vec01617", "vec01617 / vařit (v41ngvC)")</f>
        <v>vec01617 / vařit (v41ngvC)</v>
      </c>
      <c r="AF593">
        <v>4.6019999999999998E-2</v>
      </c>
      <c r="AG593" t="s">
        <v>29</v>
      </c>
    </row>
    <row r="595" spans="1:34" x14ac:dyDescent="0.2">
      <c r="A595" t="str">
        <f>HYPERLINK("https://lindat.mff.cuni.cz/services/PDT-Vallex4.5/PDT-Vallex4.5.html?verb=vyzískat", "vyzískat")</f>
        <v>vyzískat</v>
      </c>
      <c r="B595" t="str">
        <f>HYPERLINK("https://lindat.mff.cuni.cz/services/PDT-Vallex4.5/PDT-Vallex4.5.html?verb=vyzískat#v41pikA", "v41pikA")</f>
        <v>v41pikA</v>
      </c>
      <c r="E595">
        <v>48</v>
      </c>
      <c r="F595">
        <v>0.19120999999999999</v>
      </c>
      <c r="G595" s="1" t="s">
        <v>32</v>
      </c>
      <c r="K595" t="str">
        <f>HYPERLINK("https://lindat.mff.cuni.cz/services/SynSemClass55/SynSemClass55.html?veclass=vec00648", "vec00648 / odebrat (v41dygC)")</f>
        <v>vec00648 / odebrat (v41dygC)</v>
      </c>
      <c r="L595">
        <v>0.19120999999999999</v>
      </c>
      <c r="M595" t="s">
        <v>29</v>
      </c>
      <c r="P595" t="str">
        <f>HYPERLINK("https://lindat.mff.cuni.cz/services/SynSemClass55/SynSemClass55.html?veclass=vec00169", "vec00169 / vytěžit (v41pcrA)")</f>
        <v>vec00169 / vytěžit (v41pcrA)</v>
      </c>
      <c r="Q595">
        <v>0.12472</v>
      </c>
      <c r="R595" t="s">
        <v>33</v>
      </c>
      <c r="U595" t="str">
        <f>HYPERLINK("https://lindat.mff.cuni.cz/services/SynSemClass55/SynSemClass55.html?veclass=vec00708", "vec00708 / shrábnout (v41kmvA)")</f>
        <v>vec00708 / shrábnout (v41kmvA)</v>
      </c>
      <c r="V595">
        <v>0.10042</v>
      </c>
      <c r="W595" t="s">
        <v>29</v>
      </c>
      <c r="Z595" t="str">
        <f>HYPERLINK("https://lindat.mff.cuni.cz/services/SynSemClass55/SynSemClass55.html?veclass=vec00189", "vec00189 / získat (v41reiA)")</f>
        <v>vec00189 / získat (v41reiA)</v>
      </c>
      <c r="AA595">
        <v>8.9510000000000006E-2</v>
      </c>
      <c r="AB595" t="s">
        <v>31</v>
      </c>
      <c r="AE595" t="str">
        <f>HYPERLINK("https://lindat.mff.cuni.cz/services/SynSemClass55/SynSemClass55.html?veclass=vec01491", "vec01491 / fasovat (v41appA)")</f>
        <v>vec01491 / fasovat (v41appA)</v>
      </c>
      <c r="AF595">
        <v>4.7160000000000001E-2</v>
      </c>
      <c r="AG595" t="s">
        <v>29</v>
      </c>
    </row>
    <row r="597" spans="1:34" x14ac:dyDescent="0.2">
      <c r="A597" t="str">
        <f>HYPERLINK("https://lindat.mff.cuni.cz/services/PDT-Vallex4.5/PDT-Vallex4.5.html?verb=vyžebrávat", "vyžebrávat")</f>
        <v>vyžebrávat</v>
      </c>
      <c r="B597" t="str">
        <f>HYPERLINK("https://lindat.mff.cuni.cz/services/PDT-Vallex4.5/PDT-Vallex4.5.html?verb=vyžebrávat#v41pklA", "v41pklA")</f>
        <v>v41pklA</v>
      </c>
      <c r="E597">
        <v>6</v>
      </c>
      <c r="F597">
        <v>6.9629999999999997E-2</v>
      </c>
      <c r="G597" s="1" t="s">
        <v>224</v>
      </c>
      <c r="K597" t="str">
        <f>HYPERLINK("https://lindat.mff.cuni.cz/services/SynSemClass55/SynSemClass55.html?veclass=vec01491", "vec01491 / fasovat (v41appA)")</f>
        <v>vec01491 / fasovat (v41appA)</v>
      </c>
      <c r="L597">
        <v>6.9629999999999997E-2</v>
      </c>
      <c r="M597" t="s">
        <v>29</v>
      </c>
      <c r="P597" t="str">
        <f>HYPERLINK("https://lindat.mff.cuni.cz/services/SynSemClass55/SynSemClass55.html?veclass=vec01105", "vec01105 / rýžovat (v41kdgB)")</f>
        <v>vec01105 / rýžovat (v41kdgB)</v>
      </c>
      <c r="Q597">
        <v>6.0690000000000001E-2</v>
      </c>
      <c r="R597" t="s">
        <v>29</v>
      </c>
      <c r="U597" t="str">
        <f>HYPERLINK("https://lindat.mff.cuni.cz/services/SynSemClass55/SynSemClass55.html?veclass=vec00800", "vec00800 / žvýkat (v41sexA)")</f>
        <v>vec00800 / žvýkat (v41sexA)</v>
      </c>
      <c r="V597">
        <v>5.8000000000000003E-2</v>
      </c>
      <c r="W597" t="s">
        <v>29</v>
      </c>
      <c r="Z597" t="str">
        <f>HYPERLINK("https://lindat.mff.cuni.cz/services/SynSemClass55/SynSemClass55.html?veclass=vec01727", "vec01727 / clít (v41lnA)")</f>
        <v>vec01727 / clít (v41lnA)</v>
      </c>
      <c r="AA597">
        <v>4.9340000000000002E-2</v>
      </c>
      <c r="AB597" t="s">
        <v>29</v>
      </c>
      <c r="AE597" t="str">
        <f>HYPERLINK("https://lindat.mff.cuni.cz/services/SynSemClass55/SynSemClass55.html?veclass=vec00866", "vec00866 / pít (v41fluA)")</f>
        <v>vec00866 / pít (v41fluA)</v>
      </c>
      <c r="AF597">
        <v>4.888E-2</v>
      </c>
      <c r="AG597" t="s">
        <v>29</v>
      </c>
    </row>
    <row r="599" spans="1:34" x14ac:dyDescent="0.2">
      <c r="A599" t="str">
        <f>HYPERLINK("https://lindat.mff.cuni.cz/services/PDT-Vallex4.5/PDT-Vallex4.5.html?verb=vyžívat", "vyžívat")</f>
        <v>vyžívat</v>
      </c>
      <c r="B599" t="str">
        <f>HYPERLINK("https://lindat.mff.cuni.cz/services/PDT-Vallex4.5/PDT-Vallex4.5.html?verb=vyžívat#v41pkpA", "v41pkpA")</f>
        <v>v41pkpA</v>
      </c>
      <c r="E599">
        <v>114</v>
      </c>
      <c r="F599">
        <v>0.30834</v>
      </c>
      <c r="G599" s="1" t="s">
        <v>100</v>
      </c>
      <c r="K599" t="str">
        <f>HYPERLINK("https://lindat.mff.cuni.cz/services/SynSemClass55/SynSemClass55.html?veclass=vec00742", "vec00742 / užívat si (v41nfrA)")</f>
        <v>vec00742 / užívat si (v41nfrA)</v>
      </c>
      <c r="L599">
        <v>0.30834</v>
      </c>
      <c r="M599" t="s">
        <v>29</v>
      </c>
      <c r="P599" t="str">
        <f>HYPERLINK("https://lindat.mff.cuni.cz/services/SynSemClass55/SynSemClass55.html?veclass=vec01458", "vec01458 / věnovat se (v41njfA)")</f>
        <v>vec01458 / věnovat se (v41njfA)</v>
      </c>
      <c r="Q599">
        <v>8.8489999999999999E-2</v>
      </c>
      <c r="R599" t="s">
        <v>29</v>
      </c>
      <c r="U599" t="str">
        <f>HYPERLINK("https://lindat.mff.cuni.cz/services/SynSemClass55/SynSemClass55.html?veclass=vec01631", "vec01631 / zažít se (v41qvfA)")</f>
        <v>vec01631 / zažít se (v41qvfA)</v>
      </c>
      <c r="V599">
        <v>6.9370000000000001E-2</v>
      </c>
      <c r="W599" t="s">
        <v>29</v>
      </c>
      <c r="Z599" t="str">
        <f>HYPERLINK("https://lindat.mff.cuni.cz/services/SynSemClass55/SynSemClass55.html?veclass=vec01591", "vec01591 / pobavit se (v41fokA)")</f>
        <v>vec01591 / pobavit se (v41fokA)</v>
      </c>
      <c r="AA599">
        <v>5.8439999999999999E-2</v>
      </c>
      <c r="AB599" t="s">
        <v>29</v>
      </c>
      <c r="AE599" t="str">
        <f>HYPERLINK("https://lindat.mff.cuni.cz/services/SynSemClass55/SynSemClass55.html?veclass=vec00169", "vec00169 / vytěžit (v41pcrA)")</f>
        <v>vec00169 / vytěžit (v41pcrA)</v>
      </c>
      <c r="AF599">
        <v>3.4860000000000002E-2</v>
      </c>
      <c r="AG599" t="s">
        <v>29</v>
      </c>
    </row>
    <row r="601" spans="1:34" x14ac:dyDescent="0.2">
      <c r="A601" t="str">
        <f>HYPERLINK("https://lindat.mff.cuni.cz/services/PDT-Vallex4.5/PDT-Vallex4.5.html?verb=vzburcovat", "vzburcovat")</f>
        <v>vzburcovat</v>
      </c>
      <c r="B601" t="str">
        <f>HYPERLINK("https://lindat.mff.cuni.cz/services/PDT-Vallex4.5/PDT-Vallex4.5.html?verb=vzburcovat#v41pkxA", "v41pkxA")</f>
        <v>v41pkxA</v>
      </c>
      <c r="E601">
        <v>23</v>
      </c>
      <c r="F601">
        <v>7.1099999999999997E-2</v>
      </c>
      <c r="G601" s="1" t="s">
        <v>225</v>
      </c>
      <c r="K601" t="str">
        <f>HYPERLINK("https://lindat.mff.cuni.cz/services/SynSemClass55/SynSemClass55.html?veclass=vec00091", "vec00091 / přebít (v41hueA)")</f>
        <v>vec00091 / přebít (v41hueA)</v>
      </c>
      <c r="L601">
        <v>7.1099999999999997E-2</v>
      </c>
      <c r="M601" t="s">
        <v>29</v>
      </c>
      <c r="P601" t="str">
        <f>HYPERLINK("https://lindat.mff.cuni.cz/services/SynSemClass55/SynSemClass55.html?veclass=vec01792", "vec01792 / obměkčit (v41dqyA)")</f>
        <v>vec01792 / obměkčit (v41dqyA)</v>
      </c>
      <c r="Q601">
        <v>5.5820000000000002E-2</v>
      </c>
      <c r="R601" t="s">
        <v>29</v>
      </c>
      <c r="U601" t="str">
        <f>HYPERLINK("https://lindat.mff.cuni.cz/services/SynSemClass55/SynSemClass55.html?veclass=vec00667", "vec00667 / pobouřit (v41foxA)")</f>
        <v>vec00667 / pobouřit (v41foxA)</v>
      </c>
      <c r="V601">
        <v>4.9979999999999997E-2</v>
      </c>
      <c r="W601" t="s">
        <v>29</v>
      </c>
      <c r="Z601" t="str">
        <f>HYPERLINK("https://lindat.mff.cuni.cz/services/SynSemClass55/SynSemClass55.html?veclass=vec01874", "vec01874 / rozkřičet (v41jsfA)")</f>
        <v>vec01874 / rozkřičet (v41jsfA)</v>
      </c>
      <c r="AA601">
        <v>4.0140000000000002E-2</v>
      </c>
      <c r="AB601" t="s">
        <v>29</v>
      </c>
      <c r="AE601" t="str">
        <f>HYPERLINK("https://lindat.mff.cuni.cz/services/SynSemClass55/SynSemClass55.html?veclass=vec01823", "vec01823 / postrkovat (v41gnyB)")</f>
        <v>vec01823 / postrkovat (v41gnyB)</v>
      </c>
      <c r="AF601">
        <v>3.5470000000000002E-2</v>
      </c>
      <c r="AG601" t="s">
        <v>29</v>
      </c>
    </row>
    <row r="603" spans="1:34" x14ac:dyDescent="0.2">
      <c r="A603" t="str">
        <f>HYPERLINK("https://lindat.mff.cuni.cz/services/PDT-Vallex4.5/PDT-Vallex4.5.html?verb=vzhlížet", "vzhlížet")</f>
        <v>vzhlížet</v>
      </c>
      <c r="B603" t="str">
        <f>HYPERLINK("https://lindat.mff.cuni.cz/services/PDT-Vallex4.5/PDT-Vallex4.5.html?verb=vzhlížet#v41plyB", "v41plyB")</f>
        <v>v41plyB</v>
      </c>
      <c r="E603">
        <v>347</v>
      </c>
      <c r="F603">
        <v>0.76444000000000001</v>
      </c>
      <c r="G603" s="1" t="s">
        <v>32</v>
      </c>
      <c r="K603" t="str">
        <f>HYPERLINK("https://lindat.mff.cuni.cz/services/SynSemClass55/SynSemClass55.html?veclass=vec00869", "vec00869 / podívat se (v41fsdH)")</f>
        <v>vec00869 / podívat se (v41fsdH)</v>
      </c>
      <c r="L603">
        <v>0.76444000000000001</v>
      </c>
      <c r="M603" t="s">
        <v>31</v>
      </c>
      <c r="P603" t="str">
        <f>HYPERLINK("https://lindat.mff.cuni.cz/services/SynSemClass55/SynSemClass55.html?veclass=vec01048", "vec01048 / obdivovat (v41dngA)")</f>
        <v>vec01048 / obdivovat (v41dngA)</v>
      </c>
      <c r="Q603">
        <v>6.9870000000000002E-2</v>
      </c>
      <c r="R603" t="s">
        <v>29</v>
      </c>
      <c r="U603" t="str">
        <f>HYPERLINK("https://lindat.mff.cuni.cz/services/SynSemClass55/SynSemClass55.html?veclass=vec00402", "vec00402 / brát (v41hsE)")</f>
        <v>vec00402 / brát (v41hsE)</v>
      </c>
      <c r="V603">
        <v>4.9639999999999997E-2</v>
      </c>
      <c r="W603" t="s">
        <v>29</v>
      </c>
      <c r="Z603" t="str">
        <f>HYPERLINK("https://lindat.mff.cuni.cz/services/SynSemClass55/SynSemClass55.html?veclass=vec01263", "vec01263 / porozhlédnout se (v41gjlB)")</f>
        <v>vec01263 / porozhlédnout se (v41gjlB)</v>
      </c>
      <c r="AA603">
        <v>4.181E-2</v>
      </c>
      <c r="AB603" t="s">
        <v>29</v>
      </c>
      <c r="AE603" t="str">
        <f>HYPERLINK("https://lindat.mff.cuni.cz/services/SynSemClass55/SynSemClass55.html?veclass=vec00838", "vec00838 / mrknout (v41cjrA)")</f>
        <v>vec00838 / mrknout (v41cjrA)</v>
      </c>
      <c r="AF603">
        <v>4.061E-2</v>
      </c>
      <c r="AG603" t="s">
        <v>29</v>
      </c>
    </row>
    <row r="605" spans="1:34" x14ac:dyDescent="0.2">
      <c r="A605" t="str">
        <f>HYPERLINK("https://lindat.mff.cuni.cz/services/PDT-Vallex4.5/PDT-Vallex4.5.html?verb=vzlétnout", "vzlétnout")</f>
        <v>vzlétnout</v>
      </c>
      <c r="B605" t="str">
        <f>HYPERLINK("https://lindat.mff.cuni.cz/services/PDT-Vallex4.5/PDT-Vallex4.5.html?verb=vzlétnout#v41pmjA", "v41pmjA")</f>
        <v>v41pmjA</v>
      </c>
      <c r="E605">
        <v>383</v>
      </c>
      <c r="F605">
        <v>0.23979</v>
      </c>
      <c r="G605" s="1" t="s">
        <v>32</v>
      </c>
      <c r="K605" t="str">
        <f>HYPERLINK("https://lindat.mff.cuni.cz/services/SynSemClass55/SynSemClass55.html?veclass=vec00427", "vec00427 / létat (v41bzwD)")</f>
        <v>vec00427 / létat (v41bzwD)</v>
      </c>
      <c r="L605">
        <v>0.23979</v>
      </c>
      <c r="M605" t="s">
        <v>29</v>
      </c>
      <c r="P605" t="str">
        <f>HYPERLINK("https://lindat.mff.cuni.cz/services/SynSemClass55/SynSemClass55.html?veclass=vec01113", "vec01113 / skákat (v41kpoB)")</f>
        <v>vec01113 / skákat (v41kpoB)</v>
      </c>
      <c r="Q605">
        <v>9.4500000000000001E-2</v>
      </c>
      <c r="R605" t="s">
        <v>29</v>
      </c>
      <c r="U605" t="str">
        <f>HYPERLINK("https://lindat.mff.cuni.cz/services/SynSemClass55/SynSemClass55.html?veclass=vec00811", "vec00811 / dostat se (v41afyG)")</f>
        <v>vec00811 / dostat se (v41afyG)</v>
      </c>
      <c r="V605">
        <v>8.1229999999999997E-2</v>
      </c>
      <c r="W605" t="s">
        <v>29</v>
      </c>
      <c r="Z605" t="str">
        <f>HYPERLINK("https://lindat.mff.cuni.cz/services/SynSemClass55/SynSemClass55.html?veclass=vec01367", "vec01367 / vznášet se (v41pmmB)")</f>
        <v>vec01367 / vznášet se (v41pmmB)</v>
      </c>
      <c r="AA605">
        <v>5.9909999999999998E-2</v>
      </c>
      <c r="AB605" t="s">
        <v>29</v>
      </c>
      <c r="AE605" t="str">
        <f>HYPERLINK("https://lindat.mff.cuni.cz/services/SynSemClass55/SynSemClass55.html?veclass=vec00901", "vec00901 / přistát (v41iyzA)")</f>
        <v>vec00901 / přistát (v41iyzA)</v>
      </c>
      <c r="AF605">
        <v>4.2959999999999998E-2</v>
      </c>
      <c r="AG605" t="s">
        <v>31</v>
      </c>
      <c r="AH605" t="s">
        <v>180</v>
      </c>
    </row>
    <row r="607" spans="1:34" x14ac:dyDescent="0.2">
      <c r="A607" t="str">
        <f>HYPERLINK("https://lindat.mff.cuni.cz/services/PDT-Vallex4.5/PDT-Vallex4.5.html?verb=věstit", "věstit")</f>
        <v>věstit</v>
      </c>
      <c r="B607" t="str">
        <f>HYPERLINK("https://lindat.mff.cuni.cz/services/PDT-Vallex4.5/PDT-Vallex4.5.html?verb=věstit#v41njxA", "v41njxA")</f>
        <v>v41njxA</v>
      </c>
      <c r="E607">
        <v>82</v>
      </c>
      <c r="F607">
        <v>0.31988</v>
      </c>
      <c r="G607" s="1" t="s">
        <v>32</v>
      </c>
      <c r="K607" t="str">
        <f>HYPERLINK("https://lindat.mff.cuni.cz/services/SynSemClass55/SynSemClass55.html?veclass=vec00093", "vec00093 / předpovídat (v41hxtA)")</f>
        <v>vec00093 / předpovídat (v41hxtA)</v>
      </c>
      <c r="L607">
        <v>0.31988</v>
      </c>
      <c r="M607" t="s">
        <v>31</v>
      </c>
      <c r="P607" t="str">
        <f>HYPERLINK("https://lindat.mff.cuni.cz/services/SynSemClass55/SynSemClass55.html?veclass=vec01234", "vec01234 / naznačovat (v41dhzB)")</f>
        <v>vec01234 / naznačovat (v41dhzB)</v>
      </c>
      <c r="Q607">
        <v>6.1679999999999999E-2</v>
      </c>
      <c r="R607" t="s">
        <v>29</v>
      </c>
      <c r="U607" t="str">
        <f>HYPERLINK("https://lindat.mff.cuni.cz/services/SynSemClass55/SynSemClass55.html?veclass=vec00060", "vec00060 / oznámit (v41fgeD)")</f>
        <v>vec00060 / oznámit (v41fgeD)</v>
      </c>
      <c r="V607">
        <v>4.7489999999999997E-2</v>
      </c>
      <c r="W607" t="s">
        <v>29</v>
      </c>
      <c r="Z607" t="str">
        <f>HYPERLINK("https://lindat.mff.cuni.cz/services/SynSemClass55/SynSemClass55.html?veclass=vec00196", "vec00196 / způsobit (v41rvuB)")</f>
        <v>vec00196 / způsobit (v41rvuB)</v>
      </c>
      <c r="AA607">
        <v>3.6909999999999998E-2</v>
      </c>
      <c r="AB607" t="s">
        <v>29</v>
      </c>
      <c r="AE607" t="str">
        <f>HYPERLINK("https://lindat.mff.cuni.cz/services/SynSemClass55/SynSemClass55.html?veclass=vec00194", "vec00194 / znamenat (v41rmoB)")</f>
        <v>vec00194 / znamenat (v41rmoB)</v>
      </c>
      <c r="AF607">
        <v>3.356E-2</v>
      </c>
      <c r="AG607" t="s">
        <v>29</v>
      </c>
    </row>
    <row r="609" spans="1:33" x14ac:dyDescent="0.2">
      <c r="A609" t="str">
        <f>HYPERLINK("https://lindat.mff.cuni.cz/services/PDT-Vallex4.5/PDT-Vallex4.5.html?verb=zabezpečovat", "zabezpečovat")</f>
        <v>zabezpečovat</v>
      </c>
      <c r="B609" t="str">
        <f>HYPERLINK("https://lindat.mff.cuni.cz/services/PDT-Vallex4.5/PDT-Vallex4.5.html?verb=zabezpečovat#v41pouA", "v41pouA")</f>
        <v>v41pouA</v>
      </c>
      <c r="E609">
        <v>22</v>
      </c>
      <c r="F609">
        <v>0.67957000000000001</v>
      </c>
      <c r="G609" s="1" t="s">
        <v>32</v>
      </c>
      <c r="K609" t="str">
        <f>HYPERLINK("https://lindat.mff.cuni.cz/services/SynSemClass55/SynSemClass55.html?veclass=vec00178", "vec00178 / zajistit (v41pvyA)")</f>
        <v>vec00178 / zajistit (v41pvyA)</v>
      </c>
      <c r="L609">
        <v>0.67957000000000001</v>
      </c>
      <c r="M609" t="s">
        <v>33</v>
      </c>
      <c r="P609" t="str">
        <f>HYPERLINK("https://lindat.mff.cuni.cz/services/SynSemClass55/SynSemClass55.html?veclass=vec00024", "vec00024 / chránit (v41bbwA)")</f>
        <v>vec00024 / chránit (v41bbwA)</v>
      </c>
      <c r="Q609">
        <v>0.17810999999999999</v>
      </c>
      <c r="R609" t="s">
        <v>31</v>
      </c>
      <c r="U609" t="str">
        <f>HYPERLINK("https://lindat.mff.cuni.cz/services/SynSemClass55/SynSemClass55.html?veclass=vec00752", "vec00752 / vybavit (v41ntgA)")</f>
        <v>vec00752 / vybavit (v41ntgA)</v>
      </c>
      <c r="V609">
        <v>5.9670000000000001E-2</v>
      </c>
      <c r="W609" t="s">
        <v>29</v>
      </c>
      <c r="Z609" t="str">
        <f>HYPERLINK("https://lindat.mff.cuni.cz/services/SynSemClass55/SynSemClass55.html?veclass=vec00820", "vec00820 / hlídat (v41avsA)")</f>
        <v>vec00820 / hlídat (v41avsA)</v>
      </c>
      <c r="AA609">
        <v>5.2920000000000002E-2</v>
      </c>
      <c r="AB609" t="s">
        <v>29</v>
      </c>
      <c r="AE609" t="str">
        <f>HYPERLINK("https://lindat.mff.cuni.cz/services/SynSemClass55/SynSemClass55.html?veclass=vec01503", "vec01503 / odstínit (v41ekaA)")</f>
        <v>vec01503 / odstínit (v41ekaA)</v>
      </c>
      <c r="AF609">
        <v>4.2040000000000001E-2</v>
      </c>
      <c r="AG609" t="s">
        <v>29</v>
      </c>
    </row>
    <row r="611" spans="1:33" x14ac:dyDescent="0.2">
      <c r="A611" t="str">
        <f>HYPERLINK("https://lindat.mff.cuni.cz/services/PDT-Vallex4.5/PDT-Vallex4.5.html?verb=začínat si", "začínat si")</f>
        <v>začínat si</v>
      </c>
      <c r="B611" t="str">
        <f>HYPERLINK("https://lindat.mff.cuni.cz/services/PDT-Vallex4.5/PDT-Vallex4.5.html?verb=začínat si#v41pqzA", "v41pqzA")</f>
        <v>v41pqzA</v>
      </c>
      <c r="E611">
        <v>5000</v>
      </c>
      <c r="F611">
        <v>0.44388</v>
      </c>
      <c r="G611" s="1">
        <v>0</v>
      </c>
      <c r="I611" s="1" t="s">
        <v>226</v>
      </c>
      <c r="K611" t="str">
        <f>HYPERLINK("https://lindat.mff.cuni.cz/services/SynSemClass55/SynSemClass55.html?veclass=vec01555", "vec01555 / jmout se (v41bisA)")</f>
        <v>vec01555 / jmout se (v41bisA)</v>
      </c>
      <c r="L611">
        <v>0.44388</v>
      </c>
      <c r="M611" t="s">
        <v>29</v>
      </c>
      <c r="P611" t="str">
        <f>HYPERLINK("https://lindat.mff.cuni.cz/services/SynSemClass55/SynSemClass55.html?veclass=vec00097", "vec00097 / přicházet (v41irqL)")</f>
        <v>vec00097 / přicházet (v41irqL)</v>
      </c>
      <c r="Q611">
        <v>0.18737999999999999</v>
      </c>
      <c r="R611" t="s">
        <v>29</v>
      </c>
      <c r="U611" t="str">
        <f>HYPERLINK("https://lindat.mff.cuni.cz/services/SynSemClass55/SynSemClass55.html?veclass=vec01876", "vec01876 / rozpracovávat (v41jwrA)")</f>
        <v>vec01876 / rozpracovávat (v41jwrA)</v>
      </c>
      <c r="V611">
        <v>5.3530000000000001E-2</v>
      </c>
      <c r="W611" t="s">
        <v>29</v>
      </c>
      <c r="Z611" t="str">
        <f>HYPERLINK("https://lindat.mff.cuni.cz/services/SynSemClass55/SynSemClass55.html?veclass=vec00500", "vec00500 / přikročit (v41itcA)")</f>
        <v>vec00500 / přikročit (v41itcA)</v>
      </c>
      <c r="AA611">
        <v>1.8950000000000002E-2</v>
      </c>
      <c r="AB611" t="s">
        <v>29</v>
      </c>
      <c r="AE611" t="str">
        <f>HYPERLINK("https://lindat.mff.cuni.cz/services/SynSemClass55/SynSemClass55.html?veclass=vec00038", "vec00038 / nastartovat (v41dcfA)")</f>
        <v>vec00038 / nastartovat (v41dcfA)</v>
      </c>
      <c r="AF611">
        <v>1.8110000000000001E-2</v>
      </c>
      <c r="AG611" t="s">
        <v>29</v>
      </c>
    </row>
    <row r="613" spans="1:33" x14ac:dyDescent="0.2">
      <c r="A613" t="str">
        <f>HYPERLINK("https://lindat.mff.cuni.cz/services/PDT-Vallex4.5/PDT-Vallex4.5.html?verb=začít si", "začít si")</f>
        <v>začít si</v>
      </c>
      <c r="B613" t="str">
        <f>HYPERLINK("https://lindat.mff.cuni.cz/services/PDT-Vallex4.5/PDT-Vallex4.5.html?verb=začít si#v41prcA", "v41prcA")</f>
        <v>v41prcA</v>
      </c>
      <c r="E613">
        <v>5000</v>
      </c>
      <c r="F613">
        <v>0.35186000000000001</v>
      </c>
      <c r="G613" s="1">
        <v>0</v>
      </c>
      <c r="I613" s="1" t="s">
        <v>226</v>
      </c>
      <c r="K613" t="str">
        <f>HYPERLINK("https://lindat.mff.cuni.cz/services/SynSemClass55/SynSemClass55.html?veclass=vec01555", "vec01555 / jmout se (v41bisA)")</f>
        <v>vec01555 / jmout se (v41bisA)</v>
      </c>
      <c r="L613">
        <v>0.35186000000000001</v>
      </c>
      <c r="M613" t="s">
        <v>29</v>
      </c>
      <c r="P613" t="str">
        <f>HYPERLINK("https://lindat.mff.cuni.cz/services/SynSemClass55/SynSemClass55.html?veclass=vec00097", "vec00097 / přicházet (v41irqL)")</f>
        <v>vec00097 / přicházet (v41irqL)</v>
      </c>
      <c r="Q613">
        <v>7.7359999999999998E-2</v>
      </c>
      <c r="R613" t="s">
        <v>29</v>
      </c>
      <c r="U613" t="str">
        <f>HYPERLINK("https://lindat.mff.cuni.cz/services/SynSemClass55/SynSemClass55.html?veclass=vec01876", "vec01876 / rozpracovávat (v41jwrA)")</f>
        <v>vec01876 / rozpracovávat (v41jwrA)</v>
      </c>
      <c r="V613">
        <v>5.425E-2</v>
      </c>
      <c r="W613" t="s">
        <v>29</v>
      </c>
      <c r="Z613" t="str">
        <f>HYPERLINK("https://lindat.mff.cuni.cz/services/SynSemClass55/SynSemClass55.html?veclass=vec00500", "vec00500 / přikročit (v41itcA)")</f>
        <v>vec00500 / přikročit (v41itcA)</v>
      </c>
      <c r="AA613">
        <v>3.6900000000000002E-2</v>
      </c>
      <c r="AB613" t="s">
        <v>29</v>
      </c>
      <c r="AE613" t="str">
        <f>HYPERLINK("https://lindat.mff.cuni.cz/services/SynSemClass55/SynSemClass55.html?veclass=vec00038", "vec00038 / nastartovat (v41dcfA)")</f>
        <v>vec00038 / nastartovat (v41dcfA)</v>
      </c>
      <c r="AF613">
        <v>1.9869999999999999E-2</v>
      </c>
      <c r="AG613" t="s">
        <v>29</v>
      </c>
    </row>
    <row r="615" spans="1:33" x14ac:dyDescent="0.2">
      <c r="A615" t="str">
        <f>HYPERLINK("https://lindat.mff.cuni.cz/services/PDT-Vallex4.5/PDT-Vallex4.5.html?verb=zadusit", "zadusit")</f>
        <v>zadusit</v>
      </c>
      <c r="B615" t="str">
        <f>HYPERLINK("https://lindat.mff.cuni.cz/services/PDT-Vallex4.5/PDT-Vallex4.5.html?verb=zadusit#v41pshA", "v41pshA")</f>
        <v>v41pshA</v>
      </c>
      <c r="E615">
        <v>213</v>
      </c>
      <c r="F615">
        <v>0.13077</v>
      </c>
      <c r="G615" s="1" t="s">
        <v>227</v>
      </c>
      <c r="K615" t="str">
        <f>HYPERLINK("https://lindat.mff.cuni.cz/services/SynSemClass55/SynSemClass55.html?veclass=vec01549", "vec01549 / dusit se (v41alzA)")</f>
        <v>vec01549 / dusit se (v41alzA)</v>
      </c>
      <c r="L615">
        <v>0.13077</v>
      </c>
      <c r="M615" t="s">
        <v>29</v>
      </c>
      <c r="P615" t="str">
        <f>HYPERLINK("https://lindat.mff.cuni.cz/services/SynSemClass55/SynSemClass55.html?veclass=vec01514", "vec01514 / předávkovat (v41hvjA)")</f>
        <v>vec01514 / předávkovat (v41hvjA)</v>
      </c>
      <c r="Q615">
        <v>9.2799999999999994E-2</v>
      </c>
      <c r="R615" t="s">
        <v>29</v>
      </c>
      <c r="U615" t="str">
        <f>HYPERLINK("https://lindat.mff.cuni.cz/services/SynSemClass55/SynSemClass55.html?veclass=vec00091", "vec00091 / přebít (v41hueA)")</f>
        <v>vec00091 / přebít (v41hueA)</v>
      </c>
      <c r="V615">
        <v>8.1420000000000006E-2</v>
      </c>
      <c r="W615" t="s">
        <v>29</v>
      </c>
      <c r="Z615" t="str">
        <f>HYPERLINK("https://lindat.mff.cuni.cz/services/SynSemClass55/SynSemClass55.html?veclass=vec01940", "vec01940 / vylekat se (v41ohtA)")</f>
        <v>vec01940 / vylekat se (v41ohtA)</v>
      </c>
      <c r="AA615">
        <v>4.2299999999999997E-2</v>
      </c>
      <c r="AB615" t="s">
        <v>29</v>
      </c>
      <c r="AE615" t="str">
        <f>HYPERLINK("https://lindat.mff.cuni.cz/services/SynSemClass55/SynSemClass55.html?veclass=vec00576", "vec00576 / zaplavit (v41qflC)")</f>
        <v>vec00576 / zaplavit (v41qflC)</v>
      </c>
      <c r="AF615">
        <v>4.0129999999999999E-2</v>
      </c>
      <c r="AG615" t="s">
        <v>29</v>
      </c>
    </row>
    <row r="617" spans="1:33" x14ac:dyDescent="0.2">
      <c r="A617" t="str">
        <f>HYPERLINK("https://lindat.mff.cuni.cz/services/PDT-Vallex4.5/PDT-Vallex4.5.html?verb=zadělat", "zadělat")</f>
        <v>zadělat</v>
      </c>
      <c r="B617" t="str">
        <f>HYPERLINK("https://lindat.mff.cuni.cz/services/PDT-Vallex4.5/PDT-Vallex4.5.html?verb=zadělat#v41prrA", "v41prrA")</f>
        <v>v41prrA</v>
      </c>
      <c r="E617">
        <v>45</v>
      </c>
      <c r="F617">
        <v>6.1499999999999999E-2</v>
      </c>
      <c r="G617" s="1" t="s">
        <v>32</v>
      </c>
      <c r="K617" t="str">
        <f>HYPERLINK("https://lindat.mff.cuni.cz/services/SynSemClass55/SynSemClass55.html?veclass=vec00169", "vec00169 / vytěžit (v41pcrA)")</f>
        <v>vec00169 / vytěžit (v41pcrA)</v>
      </c>
      <c r="L617">
        <v>6.1499999999999999E-2</v>
      </c>
      <c r="M617" t="s">
        <v>29</v>
      </c>
      <c r="P617" t="str">
        <f>HYPERLINK("https://lindat.mff.cuni.cz/services/SynSemClass55/SynSemClass55.html?veclass=vec00196", "vec00196 / způsobit (v41rvuB)")</f>
        <v>vec00196 / způsobit (v41rvuB)</v>
      </c>
      <c r="Q617">
        <v>4.3610000000000003E-2</v>
      </c>
      <c r="R617" t="s">
        <v>33</v>
      </c>
      <c r="U617" t="str">
        <f>HYPERLINK("https://lindat.mff.cuni.cz/services/SynSemClass55/SynSemClass55.html?veclass=vec00104", "vec00104 / riskovat (v41jkvA)")</f>
        <v>vec00104 / riskovat (v41jkvA)</v>
      </c>
      <c r="V617">
        <v>4.2959999999999998E-2</v>
      </c>
      <c r="W617" t="s">
        <v>29</v>
      </c>
      <c r="Z617" t="str">
        <f>HYPERLINK("https://lindat.mff.cuni.cz/services/SynSemClass55/SynSemClass55.html?veclass=vec00589", "vec00589 / zmást (v41rjtA)")</f>
        <v>vec00589 / zmást (v41rjtA)</v>
      </c>
      <c r="AA617">
        <v>3.9359999999999999E-2</v>
      </c>
      <c r="AB617" t="s">
        <v>29</v>
      </c>
      <c r="AE617" t="str">
        <f>HYPERLINK("https://lindat.mff.cuni.cz/services/SynSemClass55/SynSemClass55.html?veclass=vec00884", "vec00884 / proklestit (v41hfxA)")</f>
        <v>vec00884 / proklestit (v41hfxA)</v>
      </c>
      <c r="AF617">
        <v>3.6020000000000003E-2</v>
      </c>
      <c r="AG617" t="s">
        <v>29</v>
      </c>
    </row>
    <row r="619" spans="1:33" x14ac:dyDescent="0.2">
      <c r="A619" t="str">
        <f>HYPERLINK("https://lindat.mff.cuni.cz/services/PDT-Vallex4.5/PDT-Vallex4.5.html?verb=zachytávat", "zachytávat")</f>
        <v>zachytávat</v>
      </c>
      <c r="B619" t="str">
        <f>HYPERLINK("https://lindat.mff.cuni.cz/services/PDT-Vallex4.5/PDT-Vallex4.5.html?verb=zachytávat#v41pvdA", "v41pvdA")</f>
        <v>v41pvdA</v>
      </c>
      <c r="E619">
        <v>59</v>
      </c>
      <c r="F619">
        <v>0.11815000000000001</v>
      </c>
      <c r="G619" s="1" t="s">
        <v>228</v>
      </c>
      <c r="K619" t="str">
        <f>HYPERLINK("https://lindat.mff.cuni.cz/services/SynSemClass55/SynSemClass55.html?veclass=vec00615", "vec00615 / chytit (v41bczB)")</f>
        <v>vec00615 / chytit (v41bczB)</v>
      </c>
      <c r="L619">
        <v>0.11815000000000001</v>
      </c>
      <c r="M619" t="s">
        <v>29</v>
      </c>
      <c r="P619" t="str">
        <f>HYPERLINK("https://lindat.mff.cuni.cz/services/SynSemClass55/SynSemClass55.html?veclass=vec01478", "vec01478 / zachytit (v41pveC)")</f>
        <v>vec01478 / zachytit (v41pveC)</v>
      </c>
      <c r="Q619">
        <v>7.7280000000000001E-2</v>
      </c>
      <c r="R619" t="s">
        <v>29</v>
      </c>
      <c r="U619" t="str">
        <f>HYPERLINK("https://lindat.mff.cuni.cz/services/SynSemClass55/SynSemClass55.html?veclass=vec01169", "vec01169 / zachytit (v41pveE)")</f>
        <v>vec01169 / zachytit (v41pveE)</v>
      </c>
      <c r="V619">
        <v>7.4149999999999994E-2</v>
      </c>
      <c r="W619" t="s">
        <v>29</v>
      </c>
      <c r="Z619" t="str">
        <f>HYPERLINK("https://lindat.mff.cuni.cz/services/SynSemClass55/SynSemClass55.html?veclass=vec01369", "vec01369 / zadrhnout se (v41pscA)")</f>
        <v>vec01369 / zadrhnout se (v41pscA)</v>
      </c>
      <c r="AA619">
        <v>6.0760000000000002E-2</v>
      </c>
      <c r="AB619" t="s">
        <v>29</v>
      </c>
      <c r="AE619" t="str">
        <f>HYPERLINK("https://lindat.mff.cuni.cz/services/SynSemClass55/SynSemClass55.html?veclass=vec01168", "vec01168 / zachytit (v41pveA)")</f>
        <v>vec01168 / zachytit (v41pveA)</v>
      </c>
      <c r="AF619">
        <v>5.382E-2</v>
      </c>
      <c r="AG619" t="s">
        <v>29</v>
      </c>
    </row>
    <row r="621" spans="1:33" x14ac:dyDescent="0.2">
      <c r="A621" t="str">
        <f>HYPERLINK("https://lindat.mff.cuni.cz/services/PDT-Vallex4.5/PDT-Vallex4.5.html?verb=zaklínit", "zaklínit")</f>
        <v>zaklínit</v>
      </c>
      <c r="B621" t="str">
        <f>HYPERLINK("https://lindat.mff.cuni.cz/services/PDT-Vallex4.5/PDT-Vallex4.5.html?verb=zaklínit#v41pxcB", "v41pxcB")</f>
        <v>v41pxcB</v>
      </c>
      <c r="E621">
        <v>80</v>
      </c>
      <c r="F621">
        <v>8.2989999999999994E-2</v>
      </c>
      <c r="G621" s="1">
        <v>0</v>
      </c>
      <c r="I621" s="1" t="s">
        <v>229</v>
      </c>
      <c r="K621" t="str">
        <f>HYPERLINK("https://lindat.mff.cuni.cz/services/SynSemClass55/SynSemClass55.html?veclass=vec00833", "vec00833 / mačkat se (v41cdaA)")</f>
        <v>vec00833 / mačkat se (v41cdaA)</v>
      </c>
      <c r="L621">
        <v>8.2989999999999994E-2</v>
      </c>
      <c r="M621" t="s">
        <v>29</v>
      </c>
      <c r="P621" t="str">
        <f>HYPERLINK("https://lindat.mff.cuni.cz/services/SynSemClass55/SynSemClass55.html?veclass=vec00735", "vec00735 / umístit (v41motA)")</f>
        <v>vec00735 / umístit (v41motA)</v>
      </c>
      <c r="Q621">
        <v>6.1469999999999997E-2</v>
      </c>
      <c r="R621" t="s">
        <v>29</v>
      </c>
      <c r="U621" t="str">
        <f>HYPERLINK("https://lindat.mff.cuni.cz/services/SynSemClass55/SynSemClass55.html?veclass=vec01342", "vec01342 / uzamknout (v41nefA)")</f>
        <v>vec01342 / uzamknout (v41nefA)</v>
      </c>
      <c r="V621">
        <v>5.6370000000000003E-2</v>
      </c>
      <c r="W621" t="s">
        <v>29</v>
      </c>
      <c r="Z621" t="str">
        <f>HYPERLINK("https://lindat.mff.cuni.cz/services/SynSemClass55/SynSemClass55.html?veclass=vec01500", "vec01500 / obouvat (v41drsA)")</f>
        <v>vec01500 / obouvat (v41drsA)</v>
      </c>
      <c r="AA621">
        <v>5.4879999999999998E-2</v>
      </c>
      <c r="AB621" t="s">
        <v>29</v>
      </c>
      <c r="AE621" t="str">
        <f>HYPERLINK("https://lindat.mff.cuni.cz/services/SynSemClass55/SynSemClass55.html?veclass=vec00899", "vec00899 / připevnit (v41ivdA)")</f>
        <v>vec00899 / připevnit (v41ivdA)</v>
      </c>
      <c r="AF621">
        <v>4.8710000000000003E-2</v>
      </c>
      <c r="AG621" t="s">
        <v>29</v>
      </c>
    </row>
    <row r="623" spans="1:33" x14ac:dyDescent="0.2">
      <c r="A623" t="str">
        <f>HYPERLINK("https://lindat.mff.cuni.cz/services/PDT-Vallex4.5/PDT-Vallex4.5.html?verb=zanalyzovat", "zanalyzovat")</f>
        <v>zanalyzovat</v>
      </c>
      <c r="B623" t="str">
        <f>HYPERLINK("https://lindat.mff.cuni.cz/services/PDT-Vallex4.5/PDT-Vallex4.5.html?verb=zanalyzovat#v41qcyA", "v41qcyA")</f>
        <v>v41qcyA</v>
      </c>
      <c r="E623">
        <v>5</v>
      </c>
      <c r="F623">
        <v>0.37613000000000002</v>
      </c>
      <c r="G623" s="1" t="s">
        <v>32</v>
      </c>
      <c r="K623" t="str">
        <f>HYPERLINK("https://lindat.mff.cuni.cz/services/SynSemClass55/SynSemClass55.html?veclass=vec00090", "vec00090 / prozkoumat (v41hsgA)")</f>
        <v>vec00090 / prozkoumat (v41hsgA)</v>
      </c>
      <c r="L623">
        <v>0.37613000000000002</v>
      </c>
      <c r="M623" t="s">
        <v>31</v>
      </c>
      <c r="P623" t="str">
        <f>HYPERLINK("https://lindat.mff.cuni.cz/services/SynSemClass55/SynSemClass55.html?veclass=vec01304", "vec01304 / revidovat (v41jjxA)")</f>
        <v>vec01304 / revidovat (v41jjxA)</v>
      </c>
      <c r="Q623">
        <v>0.25901999999999997</v>
      </c>
      <c r="R623" t="s">
        <v>29</v>
      </c>
      <c r="U623" t="str">
        <f>HYPERLINK("https://lindat.mff.cuni.cz/services/SynSemClass55/SynSemClass55.html?veclass=vec01515", "vec01515 / přeměřovat (v41iegA)")</f>
        <v>vec01515 / přeměřovat (v41iegA)</v>
      </c>
      <c r="V623">
        <v>5.2990000000000002E-2</v>
      </c>
      <c r="W623" t="s">
        <v>29</v>
      </c>
      <c r="Z623" t="str">
        <f>HYPERLINK("https://lindat.mff.cuni.cz/services/SynSemClass55/SynSemClass55.html?veclass=vec00879", "vec00879 / probrat se (v41hapB)")</f>
        <v>vec00879 / probrat se (v41hapB)</v>
      </c>
      <c r="AA623">
        <v>3.168E-2</v>
      </c>
      <c r="AB623" t="s">
        <v>29</v>
      </c>
      <c r="AE623" t="str">
        <f>HYPERLINK("https://lindat.mff.cuni.cz/services/SynSemClass55/SynSemClass55.html?veclass=vec01353", "vec01353 / vyprávět (v41orhA)")</f>
        <v>vec01353 / vyprávět (v41orhA)</v>
      </c>
      <c r="AF623">
        <v>2.4670000000000001E-2</v>
      </c>
      <c r="AG623" t="s">
        <v>29</v>
      </c>
    </row>
    <row r="625" spans="1:33" x14ac:dyDescent="0.2">
      <c r="A625" t="str">
        <f>HYPERLINK("https://lindat.mff.cuni.cz/services/PDT-Vallex4.5/PDT-Vallex4.5.html?verb=zaplombovat", "zaplombovat")</f>
        <v>zaplombovat</v>
      </c>
      <c r="B625" t="str">
        <f>HYPERLINK("https://lindat.mff.cuni.cz/services/PDT-Vallex4.5/PDT-Vallex4.5.html?verb=zaplombovat#v41qfvA", "v41qfvA")</f>
        <v>v41qfvA</v>
      </c>
      <c r="E625">
        <v>10</v>
      </c>
      <c r="F625">
        <v>6.5299999999999997E-2</v>
      </c>
      <c r="G625" s="1" t="s">
        <v>189</v>
      </c>
      <c r="K625" t="str">
        <f>HYPERLINK("https://lindat.mff.cuni.cz/services/SynSemClass55/SynSemClass55.html?veclass=vec01216", "vec01216 / hrabat se (v41aygA)")</f>
        <v>vec01216 / hrabat se (v41aygA)</v>
      </c>
      <c r="L625">
        <v>6.5299999999999997E-2</v>
      </c>
      <c r="M625" t="s">
        <v>29</v>
      </c>
      <c r="P625" t="str">
        <f>HYPERLINK("https://lindat.mff.cuni.cz/services/SynSemClass55/SynSemClass55.html?veclass=vec01250", "vec01250 / opracovávat (v41ewzA)")</f>
        <v>vec01250 / opracovávat (v41ewzA)</v>
      </c>
      <c r="Q625">
        <v>5.8090000000000003E-2</v>
      </c>
      <c r="R625" t="s">
        <v>29</v>
      </c>
      <c r="U625" t="str">
        <f>HYPERLINK("https://lindat.mff.cuni.cz/services/SynSemClass55/SynSemClass55.html?veclass=vec00943", "vec00943 / utáhnout (v41mzjC)")</f>
        <v>vec00943 / utáhnout (v41mzjC)</v>
      </c>
      <c r="V625">
        <v>5.3809999999999997E-2</v>
      </c>
      <c r="W625" t="s">
        <v>29</v>
      </c>
      <c r="Z625" t="str">
        <f>HYPERLINK("https://lindat.mff.cuni.cz/services/SynSemClass55/SynSemClass55.html?veclass=vec00932", "vec00932 / strčit (v41lmaE)")</f>
        <v>vec00932 / strčit (v41lmaE)</v>
      </c>
      <c r="AA625">
        <v>5.3780000000000001E-2</v>
      </c>
      <c r="AB625" t="s">
        <v>29</v>
      </c>
      <c r="AE625" t="str">
        <f>HYPERLINK("https://lindat.mff.cuni.cz/services/SynSemClass55/SynSemClass55.html?veclass=vec01342", "vec01342 / uzamknout (v41nefA)")</f>
        <v>vec01342 / uzamknout (v41nefA)</v>
      </c>
      <c r="AF625">
        <v>4.5830000000000003E-2</v>
      </c>
      <c r="AG625" t="s">
        <v>29</v>
      </c>
    </row>
    <row r="627" spans="1:33" x14ac:dyDescent="0.2">
      <c r="A627" t="str">
        <f>HYPERLINK("https://lindat.mff.cuni.cz/services/PDT-Vallex4.5/PDT-Vallex4.5.html?verb=zapraskat", "zapraskat")</f>
        <v>zapraskat</v>
      </c>
      <c r="B627" t="str">
        <f>HYPERLINK("https://lindat.mff.cuni.cz/services/PDT-Vallex4.5/PDT-Vallex4.5.html?verb=zapraskat#v41qhbA", "v41qhbA")</f>
        <v>v41qhbA</v>
      </c>
      <c r="E627">
        <v>276</v>
      </c>
      <c r="F627">
        <v>0.32512999999999997</v>
      </c>
      <c r="G627" s="1">
        <v>0</v>
      </c>
      <c r="I627" s="1" t="s">
        <v>47</v>
      </c>
      <c r="K627" t="str">
        <f>HYPERLINK("https://lindat.mff.cuni.cz/services/SynSemClass55/SynSemClass55.html?veclass=vec00681", "vec00681 / prasknout (v41gykA)")</f>
        <v>vec00681 / prasknout (v41gykA)</v>
      </c>
      <c r="L627">
        <v>0.32512999999999997</v>
      </c>
      <c r="M627" t="s">
        <v>29</v>
      </c>
      <c r="P627" t="str">
        <f>HYPERLINK("https://lindat.mff.cuni.cz/services/SynSemClass55/SynSemClass55.html?veclass=vec01348", "vec01348 / vrčet (v41nqjC)")</f>
        <v>vec01348 / vrčet (v41nqjC)</v>
      </c>
      <c r="Q627">
        <v>6.5540000000000001E-2</v>
      </c>
      <c r="R627" t="s">
        <v>29</v>
      </c>
      <c r="U627" t="str">
        <f>HYPERLINK("https://lindat.mff.cuni.cz/services/SynSemClass55/SynSemClass55.html?veclass=vec01517", "vec01517 / rozhořet se (v41jquA)")</f>
        <v>vec01517 / rozhořet se (v41jquA)</v>
      </c>
      <c r="V627">
        <v>3.4450000000000001E-2</v>
      </c>
      <c r="W627" t="s">
        <v>29</v>
      </c>
      <c r="Z627" t="str">
        <f>HYPERLINK("https://lindat.mff.cuni.cz/services/SynSemClass55/SynSemClass55.html?veclass=vec01587", "vec01587 / omdlít (v41etaA)")</f>
        <v>vec01587 / omdlít (v41etaA)</v>
      </c>
      <c r="AA627">
        <v>3.338E-2</v>
      </c>
      <c r="AB627" t="s">
        <v>29</v>
      </c>
      <c r="AE627" t="str">
        <f>HYPERLINK("https://lindat.mff.cuni.cz/services/SynSemClass55/SynSemClass55.html?veclass=vec01254", "vec01254 / ozvat se (v41fgkC)")</f>
        <v>vec01254 / ozvat se (v41fgkC)</v>
      </c>
      <c r="AF627">
        <v>3.0300000000000001E-2</v>
      </c>
      <c r="AG627" t="s">
        <v>29</v>
      </c>
    </row>
    <row r="628" spans="1:33" x14ac:dyDescent="0.2">
      <c r="A628" t="str">
        <f>HYPERLINK("https://lindat.mff.cuni.cz/services/PDT-Vallex4.5/PDT-Vallex4.5.html?verb=zapraskat", "zapraskat")</f>
        <v>zapraskat</v>
      </c>
      <c r="B628" t="str">
        <f>HYPERLINK("https://lindat.mff.cuni.cz/services/PDT-Vallex4.5/PDT-Vallex4.5.html?verb=zapraskat#v41qhbB", "v41qhbB")</f>
        <v>v41qhbB</v>
      </c>
      <c r="E628">
        <v>276</v>
      </c>
      <c r="F628">
        <v>0.32512999999999997</v>
      </c>
      <c r="G628" s="1">
        <v>0</v>
      </c>
      <c r="I628" s="1" t="s">
        <v>47</v>
      </c>
      <c r="K628" t="str">
        <f>HYPERLINK("https://lindat.mff.cuni.cz/services/SynSemClass55/SynSemClass55.html?veclass=vec00681", "vec00681 / prasknout (v41gykA)")</f>
        <v>vec00681 / prasknout (v41gykA)</v>
      </c>
      <c r="L628">
        <v>0.32512999999999997</v>
      </c>
      <c r="M628" t="s">
        <v>29</v>
      </c>
      <c r="P628" t="str">
        <f>HYPERLINK("https://lindat.mff.cuni.cz/services/SynSemClass55/SynSemClass55.html?veclass=vec01348", "vec01348 / vrčet (v41nqjC)")</f>
        <v>vec01348 / vrčet (v41nqjC)</v>
      </c>
      <c r="Q628">
        <v>6.5540000000000001E-2</v>
      </c>
      <c r="R628" t="s">
        <v>29</v>
      </c>
      <c r="U628" t="str">
        <f>HYPERLINK("https://lindat.mff.cuni.cz/services/SynSemClass55/SynSemClass55.html?veclass=vec01517", "vec01517 / rozhořet se (v41jquA)")</f>
        <v>vec01517 / rozhořet se (v41jquA)</v>
      </c>
      <c r="V628">
        <v>3.4450000000000001E-2</v>
      </c>
      <c r="W628" t="s">
        <v>29</v>
      </c>
      <c r="Z628" t="str">
        <f>HYPERLINK("https://lindat.mff.cuni.cz/services/SynSemClass55/SynSemClass55.html?veclass=vec01587", "vec01587 / omdlít (v41etaA)")</f>
        <v>vec01587 / omdlít (v41etaA)</v>
      </c>
      <c r="AA628">
        <v>3.338E-2</v>
      </c>
      <c r="AB628" t="s">
        <v>29</v>
      </c>
      <c r="AE628" t="str">
        <f>HYPERLINK("https://lindat.mff.cuni.cz/services/SynSemClass55/SynSemClass55.html?veclass=vec01254", "vec01254 / ozvat se (v41fgkC)")</f>
        <v>vec01254 / ozvat se (v41fgkC)</v>
      </c>
      <c r="AF628">
        <v>3.0300000000000001E-2</v>
      </c>
      <c r="AG628" t="s">
        <v>29</v>
      </c>
    </row>
    <row r="630" spans="1:33" x14ac:dyDescent="0.2">
      <c r="A630" t="str">
        <f>HYPERLINK("https://lindat.mff.cuni.cz/services/PDT-Vallex4.5/PDT-Vallex4.5.html?verb=zapsat se", "zapsat se")</f>
        <v>zapsat se</v>
      </c>
      <c r="B630" t="str">
        <f>HYPERLINK("https://lindat.mff.cuni.cz/services/PDT-Vallex4.5/PDT-Vallex4.5.html?verb=zapsat se#v41qhtA", "v41qhtA")</f>
        <v>v41qhtA</v>
      </c>
      <c r="E630">
        <v>1138</v>
      </c>
      <c r="F630">
        <v>0.36962</v>
      </c>
      <c r="G630" s="1" t="s">
        <v>32</v>
      </c>
      <c r="K630" t="str">
        <f>HYPERLINK("https://lindat.mff.cuni.cz/services/SynSemClass55/SynSemClass55.html?veclass=vec01345", "vec01345 / vepsat (v41njiA)")</f>
        <v>vec01345 / vepsat (v41njiA)</v>
      </c>
      <c r="L630">
        <v>0.36962</v>
      </c>
      <c r="M630" t="s">
        <v>29</v>
      </c>
      <c r="P630" t="str">
        <f>HYPERLINK("https://lindat.mff.cuni.cz/services/SynSemClass55/SynSemClass55.html?veclass=vec00507", "vec00507 / registrovat (v41jheB)")</f>
        <v>vec00507 / registrovat (v41jheB)</v>
      </c>
      <c r="Q630">
        <v>0.21068000000000001</v>
      </c>
      <c r="R630" t="s">
        <v>29</v>
      </c>
      <c r="U630" t="str">
        <f>HYPERLINK("https://lindat.mff.cuni.cz/services/SynSemClass55/SynSemClass55.html?veclass=vec00037", "vec00037 / napsat (v41cyqJ)")</f>
        <v>vec00037 / napsat (v41cyqJ)</v>
      </c>
      <c r="V630">
        <v>8.0210000000000004E-2</v>
      </c>
      <c r="W630" t="s">
        <v>29</v>
      </c>
      <c r="Z630" t="str">
        <f>HYPERLINK("https://lindat.mff.cuni.cz/services/SynSemClass55/SynSemClass55.html?veclass=vec00239", "vec00239 / nastoupit (v41dcwD)")</f>
        <v>vec00239 / nastoupit (v41dcwD)</v>
      </c>
      <c r="AA630">
        <v>4.5609999999999998E-2</v>
      </c>
      <c r="AB630" t="s">
        <v>31</v>
      </c>
      <c r="AE630" t="str">
        <f>HYPERLINK("https://lindat.mff.cuni.cz/services/SynSemClass55/SynSemClass55.html?veclass=vec01249", "vec01249 / opisovat (v41evuA)")</f>
        <v>vec01249 / opisovat (v41evuA)</v>
      </c>
      <c r="AF630">
        <v>2.1129999999999999E-2</v>
      </c>
      <c r="AG630" t="s">
        <v>29</v>
      </c>
    </row>
    <row r="632" spans="1:33" x14ac:dyDescent="0.2">
      <c r="A632" t="str">
        <f>HYPERLINK("https://lindat.mff.cuni.cz/services/PDT-Vallex4.5/PDT-Vallex4.5.html?verb=zastírat", "zastírat")</f>
        <v>zastírat</v>
      </c>
      <c r="B632" t="str">
        <f>HYPERLINK("https://lindat.mff.cuni.cz/services/PDT-Vallex4.5/PDT-Vallex4.5.html?verb=zastírat#v41qmoA", "v41qmoA")</f>
        <v>v41qmoA</v>
      </c>
      <c r="E632">
        <v>164</v>
      </c>
      <c r="F632">
        <v>0.68518999999999997</v>
      </c>
      <c r="G632" s="1" t="s">
        <v>32</v>
      </c>
      <c r="K632" t="str">
        <f>HYPERLINK("https://lindat.mff.cuni.cz/services/SynSemClass55/SynSemClass55.html?veclass=vec00514", "vec00514 / skrýt (v41krqB)")</f>
        <v>vec00514 / skrýt (v41krqB)</v>
      </c>
      <c r="L632">
        <v>0.68518999999999997</v>
      </c>
      <c r="M632" t="s">
        <v>31</v>
      </c>
      <c r="P632" t="str">
        <f>HYPERLINK("https://lindat.mff.cuni.cz/services/SynSemClass55/SynSemClass55.html?veclass=vec00770", "vec00770 / zamlžit (v41qcdA)")</f>
        <v>vec00770 / zamlžit (v41qcdA)</v>
      </c>
      <c r="Q632">
        <v>0.11604</v>
      </c>
      <c r="R632" t="s">
        <v>29</v>
      </c>
      <c r="U632" t="str">
        <f>HYPERLINK("https://lindat.mff.cuni.cz/services/SynSemClass55/SynSemClass55.html?veclass=vec00693", "vec00693 / předstírat (v41hysA)")</f>
        <v>vec00693 / předstírat (v41hysA)</v>
      </c>
      <c r="V632">
        <v>2.155E-2</v>
      </c>
      <c r="W632" t="s">
        <v>29</v>
      </c>
      <c r="Z632" t="str">
        <f>HYPERLINK("https://lindat.mff.cuni.cz/services/SynSemClass55/SynSemClass55.html?veclass=vec00872", "vec00872 / pokrýt (v41gbrC)")</f>
        <v>vec00872 / pokrýt (v41gbrC)</v>
      </c>
      <c r="AA632">
        <v>2.0840000000000001E-2</v>
      </c>
      <c r="AB632" t="s">
        <v>29</v>
      </c>
      <c r="AE632" t="str">
        <f>HYPERLINK("https://lindat.mff.cuni.cz/services/SynSemClass55/SynSemClass55.html?veclass=vec01234", "vec01234 / naznačovat (v41dhzB)")</f>
        <v>vec01234 / naznačovat (v41dhzB)</v>
      </c>
      <c r="AF632">
        <v>2.0389999999999998E-2</v>
      </c>
      <c r="AG632" t="s">
        <v>29</v>
      </c>
    </row>
    <row r="634" spans="1:33" x14ac:dyDescent="0.2">
      <c r="A634" t="str">
        <f>HYPERLINK("https://lindat.mff.cuni.cz/services/PDT-Vallex4.5/PDT-Vallex4.5.html?verb=zastrkovat", "zastrkovat")</f>
        <v>zastrkovat</v>
      </c>
      <c r="B634" t="str">
        <f>HYPERLINK("https://lindat.mff.cuni.cz/services/PDT-Vallex4.5/PDT-Vallex4.5.html?verb=zastrkovat#v41qmxA", "v41qmxA")</f>
        <v>v41qmxA</v>
      </c>
      <c r="E634">
        <v>55</v>
      </c>
      <c r="F634">
        <v>0.14973</v>
      </c>
      <c r="G634" s="1" t="s">
        <v>230</v>
      </c>
      <c r="H634" s="1" t="s">
        <v>231</v>
      </c>
      <c r="I634" s="1" t="s">
        <v>232</v>
      </c>
      <c r="K634" t="str">
        <f>HYPERLINK("https://lindat.mff.cuni.cz/services/SynSemClass55/SynSemClass55.html?veclass=vec00932", "vec00932 / strčit (v41lmaE)")</f>
        <v>vec00932 / strčit (v41lmaE)</v>
      </c>
      <c r="L634">
        <v>0.14973</v>
      </c>
      <c r="M634" t="s">
        <v>29</v>
      </c>
      <c r="P634" t="str">
        <f>HYPERLINK("https://lindat.mff.cuni.cz/services/SynSemClass55/SynSemClass55.html?veclass=vec00899", "vec00899 / připevnit (v41ivdA)")</f>
        <v>vec00899 / připevnit (v41ivdA)</v>
      </c>
      <c r="Q634">
        <v>8.8169999999999998E-2</v>
      </c>
      <c r="R634" t="s">
        <v>29</v>
      </c>
      <c r="U634" t="str">
        <f>HYPERLINK("https://lindat.mff.cuni.cz/services/SynSemClass55/SynSemClass55.html?veclass=vec00735", "vec00735 / umístit (v41motA)")</f>
        <v>vec00735 / umístit (v41motA)</v>
      </c>
      <c r="V634">
        <v>8.0600000000000005E-2</v>
      </c>
      <c r="W634" t="s">
        <v>29</v>
      </c>
      <c r="Z634" t="str">
        <f>HYPERLINK("https://lindat.mff.cuni.cz/services/SynSemClass55/SynSemClass55.html?veclass=vec01966", "vec01966 / zapustit (v41qiaB)")</f>
        <v>vec01966 / zapustit (v41qiaB)</v>
      </c>
      <c r="AA634">
        <v>6.3670000000000004E-2</v>
      </c>
      <c r="AB634" t="s">
        <v>29</v>
      </c>
      <c r="AE634" t="str">
        <f>HYPERLINK("https://lindat.mff.cuni.cz/services/SynSemClass55/SynSemClass55.html?veclass=vec00943", "vec00943 / utáhnout (v41mzjC)")</f>
        <v>vec00943 / utáhnout (v41mzjC)</v>
      </c>
      <c r="AF634">
        <v>6.2480000000000001E-2</v>
      </c>
      <c r="AG634" t="s">
        <v>29</v>
      </c>
    </row>
    <row r="636" spans="1:33" x14ac:dyDescent="0.2">
      <c r="A636" t="str">
        <f>HYPERLINK("https://lindat.mff.cuni.cz/services/PDT-Vallex4.5/PDT-Vallex4.5.html?verb=zasunout", "zasunout")</f>
        <v>zasunout</v>
      </c>
      <c r="B636" t="str">
        <f>HYPERLINK("https://lindat.mff.cuni.cz/services/PDT-Vallex4.5/PDT-Vallex4.5.html?verb=zasunout#v41qnpA", "v41qnpA")</f>
        <v>v41qnpA</v>
      </c>
      <c r="E636">
        <v>828</v>
      </c>
      <c r="F636">
        <v>0.42471999999999999</v>
      </c>
      <c r="G636" s="1" t="s">
        <v>233</v>
      </c>
      <c r="K636" t="str">
        <f>HYPERLINK("https://lindat.mff.cuni.cz/services/SynSemClass55/SynSemClass55.html?veclass=vec00932", "vec00932 / strčit (v41lmaE)")</f>
        <v>vec00932 / strčit (v41lmaE)</v>
      </c>
      <c r="L636">
        <v>0.42471999999999999</v>
      </c>
      <c r="M636" t="s">
        <v>29</v>
      </c>
      <c r="P636" t="str">
        <f>HYPERLINK("https://lindat.mff.cuni.cz/services/SynSemClass55/SynSemClass55.html?veclass=vec00735", "vec00735 / umístit (v41motA)")</f>
        <v>vec00735 / umístit (v41motA)</v>
      </c>
      <c r="Q636">
        <v>0.19156000000000001</v>
      </c>
      <c r="R636" t="s">
        <v>29</v>
      </c>
      <c r="U636" t="str">
        <f>HYPERLINK("https://lindat.mff.cuni.cz/services/SynSemClass55/SynSemClass55.html?veclass=vec01966", "vec01966 / zapustit (v41qiaB)")</f>
        <v>vec01966 / zapustit (v41qiaB)</v>
      </c>
      <c r="V636">
        <v>0.12870999999999999</v>
      </c>
      <c r="W636" t="s">
        <v>29</v>
      </c>
      <c r="Z636" t="str">
        <f>HYPERLINK("https://lindat.mff.cuni.cz/services/SynSemClass55/SynSemClass55.html?veclass=vec00841", "vec00841 / nacpat (v41cmpB)")</f>
        <v>vec00841 / nacpat (v41cmpB)</v>
      </c>
      <c r="AA636">
        <v>4.0890000000000003E-2</v>
      </c>
      <c r="AB636" t="s">
        <v>29</v>
      </c>
      <c r="AE636" t="str">
        <f>HYPERLINK("https://lindat.mff.cuni.cz/services/SynSemClass55/SynSemClass55.html?veclass=vec01034", "vec01034 / klást (v41bkwE)")</f>
        <v>vec01034 / klást (v41bkwE)</v>
      </c>
      <c r="AF636">
        <v>2.6270000000000002E-2</v>
      </c>
      <c r="AG636" t="s">
        <v>29</v>
      </c>
    </row>
    <row r="638" spans="1:33" x14ac:dyDescent="0.2">
      <c r="A638" t="str">
        <f>HYPERLINK("https://lindat.mff.cuni.cz/services/PDT-Vallex4.5/PDT-Vallex4.5.html?verb=zasvítit", "zasvítit")</f>
        <v>zasvítit</v>
      </c>
      <c r="B638" t="str">
        <f>HYPERLINK("https://lindat.mff.cuni.cz/services/PDT-Vallex4.5/PDT-Vallex4.5.html?verb=zasvítit#v41qnsA", "v41qnsA")</f>
        <v>v41qnsA</v>
      </c>
      <c r="E638">
        <v>274</v>
      </c>
      <c r="F638">
        <v>0.71977000000000002</v>
      </c>
      <c r="G638" s="1">
        <v>0</v>
      </c>
      <c r="I638" s="1" t="s">
        <v>156</v>
      </c>
      <c r="K638" t="str">
        <f>HYPERLINK("https://lindat.mff.cuni.cz/services/SynSemClass55/SynSemClass55.html?veclass=vec01173", "vec01173 / zářit (v41qjnB)")</f>
        <v>vec01173 / zářit (v41qjnB)</v>
      </c>
      <c r="L638">
        <v>0.71977000000000002</v>
      </c>
      <c r="M638" t="s">
        <v>29</v>
      </c>
      <c r="P638" t="str">
        <f>HYPERLINK("https://lindat.mff.cuni.cz/services/SynSemClass55/SynSemClass55.html?veclass=vec01561", "vec01561 / lesknout se (v41bzsA)")</f>
        <v>vec01561 / lesknout se (v41bzsA)</v>
      </c>
      <c r="Q638">
        <v>0.10524</v>
      </c>
      <c r="R638" t="s">
        <v>29</v>
      </c>
      <c r="U638" t="str">
        <f>HYPERLINK("https://lindat.mff.cuni.cz/services/SynSemClass55/SynSemClass55.html?veclass=vec01417", "vec01417 / osvětlit (v41fbeB)")</f>
        <v>vec01417 / osvětlit (v41fbeB)</v>
      </c>
      <c r="V638">
        <v>0.10292999999999999</v>
      </c>
      <c r="W638" t="s">
        <v>29</v>
      </c>
      <c r="Z638" t="str">
        <f>HYPERLINK("https://lindat.mff.cuni.cz/services/SynSemClass55/SynSemClass55.html?veclass=vec00986", "vec00986 / zapálit (v41qecA)")</f>
        <v>vec00986 / zapálit (v41qecA)</v>
      </c>
      <c r="AA638">
        <v>6.5540000000000001E-2</v>
      </c>
      <c r="AB638" t="s">
        <v>29</v>
      </c>
      <c r="AE638" t="str">
        <f>HYPERLINK("https://lindat.mff.cuni.cz/services/SynSemClass55/SynSemClass55.html?veclass=vec01215", "vec01215 / hořet (v41axjA)")</f>
        <v>vec01215 / hořet (v41axjA)</v>
      </c>
      <c r="AF638">
        <v>3.3210000000000003E-2</v>
      </c>
      <c r="AG638" t="s">
        <v>29</v>
      </c>
    </row>
    <row r="639" spans="1:33" x14ac:dyDescent="0.2">
      <c r="A639" t="str">
        <f>HYPERLINK("https://lindat.mff.cuni.cz/services/PDT-Vallex4.5/PDT-Vallex4.5.html?verb=zasvítit", "zasvítit")</f>
        <v>zasvítit</v>
      </c>
      <c r="B639" t="str">
        <f>HYPERLINK("https://lindat.mff.cuni.cz/services/PDT-Vallex4.5/PDT-Vallex4.5.html?verb=zasvítit#v41qnsB", "v41qnsB")</f>
        <v>v41qnsB</v>
      </c>
      <c r="E639">
        <v>274</v>
      </c>
      <c r="F639">
        <v>0.71977000000000002</v>
      </c>
      <c r="G639" s="1" t="s">
        <v>32</v>
      </c>
      <c r="K639" t="str">
        <f>HYPERLINK("https://lindat.mff.cuni.cz/services/SynSemClass55/SynSemClass55.html?veclass=vec01173", "vec01173 / zářit (v41qjnB)")</f>
        <v>vec01173 / zářit (v41qjnB)</v>
      </c>
      <c r="L639">
        <v>0.71977000000000002</v>
      </c>
      <c r="M639" t="s">
        <v>31</v>
      </c>
      <c r="P639" t="str">
        <f>HYPERLINK("https://lindat.mff.cuni.cz/services/SynSemClass55/SynSemClass55.html?veclass=vec01561", "vec01561 / lesknout se (v41bzsA)")</f>
        <v>vec01561 / lesknout se (v41bzsA)</v>
      </c>
      <c r="Q639">
        <v>0.10524</v>
      </c>
      <c r="R639" t="s">
        <v>29</v>
      </c>
      <c r="U639" t="str">
        <f>HYPERLINK("https://lindat.mff.cuni.cz/services/SynSemClass55/SynSemClass55.html?veclass=vec01417", "vec01417 / osvětlit (v41fbeB)")</f>
        <v>vec01417 / osvětlit (v41fbeB)</v>
      </c>
      <c r="V639">
        <v>0.10292999999999999</v>
      </c>
      <c r="W639" t="s">
        <v>29</v>
      </c>
      <c r="Z639" t="str">
        <f>HYPERLINK("https://lindat.mff.cuni.cz/services/SynSemClass55/SynSemClass55.html?veclass=vec00986", "vec00986 / zapálit (v41qecA)")</f>
        <v>vec00986 / zapálit (v41qecA)</v>
      </c>
      <c r="AA639">
        <v>6.5540000000000001E-2</v>
      </c>
      <c r="AB639" t="s">
        <v>29</v>
      </c>
      <c r="AE639" t="str">
        <f>HYPERLINK("https://lindat.mff.cuni.cz/services/SynSemClass55/SynSemClass55.html?veclass=vec01215", "vec01215 / hořet (v41axjA)")</f>
        <v>vec01215 / hořet (v41axjA)</v>
      </c>
      <c r="AF639">
        <v>3.3210000000000003E-2</v>
      </c>
      <c r="AG639" t="s">
        <v>29</v>
      </c>
    </row>
    <row r="641" spans="1:33" x14ac:dyDescent="0.2">
      <c r="A641" t="str">
        <f>HYPERLINK("https://lindat.mff.cuni.cz/services/PDT-Vallex4.5/PDT-Vallex4.5.html?verb=zaštukovat", "zaštukovat")</f>
        <v>zaštukovat</v>
      </c>
      <c r="B641" t="str">
        <f>HYPERLINK("https://lindat.mff.cuni.cz/services/PDT-Vallex4.5/PDT-Vallex4.5.html?verb=zaštukovat#v41qonA", "v41qonA")</f>
        <v>v41qonA</v>
      </c>
      <c r="E641">
        <v>1</v>
      </c>
      <c r="F641">
        <v>0.10711</v>
      </c>
      <c r="G641" s="1" t="s">
        <v>234</v>
      </c>
      <c r="I641" s="1" t="s">
        <v>235</v>
      </c>
      <c r="K641" t="str">
        <f>HYPERLINK("https://lindat.mff.cuni.cz/services/SynSemClass55/SynSemClass55.html?veclass=vec01479", "vec01479 / zalepit (v41pziB)")</f>
        <v>vec01479 / zalepit (v41pziB)</v>
      </c>
      <c r="L641">
        <v>0.10711</v>
      </c>
      <c r="M641" t="s">
        <v>29</v>
      </c>
      <c r="P641" t="str">
        <f>HYPERLINK("https://lindat.mff.cuni.cz/services/SynSemClass55/SynSemClass55.html?veclass=vec00684", "vec00684 / pročesávat (v41hbdA)")</f>
        <v>vec00684 / pročesávat (v41hbdA)</v>
      </c>
      <c r="Q641">
        <v>6.5549999999999997E-2</v>
      </c>
      <c r="R641" t="s">
        <v>29</v>
      </c>
      <c r="U641" t="str">
        <f>HYPERLINK("https://lindat.mff.cuni.cz/services/SynSemClass55/SynSemClass55.html?veclass=vec00739", "vec00739 / ustoupit (v41myhB)")</f>
        <v>vec00739 / ustoupit (v41myhB)</v>
      </c>
      <c r="V641">
        <v>6.232E-2</v>
      </c>
      <c r="W641" t="s">
        <v>29</v>
      </c>
      <c r="Z641" t="str">
        <f>HYPERLINK("https://lindat.mff.cuni.cz/services/SynSemClass55/SynSemClass55.html?veclass=vec00924", "vec00924 / smést (v41kvgB)")</f>
        <v>vec00924 / smést (v41kvgB)</v>
      </c>
      <c r="AA641">
        <v>5.6309999999999999E-2</v>
      </c>
      <c r="AB641" t="s">
        <v>29</v>
      </c>
      <c r="AE641" t="str">
        <f>HYPERLINK("https://lindat.mff.cuni.cz/services/SynSemClass55/SynSemClass55.html?veclass=vec01877", "vec01877 / rozrýt (v41jxxA)")</f>
        <v>vec01877 / rozrýt (v41jxxA)</v>
      </c>
      <c r="AF641">
        <v>5.2540000000000003E-2</v>
      </c>
      <c r="AG641" t="s">
        <v>29</v>
      </c>
    </row>
    <row r="643" spans="1:33" x14ac:dyDescent="0.2">
      <c r="A643" t="str">
        <f>HYPERLINK("https://lindat.mff.cuni.cz/services/PDT-Vallex4.5/PDT-Vallex4.5.html?verb=zatajovat", "zatajovat")</f>
        <v>zatajovat</v>
      </c>
      <c r="B643" t="str">
        <f>HYPERLINK("https://lindat.mff.cuni.cz/services/PDT-Vallex4.5/PDT-Vallex4.5.html?verb=zatajovat#v41qowA", "v41qowA")</f>
        <v>v41qowA</v>
      </c>
      <c r="E643">
        <v>103</v>
      </c>
      <c r="F643">
        <v>0.77663000000000004</v>
      </c>
      <c r="G643" s="1" t="s">
        <v>32</v>
      </c>
      <c r="K643" t="str">
        <f>HYPERLINK("https://lindat.mff.cuni.cz/services/SynSemClass55/SynSemClass55.html?veclass=vec00514", "vec00514 / skrýt (v41krqB)")</f>
        <v>vec00514 / skrýt (v41krqB)</v>
      </c>
      <c r="L643">
        <v>0.77663000000000004</v>
      </c>
      <c r="M643" t="s">
        <v>31</v>
      </c>
      <c r="P643" t="str">
        <f>HYPERLINK("https://lindat.mff.cuni.cz/services/SynSemClass55/SynSemClass55.html?veclass=vec01711", "vec01711 / zatajit se (v41qovA)")</f>
        <v>vec01711 / zatajit se (v41qovA)</v>
      </c>
      <c r="Q643">
        <v>3.8670000000000003E-2</v>
      </c>
      <c r="R643" t="s">
        <v>29</v>
      </c>
      <c r="U643" t="str">
        <f>HYPERLINK("https://lindat.mff.cuni.cz/services/SynSemClass55/SynSemClass55.html?veclass=vec01545", "vec01545 / zavětřit (v41qsrA)")</f>
        <v>vec01545 / zavětřit (v41qsrA)</v>
      </c>
      <c r="V643">
        <v>1.8939999999999999E-2</v>
      </c>
      <c r="W643" t="s">
        <v>29</v>
      </c>
      <c r="Z643" t="str">
        <f>HYPERLINK("https://lindat.mff.cuni.cz/services/SynSemClass55/SynSemClass55.html?veclass=vec00981", "vec00981 / zadržovat (v41psgA)")</f>
        <v>vec00981 / zadržovat (v41psgA)</v>
      </c>
      <c r="AA643">
        <v>1.8890000000000001E-2</v>
      </c>
      <c r="AB643" t="s">
        <v>29</v>
      </c>
      <c r="AE643" t="str">
        <f>HYPERLINK("https://lindat.mff.cuni.cz/services/SynSemClass55/SynSemClass55.html?veclass=vec01338", "vec01338 / ulít (v41mnvA)")</f>
        <v>vec01338 / ulít (v41mnvA)</v>
      </c>
      <c r="AF643">
        <v>1.8669999999999999E-2</v>
      </c>
      <c r="AG643" t="s">
        <v>29</v>
      </c>
    </row>
    <row r="645" spans="1:33" x14ac:dyDescent="0.2">
      <c r="A645" t="str">
        <f>HYPERLINK("https://lindat.mff.cuni.cz/services/PDT-Vallex4.5/PDT-Vallex4.5.html?verb=zatancovat", "zatancovat")</f>
        <v>zatancovat</v>
      </c>
      <c r="B645" t="str">
        <f>HYPERLINK("https://lindat.mff.cuni.cz/services/PDT-Vallex4.5/PDT-Vallex4.5.html?verb=zatancovat#v41qoxA", "v41qoxA")</f>
        <v>v41qoxA</v>
      </c>
      <c r="E645">
        <v>112</v>
      </c>
      <c r="F645">
        <v>0.30349999999999999</v>
      </c>
      <c r="G645" s="1">
        <v>0</v>
      </c>
      <c r="I645" s="1" t="s">
        <v>236</v>
      </c>
      <c r="K645" t="str">
        <f>HYPERLINK("https://lindat.mff.cuni.cz/services/SynSemClass55/SynSemClass55.html?veclass=vec00934", "vec00934 / tančit (v41lwnA)")</f>
        <v>vec00934 / tančit (v41lwnA)</v>
      </c>
      <c r="L645">
        <v>0.30349999999999999</v>
      </c>
      <c r="M645" t="s">
        <v>29</v>
      </c>
      <c r="P645" t="str">
        <f>HYPERLINK("https://lindat.mff.cuni.cz/services/SynSemClass55/SynSemClass55.html?veclass=vec00823", "vec00823 / hrát (v41aypE)")</f>
        <v>vec00823 / hrát (v41aypE)</v>
      </c>
      <c r="Q645">
        <v>5.4820000000000001E-2</v>
      </c>
      <c r="R645" t="s">
        <v>29</v>
      </c>
      <c r="U645" t="str">
        <f>HYPERLINK("https://lindat.mff.cuni.cz/services/SynSemClass55/SynSemClass55.html?veclass=vec00922", "vec00922 / skotačit (v41kriA)")</f>
        <v>vec00922 / skotačit (v41kriA)</v>
      </c>
      <c r="V645">
        <v>5.1279999999999999E-2</v>
      </c>
      <c r="W645" t="s">
        <v>29</v>
      </c>
      <c r="Z645" t="str">
        <f>HYPERLINK("https://lindat.mff.cuni.cz/services/SynSemClass55/SynSemClass55.html?veclass=vec01196", "vec01196 / zvonit (v41sclA)")</f>
        <v>vec01196 / zvonit (v41sclA)</v>
      </c>
      <c r="AA645">
        <v>4.4609999999999997E-2</v>
      </c>
      <c r="AB645" t="s">
        <v>29</v>
      </c>
      <c r="AE645" t="str">
        <f>HYPERLINK("https://lindat.mff.cuni.cz/services/SynSemClass55/SynSemClass55.html?veclass=vec00794", "vec00794 / zpívat (v41rsnB)")</f>
        <v>vec00794 / zpívat (v41rsnB)</v>
      </c>
      <c r="AF645">
        <v>3.5830000000000001E-2</v>
      </c>
      <c r="AG645" t="s">
        <v>29</v>
      </c>
    </row>
    <row r="647" spans="1:33" x14ac:dyDescent="0.2">
      <c r="A647" t="str">
        <f>HYPERLINK("https://lindat.mff.cuni.cz/services/PDT-Vallex4.5/PDT-Vallex4.5.html?verb=zavánět", "zavánět")</f>
        <v>zavánět</v>
      </c>
      <c r="B647" t="str">
        <f>HYPERLINK("https://lindat.mff.cuni.cz/services/PDT-Vallex4.5/PDT-Vallex4.5.html?verb=zavánět#v41qrsB", "v41qrsB")</f>
        <v>v41qrsB</v>
      </c>
      <c r="E647">
        <v>140</v>
      </c>
      <c r="F647">
        <v>0.1162</v>
      </c>
      <c r="G647" s="1" t="s">
        <v>32</v>
      </c>
      <c r="K647" t="str">
        <f>HYPERLINK("https://lindat.mff.cuni.cz/services/SynSemClass55/SynSemClass55.html?veclass=vec00592", "vec00592 / znít (v41rppD)")</f>
        <v>vec00592 / znít (v41rppD)</v>
      </c>
      <c r="L647">
        <v>0.1162</v>
      </c>
      <c r="M647" t="s">
        <v>29</v>
      </c>
      <c r="P647" t="str">
        <f>HYPERLINK("https://lindat.mff.cuni.cz/services/SynSemClass55/SynSemClass55.html?veclass=vec00926", "vec00926 / smrdět (v41kvzA)")</f>
        <v>vec00926 / smrdět (v41kvzA)</v>
      </c>
      <c r="Q647">
        <v>6.6479999999999997E-2</v>
      </c>
      <c r="R647" t="s">
        <v>31</v>
      </c>
      <c r="U647" t="str">
        <f>HYPERLINK("https://lindat.mff.cuni.cz/services/SynSemClass55/SynSemClass55.html?veclass=vec00164", "vec00164 / vypadat (v41oniD)")</f>
        <v>vec00164 / vypadat (v41oniD)</v>
      </c>
      <c r="V647">
        <v>6.0499999999999998E-2</v>
      </c>
      <c r="W647" t="s">
        <v>29</v>
      </c>
      <c r="Z647" t="str">
        <f>HYPERLINK("https://lindat.mff.cuni.cz/services/SynSemClass55/SynSemClass55.html?veclass=vec01147", "vec01147 / vlnit se (v41nnjA)")</f>
        <v>vec01147 / vlnit se (v41nnjA)</v>
      </c>
      <c r="AA647">
        <v>4.8599999999999997E-2</v>
      </c>
      <c r="AB647" t="s">
        <v>29</v>
      </c>
      <c r="AE647" t="str">
        <f>HYPERLINK("https://lindat.mff.cuni.cz/services/SynSemClass55/SynSemClass55.html?veclass=vec01234", "vec01234 / naznačovat (v41dhzB)")</f>
        <v>vec01234 / naznačovat (v41dhzB)</v>
      </c>
      <c r="AF647">
        <v>2.9479999999999999E-2</v>
      </c>
      <c r="AG647" t="s">
        <v>29</v>
      </c>
    </row>
    <row r="649" spans="1:33" x14ac:dyDescent="0.2">
      <c r="A649" t="str">
        <f>HYPERLINK("https://lindat.mff.cuni.cz/services/PDT-Vallex4.5/PDT-Vallex4.5.html?verb=zavěšovat", "zavěšovat")</f>
        <v>zavěšovat</v>
      </c>
      <c r="B649" t="str">
        <f>HYPERLINK("https://lindat.mff.cuni.cz/services/PDT-Vallex4.5/PDT-Vallex4.5.html?verb=zavěšovat#v41qsqA", "v41qsqA")</f>
        <v>v41qsqA</v>
      </c>
      <c r="E649">
        <v>116</v>
      </c>
      <c r="F649">
        <v>0.37863000000000002</v>
      </c>
      <c r="G649" s="1" t="s">
        <v>32</v>
      </c>
      <c r="K649" t="str">
        <f>HYPERLINK("https://lindat.mff.cuni.cz/services/SynSemClass55/SynSemClass55.html?veclass=vec00899", "vec00899 / připevnit (v41ivdA)")</f>
        <v>vec00899 / připevnit (v41ivdA)</v>
      </c>
      <c r="L649">
        <v>0.37863000000000002</v>
      </c>
      <c r="M649" t="s">
        <v>31</v>
      </c>
      <c r="P649" t="str">
        <f>HYPERLINK("https://lindat.mff.cuni.cz/services/SynSemClass55/SynSemClass55.html?veclass=vec00735", "vec00735 / umístit (v41motA)")</f>
        <v>vec00735 / umístit (v41motA)</v>
      </c>
      <c r="Q649">
        <v>6.7369999999999999E-2</v>
      </c>
      <c r="R649" t="s">
        <v>29</v>
      </c>
      <c r="U649" t="str">
        <f>HYPERLINK("https://lindat.mff.cuni.cz/services/SynSemClass55/SynSemClass55.html?veclass=vec01500", "vec01500 / obouvat (v41drsA)")</f>
        <v>vec01500 / obouvat (v41drsA)</v>
      </c>
      <c r="V649">
        <v>4.4970000000000003E-2</v>
      </c>
      <c r="W649" t="s">
        <v>29</v>
      </c>
      <c r="Z649" t="str">
        <f>HYPERLINK("https://lindat.mff.cuni.cz/services/SynSemClass55/SynSemClass55.html?veclass=vec00943", "vec00943 / utáhnout (v41mzjC)")</f>
        <v>vec00943 / utáhnout (v41mzjC)</v>
      </c>
      <c r="AA649">
        <v>3.884E-2</v>
      </c>
      <c r="AB649" t="s">
        <v>29</v>
      </c>
      <c r="AE649" t="str">
        <f>HYPERLINK("https://lindat.mff.cuni.cz/services/SynSemClass55/SynSemClass55.html?veclass=vec01668", "vec01668 / přisunout (v41izrA)")</f>
        <v>vec01668 / přisunout (v41izrA)</v>
      </c>
      <c r="AF649">
        <v>2.3910000000000001E-2</v>
      </c>
      <c r="AG649" t="s">
        <v>29</v>
      </c>
    </row>
    <row r="651" spans="1:33" x14ac:dyDescent="0.2">
      <c r="A651" t="str">
        <f>HYPERLINK("https://lindat.mff.cuni.cz/services/PDT-Vallex4.5/PDT-Vallex4.5.html?verb=zazářit", "zazářit")</f>
        <v>zazářit</v>
      </c>
      <c r="B651" t="str">
        <f>HYPERLINK("https://lindat.mff.cuni.cz/services/PDT-Vallex4.5/PDT-Vallex4.5.html?verb=zazářit#v41qujA", "v41qujA")</f>
        <v>v41qujA</v>
      </c>
      <c r="E651">
        <v>501</v>
      </c>
      <c r="F651">
        <v>0.60660999999999998</v>
      </c>
      <c r="G651" s="1">
        <v>0</v>
      </c>
      <c r="I651" s="1" t="s">
        <v>156</v>
      </c>
      <c r="K651" t="str">
        <f>HYPERLINK("https://lindat.mff.cuni.cz/services/SynSemClass55/SynSemClass55.html?veclass=vec01173", "vec01173 / zářit (v41qjnB)")</f>
        <v>vec01173 / zářit (v41qjnB)</v>
      </c>
      <c r="L651">
        <v>0.60660999999999998</v>
      </c>
      <c r="M651" t="s">
        <v>29</v>
      </c>
      <c r="P651" t="str">
        <f>HYPERLINK("https://lindat.mff.cuni.cz/services/SynSemClass55/SynSemClass55.html?veclass=vec01561", "vec01561 / lesknout se (v41bzsA)")</f>
        <v>vec01561 / lesknout se (v41bzsA)</v>
      </c>
      <c r="Q651">
        <v>0.25178</v>
      </c>
      <c r="R651" t="s">
        <v>29</v>
      </c>
      <c r="U651" t="str">
        <f>HYPERLINK("https://lindat.mff.cuni.cz/services/SynSemClass55/SynSemClass55.html?veclass=vec00964", "vec00964 / vynikat (v41omqA)")</f>
        <v>vec00964 / vynikat (v41omqA)</v>
      </c>
      <c r="V651">
        <v>4.163E-2</v>
      </c>
      <c r="W651" t="s">
        <v>29</v>
      </c>
      <c r="Z651" t="str">
        <f>HYPERLINK("https://lindat.mff.cuni.cz/services/SynSemClass55/SynSemClass55.html?veclass=vec01215", "vec01215 / hořet (v41axjA)")</f>
        <v>vec01215 / hořet (v41axjA)</v>
      </c>
      <c r="AA651">
        <v>2.9219999999999999E-2</v>
      </c>
      <c r="AB651" t="s">
        <v>29</v>
      </c>
      <c r="AE651" t="str">
        <f>HYPERLINK("https://lindat.mff.cuni.cz/services/SynSemClass55/SynSemClass55.html?veclass=vec01417", "vec01417 / osvětlit (v41fbeB)")</f>
        <v>vec01417 / osvětlit (v41fbeB)</v>
      </c>
      <c r="AF651">
        <v>1.6330000000000001E-2</v>
      </c>
      <c r="AG651" t="s">
        <v>29</v>
      </c>
    </row>
    <row r="653" spans="1:33" x14ac:dyDescent="0.2">
      <c r="A653" t="str">
        <f>HYPERLINK("https://lindat.mff.cuni.cz/services/PDT-Vallex4.5/PDT-Vallex4.5.html?verb=zbrojit", "zbrojit")</f>
        <v>zbrojit</v>
      </c>
      <c r="B653" t="str">
        <f>HYPERLINK("https://lindat.mff.cuni.cz/services/PDT-Vallex4.5/PDT-Vallex4.5.html?verb=zbrojit#v41qwmA", "v41qwmA")</f>
        <v>v41qwmA</v>
      </c>
      <c r="E653">
        <v>7</v>
      </c>
      <c r="F653">
        <v>0.17668</v>
      </c>
      <c r="G653" s="1" t="s">
        <v>237</v>
      </c>
      <c r="K653" t="str">
        <f>HYPERLINK("https://lindat.mff.cuni.cz/services/SynSemClass55/SynSemClass55.html?veclass=vec01415", "vec01415 / odzbrojit (v41eobB)")</f>
        <v>vec01415 / odzbrojit (v41eobB)</v>
      </c>
      <c r="L653">
        <v>0.17668</v>
      </c>
      <c r="M653" t="s">
        <v>29</v>
      </c>
      <c r="P653" t="str">
        <f>HYPERLINK("https://lindat.mff.cuni.cz/services/SynSemClass55/SynSemClass55.html?veclass=vec00752", "vec00752 / vybavit (v41ntgA)")</f>
        <v>vec00752 / vybavit (v41ntgA)</v>
      </c>
      <c r="Q653">
        <v>0.16228999999999999</v>
      </c>
      <c r="R653" t="s">
        <v>29</v>
      </c>
      <c r="U653" t="str">
        <f>HYPERLINK("https://lindat.mff.cuni.cz/services/SynSemClass55/SynSemClass55.html?veclass=vec01296", "vec01296 / připojit se (v41iwfA)")</f>
        <v>vec01296 / připojit se (v41iwfA)</v>
      </c>
      <c r="V653">
        <v>4.4069999999999998E-2</v>
      </c>
      <c r="W653" t="s">
        <v>29</v>
      </c>
      <c r="Z653" t="str">
        <f>HYPERLINK("https://lindat.mff.cuni.cz/services/SynSemClass55/SynSemClass55.html?veclass=vec00443", "vec00443 / nashromáždit (v41dbbA)")</f>
        <v>vec00443 / nashromáždit (v41dbbA)</v>
      </c>
      <c r="AA653">
        <v>4.2810000000000001E-2</v>
      </c>
      <c r="AB653" t="s">
        <v>29</v>
      </c>
      <c r="AE653" t="str">
        <f>HYPERLINK("https://lindat.mff.cuni.cz/services/SynSemClass55/SynSemClass55.html?veclass=vec00318", "vec00318 / spojit se (v41lcwA)")</f>
        <v>vec00318 / spojit se (v41lcwA)</v>
      </c>
      <c r="AF653">
        <v>2.9510000000000002E-2</v>
      </c>
      <c r="AG653" t="s">
        <v>29</v>
      </c>
    </row>
    <row r="655" spans="1:33" x14ac:dyDescent="0.2">
      <c r="A655" t="str">
        <f>HYPERLINK("https://lindat.mff.cuni.cz/services/PDT-Vallex4.5/PDT-Vallex4.5.html?verb=zdesetinásobit", "zdesetinásobit")</f>
        <v>zdesetinásobit</v>
      </c>
      <c r="B655" t="str">
        <f>HYPERLINK("https://lindat.mff.cuni.cz/services/PDT-Vallex4.5/PDT-Vallex4.5.html?verb=zdesetinásobit#v41qxwA", "v41qxwA")</f>
        <v>v41qxwA</v>
      </c>
      <c r="E655">
        <v>2</v>
      </c>
      <c r="F655">
        <v>0.53124000000000005</v>
      </c>
      <c r="G655" s="1">
        <v>0</v>
      </c>
      <c r="I655" s="1" t="s">
        <v>238</v>
      </c>
      <c r="K655" t="str">
        <f>HYPERLINK("https://lindat.mff.cuni.cz/services/SynSemClass55/SynSemClass55.html?veclass=vec01181", "vec01181 / znásobit se (v41rncA)")</f>
        <v>vec01181 / znásobit se (v41rncA)</v>
      </c>
      <c r="L655">
        <v>0.53124000000000005</v>
      </c>
      <c r="M655" t="s">
        <v>29</v>
      </c>
      <c r="P655" t="str">
        <f>HYPERLINK("https://lindat.mff.cuni.cz/services/SynSemClass55/SynSemClass55.html?veclass=vec00187", "vec00187 / násobit (v41dcbB)")</f>
        <v>vec00187 / násobit (v41dcbB)</v>
      </c>
      <c r="Q655">
        <v>0.25180000000000002</v>
      </c>
      <c r="R655" t="s">
        <v>29</v>
      </c>
      <c r="U655" t="str">
        <f>HYPERLINK("https://lindat.mff.cuni.cz/services/SynSemClass55/SynSemClass55.html?veclass=vec00298", "vec00298 / rozšířit (v41jyxA)")</f>
        <v>vec00298 / rozšířit (v41jyxA)</v>
      </c>
      <c r="V655">
        <v>3.7039999999999997E-2</v>
      </c>
      <c r="W655" t="s">
        <v>29</v>
      </c>
      <c r="Z655" t="str">
        <f>HYPERLINK("https://lindat.mff.cuni.cz/services/SynSemClass55/SynSemClass55.html?veclass=vec00919", "vec00919 / sčítat (v41kggA)")</f>
        <v>vec00919 / sčítat (v41kggA)</v>
      </c>
      <c r="AA655">
        <v>2.1930000000000002E-2</v>
      </c>
      <c r="AB655" t="s">
        <v>29</v>
      </c>
      <c r="AE655" t="str">
        <f>HYPERLINK("https://lindat.mff.cuni.cz/services/SynSemClass55/SynSemClass55.html?veclass=vec00206", "vec00206 / činit (v41noG)")</f>
        <v>vec00206 / činit (v41noG)</v>
      </c>
      <c r="AF655">
        <v>2.1190000000000001E-2</v>
      </c>
      <c r="AG655" t="s">
        <v>29</v>
      </c>
    </row>
    <row r="657" spans="1:33" x14ac:dyDescent="0.2">
      <c r="A657" t="str">
        <f>HYPERLINK("https://lindat.mff.cuni.cz/services/PDT-Vallex4.5/PDT-Vallex4.5.html?verb=zhasínat", "zhasínat")</f>
        <v>zhasínat</v>
      </c>
      <c r="B657" t="str">
        <f>HYPERLINK("https://lindat.mff.cuni.cz/services/PDT-Vallex4.5/PDT-Vallex4.5.html?verb=zhasínat#v41rcaA", "v41rcaA")</f>
        <v>v41rcaA</v>
      </c>
      <c r="E657">
        <v>216</v>
      </c>
      <c r="F657">
        <v>0.18226000000000001</v>
      </c>
      <c r="G657" s="1">
        <v>0</v>
      </c>
      <c r="I657" s="1" t="s">
        <v>239</v>
      </c>
      <c r="K657" t="str">
        <f>HYPERLINK("https://lindat.mff.cuni.cz/services/SynSemClass55/SynSemClass55.html?veclass=vec00986", "vec00986 / zapálit (v41qecA)")</f>
        <v>vec00986 / zapálit (v41qecA)</v>
      </c>
      <c r="L657">
        <v>0.18226000000000001</v>
      </c>
      <c r="M657" t="s">
        <v>29</v>
      </c>
      <c r="P657" t="str">
        <f>HYPERLINK("https://lindat.mff.cuni.cz/services/SynSemClass55/SynSemClass55.html?veclass=vec00182", "vec00182 / zapínat (v41qepA)")</f>
        <v>vec00182 / zapínat (v41qepA)</v>
      </c>
      <c r="Q657">
        <v>0.12969</v>
      </c>
      <c r="R657" t="s">
        <v>29</v>
      </c>
      <c r="U657" t="str">
        <f>HYPERLINK("https://lindat.mff.cuni.cz/services/SynSemClass55/SynSemClass55.html?veclass=vec01173", "vec01173 / zářit (v41qjnB)")</f>
        <v>vec01173 / zářit (v41qjnB)</v>
      </c>
      <c r="V657">
        <v>8.4690000000000001E-2</v>
      </c>
      <c r="W657" t="s">
        <v>29</v>
      </c>
      <c r="Z657" t="str">
        <f>HYPERLINK("https://lindat.mff.cuni.cz/services/SynSemClass55/SynSemClass55.html?veclass=vec00113", "vec00113 / skončit (v41krfH)")</f>
        <v>vec00113 / skončit (v41krfH)</v>
      </c>
      <c r="AA657">
        <v>8.1259999999999999E-2</v>
      </c>
      <c r="AB657" t="s">
        <v>29</v>
      </c>
      <c r="AE657" t="str">
        <f>HYPERLINK("https://lindat.mff.cuni.cz/services/SynSemClass55/SynSemClass55.html?veclass=vec01215", "vec01215 / hořet (v41axjA)")</f>
        <v>vec01215 / hořet (v41axjA)</v>
      </c>
      <c r="AF657">
        <v>4.1390000000000003E-2</v>
      </c>
      <c r="AG657" t="s">
        <v>29</v>
      </c>
    </row>
    <row r="659" spans="1:33" x14ac:dyDescent="0.2">
      <c r="A659" t="str">
        <f>HYPERLINK("https://lindat.mff.cuni.cz/services/PDT-Vallex4.5/PDT-Vallex4.5.html?verb=zhlédnout", "zhlédnout")</f>
        <v>zhlédnout</v>
      </c>
      <c r="B659" t="str">
        <f>HYPERLINK("https://lindat.mff.cuni.cz/services/PDT-Vallex4.5/PDT-Vallex4.5.html?verb=zhlédnout#v41rcfB", "v41rcfB")</f>
        <v>v41rcfB</v>
      </c>
      <c r="E659">
        <v>152</v>
      </c>
      <c r="F659">
        <v>0.4325</v>
      </c>
      <c r="G659" s="1" t="s">
        <v>32</v>
      </c>
      <c r="K659" t="str">
        <f>HYPERLINK("https://lindat.mff.cuni.cz/services/SynSemClass55/SynSemClass55.html?veclass=vec00154", "vec00154 / vidět (v41nlfH)")</f>
        <v>vec00154 / vidět (v41nlfH)</v>
      </c>
      <c r="L659">
        <v>0.4325</v>
      </c>
      <c r="M659" t="s">
        <v>31</v>
      </c>
      <c r="P659" t="str">
        <f>HYPERLINK("https://lindat.mff.cuni.cz/services/SynSemClass55/SynSemClass55.html?veclass=vec01515", "vec01515 / přeměřovat (v41iegA)")</f>
        <v>vec01515 / přeměřovat (v41iegA)</v>
      </c>
      <c r="Q659">
        <v>0.15575</v>
      </c>
      <c r="R659" t="s">
        <v>29</v>
      </c>
      <c r="U659" t="str">
        <f>HYPERLINK("https://lindat.mff.cuni.cz/services/SynSemClass55/SynSemClass55.html?veclass=vec00869", "vec00869 / podívat se (v41fsdH)")</f>
        <v>vec00869 / podívat se (v41fsdH)</v>
      </c>
      <c r="V659">
        <v>0.15573999999999999</v>
      </c>
      <c r="W659" t="s">
        <v>29</v>
      </c>
      <c r="Z659" t="str">
        <f>HYPERLINK("https://lindat.mff.cuni.cz/services/SynSemClass55/SynSemClass55.html?veclass=vec00310", "vec00310 / sledovat (v41kslE)")</f>
        <v>vec00310 / sledovat (v41kslE)</v>
      </c>
      <c r="AA659">
        <v>5.4219999999999997E-2</v>
      </c>
      <c r="AB659" t="s">
        <v>29</v>
      </c>
      <c r="AE659" t="str">
        <f>HYPERLINK("https://lindat.mff.cuni.cz/services/SynSemClass55/SynSemClass55.html?veclass=vec01619", "vec01619 / vidět se (v41nlgA)")</f>
        <v>vec01619 / vidět se (v41nlgA)</v>
      </c>
      <c r="AF659">
        <v>4.3999999999999997E-2</v>
      </c>
      <c r="AG659" t="s">
        <v>29</v>
      </c>
    </row>
    <row r="661" spans="1:33" x14ac:dyDescent="0.2">
      <c r="A661" t="str">
        <f>HYPERLINK("https://lindat.mff.cuni.cz/services/PDT-Vallex4.5/PDT-Vallex4.5.html?verb=zjitřovat", "zjitřovat")</f>
        <v>zjitřovat</v>
      </c>
      <c r="B661" t="str">
        <f>HYPERLINK("https://lindat.mff.cuni.cz/services/PDT-Vallex4.5/PDT-Vallex4.5.html?verb=zjitřovat#v41rfeA", "v41rfeA")</f>
        <v>v41rfeA</v>
      </c>
      <c r="E661">
        <v>5</v>
      </c>
      <c r="F661">
        <v>8.6169999999999997E-2</v>
      </c>
      <c r="G661" s="1" t="s">
        <v>32</v>
      </c>
      <c r="K661" t="str">
        <f>HYPERLINK("https://lindat.mff.cuni.cz/services/SynSemClass55/SynSemClass55.html?veclass=vec00770", "vec00770 / zamlžit (v41qcdA)")</f>
        <v>vec00770 / zamlžit (v41qcdA)</v>
      </c>
      <c r="L661">
        <v>8.6169999999999997E-2</v>
      </c>
      <c r="M661" t="s">
        <v>29</v>
      </c>
      <c r="P661" t="str">
        <f>HYPERLINK("https://lindat.mff.cuni.cz/services/SynSemClass55/SynSemClass55.html?veclass=vec00055", "vec00055 / oslabit (v41ezlC)")</f>
        <v>vec00055 / oslabit (v41ezlC)</v>
      </c>
      <c r="Q661">
        <v>7.8170000000000003E-2</v>
      </c>
      <c r="R661" t="s">
        <v>29</v>
      </c>
      <c r="U661" t="str">
        <f>HYPERLINK("https://lindat.mff.cuni.cz/services/SynSemClass55/SynSemClass55.html?veclass=vec00791", "vec00791 / zkreslovat (v41rhfA)")</f>
        <v>vec00791 / zkreslovat (v41rhfA)</v>
      </c>
      <c r="V661">
        <v>6.6170000000000007E-2</v>
      </c>
      <c r="W661" t="s">
        <v>29</v>
      </c>
      <c r="Z661" t="str">
        <f>HYPERLINK("https://lindat.mff.cuni.cz/services/SynSemClass55/SynSemClass55.html?veclass=vec01834", "vec01834 / prolnout (v41hgxA)")</f>
        <v>vec01834 / prolnout (v41hgxA)</v>
      </c>
      <c r="AA661">
        <v>6.2059999999999997E-2</v>
      </c>
      <c r="AB661" t="s">
        <v>29</v>
      </c>
      <c r="AE661" t="str">
        <f>HYPERLINK("https://lindat.mff.cuni.cz/services/SynSemClass55/SynSemClass55.html?veclass=vec00608", "vec00608 / dráždit (v41akkB)")</f>
        <v>vec00608 / dráždit (v41akkB)</v>
      </c>
      <c r="AF661">
        <v>4.2849999999999999E-2</v>
      </c>
      <c r="AG661" t="s">
        <v>31</v>
      </c>
    </row>
    <row r="663" spans="1:33" x14ac:dyDescent="0.2">
      <c r="A663" t="str">
        <f>HYPERLINK("https://lindat.mff.cuni.cz/services/PDT-Vallex4.5/PDT-Vallex4.5.html?verb=zkalit", "zkalit")</f>
        <v>zkalit</v>
      </c>
      <c r="B663" t="str">
        <f>HYPERLINK("https://lindat.mff.cuni.cz/services/PDT-Vallex4.5/PDT-Vallex4.5.html?verb=zkalit#v41rfgA", "v41rfgA")</f>
        <v>v41rfgA</v>
      </c>
      <c r="E663">
        <v>69</v>
      </c>
      <c r="F663">
        <v>0.10932</v>
      </c>
      <c r="G663" s="1" t="s">
        <v>32</v>
      </c>
      <c r="K663" t="str">
        <f>HYPERLINK("https://lindat.mff.cuni.cz/services/SynSemClass55/SynSemClass55.html?veclass=vec01510", "vec01510 / podlomit (v41fsrA)")</f>
        <v>vec01510 / podlomit (v41fsrA)</v>
      </c>
      <c r="L663">
        <v>0.10932</v>
      </c>
      <c r="M663" t="s">
        <v>29</v>
      </c>
      <c r="P663" t="str">
        <f>HYPERLINK("https://lindat.mff.cuni.cz/services/SynSemClass55/SynSemClass55.html?veclass=vec00789", "vec00789 / zkazit (v41rfjA)")</f>
        <v>vec00789 / zkazit (v41rfjA)</v>
      </c>
      <c r="Q663">
        <v>0.1057</v>
      </c>
      <c r="R663" t="s">
        <v>33</v>
      </c>
      <c r="U663" t="str">
        <f>HYPERLINK("https://lindat.mff.cuni.cz/services/SynSemClass55/SynSemClass55.html?veclass=vec01752", "vec01752 / kalit (v41biwA)")</f>
        <v>vec01752 / kalit (v41biwA)</v>
      </c>
      <c r="V663">
        <v>9.5399999999999999E-2</v>
      </c>
      <c r="W663" t="s">
        <v>31</v>
      </c>
      <c r="Z663" t="str">
        <f>HYPERLINK("https://lindat.mff.cuni.cz/services/SynSemClass55/SynSemClass55.html?veclass=vec00372", "vec00372 / zasáhnout (v41qjyA)")</f>
        <v>vec00372 / zasáhnout (v41qjyA)</v>
      </c>
      <c r="AA663">
        <v>4.1169999999999998E-2</v>
      </c>
      <c r="AB663" t="s">
        <v>29</v>
      </c>
      <c r="AE663" t="str">
        <f>HYPERLINK("https://lindat.mff.cuni.cz/services/SynSemClass55/SynSemClass55.html?veclass=vec00589", "vec00589 / zmást (v41rjtA)")</f>
        <v>vec00589 / zmást (v41rjtA)</v>
      </c>
      <c r="AF663">
        <v>4.0719999999999999E-2</v>
      </c>
      <c r="AG663" t="s">
        <v>29</v>
      </c>
    </row>
    <row r="665" spans="1:33" x14ac:dyDescent="0.2">
      <c r="A665" t="str">
        <f>HYPERLINK("https://lindat.mff.cuni.cz/services/PDT-Vallex4.5/PDT-Vallex4.5.html?verb=zkontaktovat", "zkontaktovat")</f>
        <v>zkontaktovat</v>
      </c>
      <c r="B665" t="str">
        <f>HYPERLINK("https://lindat.mff.cuni.cz/services/PDT-Vallex4.5/PDT-Vallex4.5.html?verb=zkontaktovat#v41rgfA", "v41rgfA")</f>
        <v>v41rgfA</v>
      </c>
      <c r="E665">
        <v>30</v>
      </c>
      <c r="F665">
        <v>0.31037999999999999</v>
      </c>
      <c r="G665" s="1" t="s">
        <v>32</v>
      </c>
      <c r="K665" t="str">
        <f>HYPERLINK("https://lindat.mff.cuni.cz/services/SynSemClass55/SynSemClass55.html?veclass=vec00057", "vec00057 / oslovit (v41ezyB)")</f>
        <v>vec00057 / oslovit (v41ezyB)</v>
      </c>
      <c r="L665">
        <v>0.31037999999999999</v>
      </c>
      <c r="M665" t="s">
        <v>31</v>
      </c>
      <c r="P665" t="str">
        <f>HYPERLINK("https://lindat.mff.cuni.cz/services/SynSemClass55/SynSemClass55.html?veclass=vec00307", "vec00307 / setkat se (v41klgB)")</f>
        <v>vec00307 / setkat se (v41klgB)</v>
      </c>
      <c r="Q665">
        <v>0.22505</v>
      </c>
      <c r="R665" t="s">
        <v>29</v>
      </c>
      <c r="U665" t="str">
        <f>HYPERLINK("https://lindat.mff.cuni.cz/services/SynSemClass55/SynSemClass55.html?veclass=vec00374", "vec00374 / zastihnout (v41qmkB)")</f>
        <v>vec00374 / zastihnout (v41qmkB)</v>
      </c>
      <c r="V665">
        <v>5.4989999999999997E-2</v>
      </c>
      <c r="W665" t="s">
        <v>29</v>
      </c>
      <c r="Z665" t="str">
        <f>HYPERLINK("https://lindat.mff.cuni.cz/services/SynSemClass55/SynSemClass55.html?veclass=vec01191", "vec01191 / ztotožňovat se (v41rywA)")</f>
        <v>vec01191 / ztotožňovat se (v41rywA)</v>
      </c>
      <c r="AA665">
        <v>5.04E-2</v>
      </c>
      <c r="AB665" t="s">
        <v>29</v>
      </c>
      <c r="AE665" t="str">
        <f>HYPERLINK("https://lindat.mff.cuni.cz/services/SynSemClass55/SynSemClass55.html?veclass=vec00876", "vec00876 / poznat (v41gwqC)")</f>
        <v>vec00876 / poznat (v41gwqC)</v>
      </c>
      <c r="AF665">
        <v>4.1209999999999997E-2</v>
      </c>
      <c r="AG665" t="s">
        <v>29</v>
      </c>
    </row>
    <row r="667" spans="1:33" x14ac:dyDescent="0.2">
      <c r="A667" t="str">
        <f>HYPERLINK("https://lindat.mff.cuni.cz/services/PDT-Vallex4.5/PDT-Vallex4.5.html?verb=zkrvavit", "zkrvavit")</f>
        <v>zkrvavit</v>
      </c>
      <c r="B667" t="str">
        <f>HYPERLINK("https://lindat.mff.cuni.cz/services/PDT-Vallex4.5/PDT-Vallex4.5.html?verb=zkrvavit#v41rhkA", "v41rhkA")</f>
        <v>v41rhkA</v>
      </c>
      <c r="E667">
        <v>15</v>
      </c>
      <c r="F667">
        <v>7.2739999999999999E-2</v>
      </c>
      <c r="G667" s="1">
        <v>0</v>
      </c>
      <c r="I667" s="1" t="s">
        <v>240</v>
      </c>
      <c r="K667" t="str">
        <f>HYPERLINK("https://lindat.mff.cuni.cz/services/SynSemClass55/SynSemClass55.html?veclass=vec00365", "vec00365 / zabít (v41ppaA)")</f>
        <v>vec00365 / zabít (v41ppaA)</v>
      </c>
      <c r="L667">
        <v>7.2739999999999999E-2</v>
      </c>
      <c r="M667" t="s">
        <v>29</v>
      </c>
      <c r="P667" t="str">
        <f>HYPERLINK("https://lindat.mff.cuni.cz/services/SynSemClass55/SynSemClass55.html?veclass=vec00389", "vec00389 / zničit (v41rpnA)")</f>
        <v>vec00389 / zničit (v41rpnA)</v>
      </c>
      <c r="Q667">
        <v>5.534E-2</v>
      </c>
      <c r="R667" t="s">
        <v>29</v>
      </c>
      <c r="U667" t="str">
        <f>HYPERLINK("https://lindat.mff.cuni.cz/services/SynSemClass55/SynSemClass55.html?veclass=vec00992", "vec00992 / zbít (v41qvwA)")</f>
        <v>vec00992 / zbít (v41qvwA)</v>
      </c>
      <c r="V667">
        <v>3.6600000000000001E-2</v>
      </c>
      <c r="W667" t="s">
        <v>29</v>
      </c>
      <c r="Z667" t="str">
        <f>HYPERLINK("https://lindat.mff.cuni.cz/services/SynSemClass55/SynSemClass55.html?veclass=vec01699", "vec01699 / veslovat (v41njuA)")</f>
        <v>vec01699 / veslovat (v41njuA)</v>
      </c>
      <c r="AA667">
        <v>3.0790000000000001E-2</v>
      </c>
      <c r="AB667" t="s">
        <v>29</v>
      </c>
      <c r="AE667" t="str">
        <f>HYPERLINK("https://lindat.mff.cuni.cz/services/SynSemClass55/SynSemClass55.html?veclass=vec01403", "vec01403 / kopat (v41bsgD)")</f>
        <v>vec01403 / kopat (v41bsgD)</v>
      </c>
      <c r="AF667">
        <v>2.9180000000000001E-2</v>
      </c>
      <c r="AG667" t="s">
        <v>29</v>
      </c>
    </row>
    <row r="669" spans="1:33" x14ac:dyDescent="0.2">
      <c r="A669" t="str">
        <f>HYPERLINK("https://lindat.mff.cuni.cz/services/PDT-Vallex4.5/PDT-Vallex4.5.html?verb=zlepšovat se", "zlepšovat se")</f>
        <v>zlepšovat se</v>
      </c>
      <c r="B669" t="str">
        <f>HYPERLINK("https://lindat.mff.cuni.cz/services/PDT-Vallex4.5/PDT-Vallex4.5.html?verb=zlepšovat se#v41rilA", "v41rilA")</f>
        <v>v41rilA</v>
      </c>
      <c r="E669">
        <v>88</v>
      </c>
      <c r="F669">
        <v>0.28977999999999998</v>
      </c>
      <c r="G669" s="1" t="s">
        <v>32</v>
      </c>
      <c r="K669" t="str">
        <f>HYPERLINK("https://lindat.mff.cuni.cz/services/SynSemClass55/SynSemClass55.html?veclass=vec00386", "vec00386 / zlepšit (v41rihA)")</f>
        <v>vec00386 / zlepšit (v41rihA)</v>
      </c>
      <c r="L669">
        <v>0.28977999999999998</v>
      </c>
      <c r="M669" t="s">
        <v>31</v>
      </c>
      <c r="P669" t="str">
        <f>HYPERLINK("https://lindat.mff.cuni.cz/services/SynSemClass55/SynSemClass55.html?veclass=vec00786", "vec00786 / zhoršit se (v41rcsA)")</f>
        <v>vec00786 / zhoršit se (v41rcsA)</v>
      </c>
      <c r="Q669">
        <v>0.17601</v>
      </c>
      <c r="R669" t="s">
        <v>31</v>
      </c>
      <c r="S669" t="s">
        <v>36</v>
      </c>
      <c r="U669" t="str">
        <f>HYPERLINK("https://lindat.mff.cuni.cz/services/SynSemClass55/SynSemClass55.html?veclass=vec01261", "vec01261 / polepšit si (v41gcuA)")</f>
        <v>vec01261 / polepšit si (v41gcuA)</v>
      </c>
      <c r="V669">
        <v>0.13203000000000001</v>
      </c>
      <c r="W669" t="s">
        <v>29</v>
      </c>
      <c r="Z669" t="str">
        <f>HYPERLINK("https://lindat.mff.cuni.cz/services/SynSemClass55/SynSemClass55.html?veclass=vec00510", "vec00510 / rozvíjet se (v41kbjB)")</f>
        <v>vec00510 / rozvíjet se (v41kbjB)</v>
      </c>
      <c r="AA669">
        <v>0.10317</v>
      </c>
      <c r="AB669" t="s">
        <v>29</v>
      </c>
      <c r="AE669" t="str">
        <f>HYPERLINK("https://lindat.mff.cuni.cz/services/SynSemClass55/SynSemClass55.html?veclass=vec00109", "vec00109 / růst (v41kcmB)")</f>
        <v>vec00109 / růst (v41kcmB)</v>
      </c>
      <c r="AF669">
        <v>7.782E-2</v>
      </c>
      <c r="AG669" t="s">
        <v>29</v>
      </c>
    </row>
    <row r="671" spans="1:33" x14ac:dyDescent="0.2">
      <c r="A671" t="str">
        <f>HYPERLINK("https://lindat.mff.cuni.cz/services/PDT-Vallex4.5/PDT-Vallex4.5.html?verb=zmocňovat se", "zmocňovat se")</f>
        <v>zmocňovat se</v>
      </c>
      <c r="B671" t="str">
        <f>HYPERLINK("https://lindat.mff.cuni.cz/services/PDT-Vallex4.5/PDT-Vallex4.5.html?verb=zmocňovat se#v41rlsA", "v41rlsA")</f>
        <v>v41rlsA</v>
      </c>
      <c r="E671">
        <v>548</v>
      </c>
      <c r="F671">
        <v>0.11869</v>
      </c>
      <c r="G671" s="1" t="s">
        <v>32</v>
      </c>
      <c r="K671" t="str">
        <f>HYPERLINK("https://lindat.mff.cuni.cz/services/SynSemClass55/SynSemClass55.html?veclass=vec00677", "vec00677 / popadnout (v41gggA)")</f>
        <v>vec00677 / popadnout (v41gggA)</v>
      </c>
      <c r="L671">
        <v>0.11869</v>
      </c>
      <c r="M671" t="s">
        <v>29</v>
      </c>
      <c r="P671" t="str">
        <f>HYPERLINK("https://lindat.mff.cuni.cz/services/SynSemClass55/SynSemClass55.html?veclass=vec00613", "vec00613 / chopit se (v41bblA)")</f>
        <v>vec00613 / chopit se (v41bblA)</v>
      </c>
      <c r="Q671">
        <v>6.3259999999999997E-2</v>
      </c>
      <c r="R671" t="s">
        <v>31</v>
      </c>
      <c r="U671" t="str">
        <f>HYPERLINK("https://lindat.mff.cuni.cz/services/SynSemClass55/SynSemClass55.html?veclass=vec00096", "vec00096 / převzít (v41inuB)")</f>
        <v>vec00096 / převzít (v41inuB)</v>
      </c>
      <c r="V671">
        <v>5.7660000000000003E-2</v>
      </c>
      <c r="W671" t="s">
        <v>29</v>
      </c>
      <c r="Z671" t="str">
        <f>HYPERLINK("https://lindat.mff.cuni.cz/services/SynSemClass55/SynSemClass55.html?veclass=vec01206", "vec01206 / dát (v41plY)")</f>
        <v>vec01206 / dát (v41plY)</v>
      </c>
      <c r="AA671">
        <v>4.1919999999999999E-2</v>
      </c>
      <c r="AB671" t="s">
        <v>29</v>
      </c>
      <c r="AE671" t="str">
        <f>HYPERLINK("https://lindat.mff.cuni.cz/services/SynSemClass55/SynSemClass55.html?veclass=vec00646", "vec00646 / obsadit (v41dsrB)")</f>
        <v>vec00646 / obsadit (v41dsrB)</v>
      </c>
      <c r="AF671">
        <v>4.0919999999999998E-2</v>
      </c>
      <c r="AG671" t="s">
        <v>29</v>
      </c>
    </row>
    <row r="673" spans="1:33" x14ac:dyDescent="0.2">
      <c r="A673" t="str">
        <f>HYPERLINK("https://lindat.mff.cuni.cz/services/PDT-Vallex4.5/PDT-Vallex4.5.html?verb=znamenat", "znamenat")</f>
        <v>znamenat</v>
      </c>
      <c r="B673" t="str">
        <f>HYPERLINK("https://lindat.mff.cuni.cz/services/PDT-Vallex4.5/PDT-Vallex4.5.html?verb=znamenat#v41rmoA", "v41rmoA")</f>
        <v>v41rmoA</v>
      </c>
      <c r="E673">
        <v>5000</v>
      </c>
      <c r="F673">
        <v>0.93084</v>
      </c>
      <c r="G673" s="1" t="s">
        <v>241</v>
      </c>
      <c r="K673" t="str">
        <f>HYPERLINK("https://lindat.mff.cuni.cz/services/SynSemClass55/SynSemClass55.html?veclass=vec00194", "vec00194 / znamenat (v41rmoB)")</f>
        <v>vec00194 / znamenat (v41rmoB)</v>
      </c>
      <c r="L673">
        <v>0.93084</v>
      </c>
      <c r="M673" t="s">
        <v>29</v>
      </c>
      <c r="P673" t="str">
        <f>HYPERLINK("https://lindat.mff.cuni.cz/services/SynSemClass55/SynSemClass55.html?veclass=vec00796", "vec00796 / ztělesňovat (v41rygA)")</f>
        <v>vec00796 / ztělesňovat (v41rygA)</v>
      </c>
      <c r="Q673">
        <v>1.2970000000000001E-2</v>
      </c>
      <c r="R673" t="s">
        <v>29</v>
      </c>
      <c r="U673" t="str">
        <f>HYPERLINK("https://lindat.mff.cuni.cz/services/SynSemClass55/SynSemClass55.html?veclass=vec00309", "vec00309 / skončit (v41krfG)")</f>
        <v>vec00309 / skončit (v41krfG)</v>
      </c>
      <c r="V673">
        <v>9.2099999999999994E-3</v>
      </c>
      <c r="W673" t="s">
        <v>29</v>
      </c>
      <c r="Z673" t="str">
        <f>HYPERLINK("https://lindat.mff.cuni.cz/services/SynSemClass55/SynSemClass55.html?veclass=vec00003", "vec00003 / čekat (v41mtF)")</f>
        <v>vec00003 / čekat (v41mtF)</v>
      </c>
      <c r="AA673">
        <v>8.8999999999999999E-3</v>
      </c>
      <c r="AB673" t="s">
        <v>29</v>
      </c>
      <c r="AE673" t="str">
        <f>HYPERLINK("https://lindat.mff.cuni.cz/services/SynSemClass55/SynSemClass55.html?veclass=vec00141", "vec00141 / ukazovat (v41mlqF)")</f>
        <v>vec00141 / ukazovat (v41mlqF)</v>
      </c>
      <c r="AF673">
        <v>8.2799999999999992E-3</v>
      </c>
      <c r="AG673" t="s">
        <v>29</v>
      </c>
    </row>
    <row r="675" spans="1:33" x14ac:dyDescent="0.2">
      <c r="A675" t="str">
        <f>HYPERLINK("https://lindat.mff.cuni.cz/services/PDT-Vallex4.5/PDT-Vallex4.5.html?verb=znovuobnovit", "znovuobnovit")</f>
        <v>znovuobnovit</v>
      </c>
      <c r="B675" t="str">
        <f>HYPERLINK("https://lindat.mff.cuni.cz/services/PDT-Vallex4.5/PDT-Vallex4.5.html?verb=znovuobnovit#v41rpxA", "v41rpxA")</f>
        <v>v41rpxA</v>
      </c>
      <c r="E675">
        <v>1</v>
      </c>
      <c r="F675">
        <v>0.96850000000000003</v>
      </c>
      <c r="G675" s="1" t="s">
        <v>32</v>
      </c>
      <c r="I675" s="1" t="s">
        <v>242</v>
      </c>
      <c r="K675" t="str">
        <f>HYPERLINK("https://lindat.mff.cuni.cz/services/SynSemClass55/SynSemClass55.html?veclass=vec00246", "vec00246 / obnovit (v41driA)")</f>
        <v>vec00246 / obnovit (v41driA)</v>
      </c>
      <c r="L675">
        <v>0.96850000000000003</v>
      </c>
      <c r="M675" t="s">
        <v>33</v>
      </c>
      <c r="P675" t="str">
        <f>HYPERLINK("https://lindat.mff.cuni.cz/services/SynSemClass55/SynSemClass55.html?veclass=vec00744", "vec00744 / vracet se (v41npvA)")</f>
        <v>vec00744 / vracet se (v41npvA)</v>
      </c>
      <c r="Q675">
        <v>2.147E-2</v>
      </c>
      <c r="R675" t="s">
        <v>29</v>
      </c>
      <c r="U675" t="str">
        <f>HYPERLINK("https://lindat.mff.cuni.cz/services/SynSemClass55/SynSemClass55.html?veclass=vec01189", "vec01189 / zrekonstruovat (v41rwrB)")</f>
        <v>vec01189 / zrekonstruovat (v41rwrB)</v>
      </c>
      <c r="V675">
        <v>1.8319999999999999E-2</v>
      </c>
      <c r="W675" t="s">
        <v>29</v>
      </c>
      <c r="Z675" t="str">
        <f>HYPERLINK("https://lindat.mff.cuni.cz/services/SynSemClass55/SynSemClass55.html?veclass=vec01876", "vec01876 / rozpracovávat (v41jwrA)")</f>
        <v>vec01876 / rozpracovávat (v41jwrA)</v>
      </c>
      <c r="AA675">
        <v>1.503E-2</v>
      </c>
      <c r="AB675" t="s">
        <v>29</v>
      </c>
      <c r="AE675" t="str">
        <f>HYPERLINK("https://lindat.mff.cuni.cz/services/SynSemClass55/SynSemClass55.html?veclass=vec01167", "vec01167 / zabudovat (v41pqdB)")</f>
        <v>vec01167 / zabudovat (v41pqdB)</v>
      </c>
      <c r="AF675">
        <v>1.255E-2</v>
      </c>
      <c r="AG675" t="s">
        <v>29</v>
      </c>
    </row>
    <row r="677" spans="1:33" x14ac:dyDescent="0.2">
      <c r="A677" t="str">
        <f>HYPERLINK("https://lindat.mff.cuni.cz/services/PDT-Vallex4.5/PDT-Vallex4.5.html?verb=znovuzvolit", "znovuzvolit")</f>
        <v>znovuzvolit</v>
      </c>
      <c r="B677" t="str">
        <f>HYPERLINK("https://lindat.mff.cuni.cz/services/PDT-Vallex4.5/PDT-Vallex4.5.html?verb=znovuzvolit#v41rqfA", "v41rqfA")</f>
        <v>v41rqfA</v>
      </c>
      <c r="E677">
        <v>1</v>
      </c>
      <c r="F677">
        <v>0.89290000000000003</v>
      </c>
      <c r="G677" s="1" t="s">
        <v>243</v>
      </c>
      <c r="I677" s="1" t="s">
        <v>242</v>
      </c>
      <c r="K677" t="str">
        <f>HYPERLINK("https://lindat.mff.cuni.cz/services/SynSemClass55/SynSemClass55.html?veclass=vec00228", "vec00228 / jmenovat (v41biqB)")</f>
        <v>vec00228 / jmenovat (v41biqB)</v>
      </c>
      <c r="L677">
        <v>0.89290000000000003</v>
      </c>
      <c r="M677" t="s">
        <v>29</v>
      </c>
      <c r="P677" t="str">
        <f>HYPERLINK("https://lindat.mff.cuni.cz/services/SynSemClass55/SynSemClass55.html?veclass=vec01076", "vec01076 / potvrdit (v41grtB)")</f>
        <v>vec01076 / potvrdit (v41grtB)</v>
      </c>
      <c r="Q677">
        <v>4.4699999999999997E-2</v>
      </c>
      <c r="R677" t="s">
        <v>29</v>
      </c>
      <c r="U677" t="str">
        <f>HYPERLINK("https://lindat.mff.cuni.cz/services/SynSemClass55/SynSemClass55.html?veclass=vec00020", "vec00020 / hlasovat (v41avjB)")</f>
        <v>vec00020 / hlasovat (v41avjB)</v>
      </c>
      <c r="V677">
        <v>1.966E-2</v>
      </c>
      <c r="W677" t="s">
        <v>33</v>
      </c>
      <c r="Z677" t="str">
        <f>HYPERLINK("https://lindat.mff.cuni.cz/services/SynSemClass55/SynSemClass55.html?veclass=vec00423", "vec00423 / kandidovat (v41bjgB)")</f>
        <v>vec00423 / kandidovat (v41bjgB)</v>
      </c>
      <c r="AA677">
        <v>1.9009999999999999E-2</v>
      </c>
      <c r="AB677" t="s">
        <v>29</v>
      </c>
      <c r="AE677" t="str">
        <f>HYPERLINK("https://lindat.mff.cuni.cz/services/SynSemClass55/SynSemClass55.html?veclass=vec01047", "vec01047 / navrhnout (v41dgxC)")</f>
        <v>vec01047 / navrhnout (v41dgxC)</v>
      </c>
      <c r="AF677">
        <v>1.6729999999999998E-2</v>
      </c>
      <c r="AG677" t="s">
        <v>29</v>
      </c>
    </row>
    <row r="679" spans="1:33" x14ac:dyDescent="0.2">
      <c r="A679" t="str">
        <f>HYPERLINK("https://lindat.mff.cuni.cz/services/PDT-Vallex4.5/PDT-Vallex4.5.html?verb=zocelit", "zocelit")</f>
        <v>zocelit</v>
      </c>
      <c r="B679" t="str">
        <f>HYPERLINK("https://lindat.mff.cuni.cz/services/PDT-Vallex4.5/PDT-Vallex4.5.html?verb=zocelit#v41rqqA", "v41rqqA")</f>
        <v>v41rqqA</v>
      </c>
      <c r="E679">
        <v>23</v>
      </c>
      <c r="F679">
        <v>5.8569999999999997E-2</v>
      </c>
      <c r="G679" s="1" t="s">
        <v>97</v>
      </c>
      <c r="K679" t="str">
        <f>HYPERLINK("https://lindat.mff.cuni.cz/services/SynSemClass55/SynSemClass55.html?veclass=vec00390", "vec00390 / zotavit se (v41rrtA)")</f>
        <v>vec00390 / zotavit se (v41rrtA)</v>
      </c>
      <c r="L679">
        <v>5.8569999999999997E-2</v>
      </c>
      <c r="M679" t="s">
        <v>29</v>
      </c>
      <c r="P679" t="str">
        <f>HYPERLINK("https://lindat.mff.cuni.cz/services/SynSemClass55/SynSemClass55.html?veclass=vec00958", "vec00958 / vyčinit (v41nvxA)")</f>
        <v>vec00958 / vyčinit (v41nvxA)</v>
      </c>
      <c r="Q679">
        <v>5.2729999999999999E-2</v>
      </c>
      <c r="R679" t="s">
        <v>29</v>
      </c>
      <c r="U679" t="str">
        <f>HYPERLINK("https://lindat.mff.cuni.cz/services/SynSemClass55/SynSemClass55.html?veclass=vec00246", "vec00246 / obnovit (v41driA)")</f>
        <v>vec00246 / obnovit (v41driA)</v>
      </c>
      <c r="V679">
        <v>5.2229999999999999E-2</v>
      </c>
      <c r="W679" t="s">
        <v>29</v>
      </c>
      <c r="Z679" t="str">
        <f>HYPERLINK("https://lindat.mff.cuni.cz/services/SynSemClass55/SynSemClass55.html?veclass=vec01792", "vec01792 / obměkčit (v41dqyA)")</f>
        <v>vec01792 / obměkčit (v41dqyA)</v>
      </c>
      <c r="AA679">
        <v>4.4209999999999999E-2</v>
      </c>
      <c r="AB679" t="s">
        <v>29</v>
      </c>
      <c r="AE679" t="str">
        <f>HYPERLINK("https://lindat.mff.cuni.cz/services/SynSemClass55/SynSemClass55.html?veclass=vec00372", "vec00372 / zasáhnout (v41qjyA)")</f>
        <v>vec00372 / zasáhnout (v41qjyA)</v>
      </c>
      <c r="AF679">
        <v>4.122E-2</v>
      </c>
      <c r="AG679" t="s">
        <v>29</v>
      </c>
    </row>
    <row r="681" spans="1:33" x14ac:dyDescent="0.2">
      <c r="A681" t="str">
        <f>HYPERLINK("https://lindat.mff.cuni.cz/services/PDT-Vallex4.5/PDT-Vallex4.5.html?verb=zplodit", "zplodit")</f>
        <v>zplodit</v>
      </c>
      <c r="B681" t="str">
        <f>HYPERLINK("https://lindat.mff.cuni.cz/services/PDT-Vallex4.5/PDT-Vallex4.5.html?verb=zplodit#v41rsuB", "v41rsuB")</f>
        <v>v41rsuB</v>
      </c>
      <c r="E681">
        <v>284</v>
      </c>
      <c r="F681">
        <v>0.53752999999999995</v>
      </c>
      <c r="G681" s="1" t="s">
        <v>241</v>
      </c>
      <c r="I681" s="1" t="s">
        <v>60</v>
      </c>
      <c r="K681" t="str">
        <f>HYPERLINK("https://lindat.mff.cuni.cz/services/SynSemClass55/SynSemClass55.html?veclass=vec01595", "vec01595 / porodit (v41gjbA)")</f>
        <v>vec01595 / porodit (v41gjbA)</v>
      </c>
      <c r="L681">
        <v>0.53752999999999995</v>
      </c>
      <c r="M681" t="s">
        <v>29</v>
      </c>
      <c r="P681" t="str">
        <f>HYPERLINK("https://lindat.mff.cuni.cz/services/SynSemClass55/SynSemClass55.html?veclass=vec00660", "vec00660 / oplodnit (v41ewdA)")</f>
        <v>vec00660 / oplodnit (v41ewdA)</v>
      </c>
      <c r="Q681">
        <v>0.14213999999999999</v>
      </c>
      <c r="R681" t="s">
        <v>29</v>
      </c>
      <c r="U681" t="str">
        <f>HYPERLINK("https://lindat.mff.cuni.cz/services/SynSemClass55/SynSemClass55.html?veclass=vec00442", "vec00442 / narodit se (v41czdA)")</f>
        <v>vec00442 / narodit se (v41czdA)</v>
      </c>
      <c r="V681">
        <v>3.8109999999999998E-2</v>
      </c>
      <c r="W681" t="s">
        <v>29</v>
      </c>
      <c r="Z681" t="str">
        <f>HYPERLINK("https://lindat.mff.cuni.cz/services/SynSemClass55/SynSemClass55.html?veclass=vec00179", "vec00179 / zakládat (v41pwsA)")</f>
        <v>vec00179 / zakládat (v41pwsA)</v>
      </c>
      <c r="AA681">
        <v>2.8389999999999999E-2</v>
      </c>
      <c r="AB681" t="s">
        <v>29</v>
      </c>
      <c r="AE681" t="str">
        <f>HYPERLINK("https://lindat.mff.cuni.cz/services/SynSemClass55/SynSemClass55.html?veclass=vec00196", "vec00196 / způsobit (v41rvuB)")</f>
        <v>vec00196 / způsobit (v41rvuB)</v>
      </c>
      <c r="AF681">
        <v>2.7119999999999998E-2</v>
      </c>
      <c r="AG681" t="s">
        <v>29</v>
      </c>
    </row>
    <row r="683" spans="1:33" x14ac:dyDescent="0.2">
      <c r="A683" t="str">
        <f>HYPERLINK("https://lindat.mff.cuni.cz/services/PDT-Vallex4.5/PDT-Vallex4.5.html?verb=zpohodlnět", "zpohodlnět")</f>
        <v>zpohodlnět</v>
      </c>
      <c r="B683" t="str">
        <f>HYPERLINK("https://lindat.mff.cuni.cz/services/PDT-Vallex4.5/PDT-Vallex4.5.html?verb=zpohodlnět#v41rsyA", "v41rsyA")</f>
        <v>v41rsyA</v>
      </c>
      <c r="E683">
        <v>15</v>
      </c>
      <c r="F683">
        <v>0.15936</v>
      </c>
      <c r="G683" s="1" t="s">
        <v>244</v>
      </c>
      <c r="K683" t="str">
        <f>HYPERLINK("https://lindat.mff.cuni.cz/services/SynSemClass55/SynSemClass55.html?veclass=vec01914", "vec01914 / uvolnit se (v41ndwA)")</f>
        <v>vec01914 / uvolnit se (v41ndwA)</v>
      </c>
      <c r="L683">
        <v>0.15936</v>
      </c>
      <c r="M683" t="s">
        <v>29</v>
      </c>
      <c r="P683" t="str">
        <f>HYPERLINK("https://lindat.mff.cuni.cz/services/SynSemClass55/SynSemClass55.html?veclass=vec00390", "vec00390 / zotavit se (v41rrtA)")</f>
        <v>vec00390 / zotavit se (v41rrtA)</v>
      </c>
      <c r="Q683">
        <v>6.9159999999999999E-2</v>
      </c>
      <c r="R683" t="s">
        <v>29</v>
      </c>
      <c r="U683" t="str">
        <f>HYPERLINK("https://lindat.mff.cuni.cz/services/SynSemClass55/SynSemClass55.html?veclass=vec00733", "vec00733 / uklidnit se (v41mmbA)")</f>
        <v>vec00733 / uklidnit se (v41mmbA)</v>
      </c>
      <c r="V683">
        <v>5.5989999999999998E-2</v>
      </c>
      <c r="W683" t="s">
        <v>29</v>
      </c>
      <c r="Z683" t="str">
        <f>HYPERLINK("https://lindat.mff.cuni.cz/services/SynSemClass55/SynSemClass55.html?veclass=vec00536", "vec00536 / uklidnit (v41mmaA)")</f>
        <v>vec00536 / uklidnit (v41mmaA)</v>
      </c>
      <c r="AA683">
        <v>5.3460000000000001E-2</v>
      </c>
      <c r="AB683" t="s">
        <v>29</v>
      </c>
      <c r="AE683" t="str">
        <f>HYPERLINK("https://lindat.mff.cuni.cz/services/SynSemClass55/SynSemClass55.html?veclass=vec01863", "vec01863 / relaxovat (v41jidA)")</f>
        <v>vec01863 / relaxovat (v41jidA)</v>
      </c>
      <c r="AF683">
        <v>4.8460000000000003E-2</v>
      </c>
      <c r="AG683" t="s">
        <v>29</v>
      </c>
    </row>
    <row r="685" spans="1:33" x14ac:dyDescent="0.2">
      <c r="A685" t="str">
        <f>HYPERLINK("https://lindat.mff.cuni.cz/services/PDT-Vallex4.5/PDT-Vallex4.5.html?verb=zpřísnět", "zpřísnět")</f>
        <v>zpřísnět</v>
      </c>
      <c r="B685" t="str">
        <f>HYPERLINK("https://lindat.mff.cuni.cz/services/PDT-Vallex4.5/PDT-Vallex4.5.html?verb=zpřísnět#v41rvhA", "v41rvhA")</f>
        <v>v41rvhA</v>
      </c>
      <c r="E685">
        <v>29</v>
      </c>
      <c r="F685">
        <v>0.12361</v>
      </c>
      <c r="G685" s="1">
        <v>0</v>
      </c>
      <c r="I685" s="1" t="s">
        <v>245</v>
      </c>
      <c r="K685" t="str">
        <f>HYPERLINK("https://lindat.mff.cuni.cz/services/SynSemClass55/SynSemClass55.html?veclass=vec01819", "vec01819 / pookřát (v41ggaA)")</f>
        <v>vec01819 / pookřát (v41ggaA)</v>
      </c>
      <c r="L685">
        <v>0.12361</v>
      </c>
      <c r="M685" t="s">
        <v>29</v>
      </c>
      <c r="P685" t="str">
        <f>HYPERLINK("https://lindat.mff.cuni.cz/services/SynSemClass55/SynSemClass55.html?veclass=vec01301", "vec01301 / přitvrdit (v41javA)")</f>
        <v>vec01301 / přitvrdit (v41javA)</v>
      </c>
      <c r="Q685">
        <v>9.4039999999999999E-2</v>
      </c>
      <c r="R685" t="s">
        <v>51</v>
      </c>
      <c r="U685" t="str">
        <f>HYPERLINK("https://lindat.mff.cuni.cz/services/SynSemClass55/SynSemClass55.html?veclass=vec01371", "vec01371 / zalapat (v41pzfA)")</f>
        <v>vec01371 / zalapat (v41pzfA)</v>
      </c>
      <c r="V685">
        <v>4.9770000000000002E-2</v>
      </c>
      <c r="W685" t="s">
        <v>29</v>
      </c>
      <c r="Z685" t="str">
        <f>HYPERLINK("https://lindat.mff.cuni.cz/services/SynSemClass55/SynSemClass55.html?veclass=vec00997", "vec00997 / zpevnit (v41rsiA)")</f>
        <v>vec00997 / zpevnit (v41rsiA)</v>
      </c>
      <c r="AA685">
        <v>4.487E-2</v>
      </c>
      <c r="AB685" t="s">
        <v>29</v>
      </c>
      <c r="AE685" t="str">
        <f>HYPERLINK("https://lindat.mff.cuni.cz/services/SynSemClass55/SynSemClass55.html?veclass=vec00055", "vec00055 / oslabit (v41ezlC)")</f>
        <v>vec00055 / oslabit (v41ezlC)</v>
      </c>
      <c r="AF685">
        <v>4.07E-2</v>
      </c>
      <c r="AG685" t="s">
        <v>29</v>
      </c>
    </row>
    <row r="687" spans="1:33" x14ac:dyDescent="0.2">
      <c r="A687" t="str">
        <f>HYPERLINK("https://lindat.mff.cuni.cz/services/PDT-Vallex4.5/PDT-Vallex4.5.html?verb=zreorganizovat", "zreorganizovat")</f>
        <v>zreorganizovat</v>
      </c>
      <c r="B687" t="str">
        <f>HYPERLINK("https://lindat.mff.cuni.cz/services/PDT-Vallex4.5/PDT-Vallex4.5.html?verb=zreorganizovat#v41rwtA", "v41rwtA")</f>
        <v>v41rwtA</v>
      </c>
      <c r="E687">
        <v>8</v>
      </c>
      <c r="F687">
        <v>0.52990999999999999</v>
      </c>
      <c r="G687" s="1" t="s">
        <v>32</v>
      </c>
      <c r="K687" t="str">
        <f>HYPERLINK("https://lindat.mff.cuni.cz/services/SynSemClass55/SynSemClass55.html?veclass=vec01864", "vec01864 / reorganizovat (v41jioA)")</f>
        <v>vec01864 / reorganizovat (v41jioA)</v>
      </c>
      <c r="L687">
        <v>0.52990999999999999</v>
      </c>
      <c r="M687" t="s">
        <v>31</v>
      </c>
      <c r="P687" t="str">
        <f>HYPERLINK("https://lindat.mff.cuni.cz/services/SynSemClass55/SynSemClass55.html?veclass=vec00896", "vec00896 / převrátit (v41infA)")</f>
        <v>vec00896 / převrátit (v41infA)</v>
      </c>
      <c r="Q687">
        <v>0.12039</v>
      </c>
      <c r="R687" t="s">
        <v>29</v>
      </c>
      <c r="U687" t="str">
        <f>HYPERLINK("https://lindat.mff.cuni.cz/services/SynSemClass55/SynSemClass55.html?veclass=vec00095", "vec00095 / přeměnit (v41iecA)")</f>
        <v>vec00095 / přeměnit (v41iecA)</v>
      </c>
      <c r="V687">
        <v>9.4850000000000004E-2</v>
      </c>
      <c r="W687" t="s">
        <v>29</v>
      </c>
      <c r="Z687" t="str">
        <f>HYPERLINK("https://lindat.mff.cuni.cz/services/SynSemClass55/SynSemClass55.html?veclass=vec00502", "vec00502 / připravovat (v41iwzD)")</f>
        <v>vec00502 / připravovat (v41iwzD)</v>
      </c>
      <c r="AA687">
        <v>2.0240000000000001E-2</v>
      </c>
      <c r="AB687" t="s">
        <v>29</v>
      </c>
      <c r="AE687" t="str">
        <f>HYPERLINK("https://lindat.mff.cuni.cz/services/SynSemClass55/SynSemClass55.html?veclass=vec00723", "vec00723 / spojit (v41lcuA)")</f>
        <v>vec00723 / spojit (v41lcuA)</v>
      </c>
      <c r="AF687">
        <v>1.4460000000000001E-2</v>
      </c>
      <c r="AG687" t="s">
        <v>29</v>
      </c>
    </row>
    <row r="689" spans="1:33" x14ac:dyDescent="0.2">
      <c r="A689" t="str">
        <f>HYPERLINK("https://lindat.mff.cuni.cz/services/PDT-Vallex4.5/PDT-Vallex4.5.html?verb=zřídit", "zřídit")</f>
        <v>zřídit</v>
      </c>
      <c r="B689" t="str">
        <f>HYPERLINK("https://lindat.mff.cuni.cz/services/PDT-Vallex4.5/PDT-Vallex4.5.html?verb=zřídit#v41rxuB", "v41rxuB")</f>
        <v>v41rxuB</v>
      </c>
      <c r="E689">
        <v>492</v>
      </c>
      <c r="F689">
        <v>0.50261999999999996</v>
      </c>
      <c r="G689" s="1" t="s">
        <v>246</v>
      </c>
      <c r="K689" t="str">
        <f>HYPERLINK("https://lindat.mff.cuni.cz/services/SynSemClass55/SynSemClass55.html?veclass=vec00179", "vec00179 / zakládat (v41pwsA)")</f>
        <v>vec00179 / zakládat (v41pwsA)</v>
      </c>
      <c r="L689">
        <v>0.50261999999999996</v>
      </c>
      <c r="M689" t="s">
        <v>29</v>
      </c>
      <c r="P689" t="str">
        <f>HYPERLINK("https://lindat.mff.cuni.cz/services/SynSemClass55/SynSemClass55.html?veclass=vec00075", "vec00075 / postavit (v41gncJ)")</f>
        <v>vec00075 / postavit (v41gncJ)</v>
      </c>
      <c r="Q689">
        <v>8.1739999999999993E-2</v>
      </c>
      <c r="R689" t="s">
        <v>29</v>
      </c>
      <c r="U689" t="str">
        <f>HYPERLINK("https://lindat.mff.cuni.cz/services/SynSemClass55/SynSemClass55.html?veclass=vec00084", "vec00084 / produkovat (v41hcjA)")</f>
        <v>vec00084 / produkovat (v41hcjA)</v>
      </c>
      <c r="V689">
        <v>6.6180000000000003E-2</v>
      </c>
      <c r="W689" t="s">
        <v>29</v>
      </c>
      <c r="Z689" t="str">
        <f>HYPERLINK("https://lindat.mff.cuni.cz/services/SynSemClass55/SynSemClass55.html?veclass=vec01490", "vec01490 / dotvořit (v41ahrA)")</f>
        <v>vec01490 / dotvořit (v41ahrA)</v>
      </c>
      <c r="AA689">
        <v>1.9630000000000002E-2</v>
      </c>
      <c r="AB689" t="s">
        <v>29</v>
      </c>
      <c r="AE689" t="str">
        <f>HYPERLINK("https://lindat.mff.cuni.cz/services/SynSemClass55/SynSemClass55.html?veclass=vec00556", "vec00556 / vyhradit (v41oavA)")</f>
        <v>vec00556 / vyhradit (v41oavA)</v>
      </c>
      <c r="AF689">
        <v>1.848E-2</v>
      </c>
      <c r="AG689" t="s">
        <v>29</v>
      </c>
    </row>
    <row r="691" spans="1:33" x14ac:dyDescent="0.2">
      <c r="A691" t="str">
        <f>HYPERLINK("https://lindat.mff.cuni.cz/services/PDT-Vallex4.5/PDT-Vallex4.5.html?verb=ztenčit", "ztenčit")</f>
        <v>ztenčit</v>
      </c>
      <c r="B691" t="str">
        <f>HYPERLINK("https://lindat.mff.cuni.cz/services/PDT-Vallex4.5/PDT-Vallex4.5.html?verb=ztenčit#v41ryhA", "v41ryhA")</f>
        <v>v41ryhA</v>
      </c>
      <c r="E691">
        <v>52</v>
      </c>
      <c r="F691">
        <v>0.39663999999999999</v>
      </c>
      <c r="G691" s="1" t="s">
        <v>32</v>
      </c>
      <c r="K691" t="str">
        <f>HYPERLINK("https://lindat.mff.cuni.cz/services/SynSemClass55/SynSemClass55.html?veclass=vec00028", "vec00028 / klesnout (v41blkA)")</f>
        <v>vec00028 / klesnout (v41blkA)</v>
      </c>
      <c r="L691">
        <v>0.39663999999999999</v>
      </c>
      <c r="M691" t="s">
        <v>29</v>
      </c>
      <c r="P691" t="str">
        <f>HYPERLINK("https://lindat.mff.cuni.cz/services/SynSemClass55/SynSemClass55.html?veclass=vec00463", "vec00463 / oslabit (v41ezlD)")</f>
        <v>vec00463 / oslabit (v41ezlD)</v>
      </c>
      <c r="Q691">
        <v>9.2840000000000006E-2</v>
      </c>
      <c r="R691" t="s">
        <v>29</v>
      </c>
      <c r="U691" t="str">
        <f>HYPERLINK("https://lindat.mff.cuni.cz/services/SynSemClass55/SynSemClass55.html?veclass=vec00118", "vec00118 / snížit (v41kxlA)")</f>
        <v>vec00118 / snížit (v41kxlA)</v>
      </c>
      <c r="V691">
        <v>7.2470000000000007E-2</v>
      </c>
      <c r="W691" t="s">
        <v>31</v>
      </c>
      <c r="Z691" t="str">
        <f>HYPERLINK("https://lindat.mff.cuni.cz/services/SynSemClass55/SynSemClass55.html?veclass=vec01508", "vec01508 / ořezávat (v41eymA)")</f>
        <v>vec01508 / ořezávat (v41eymA)</v>
      </c>
      <c r="AA691">
        <v>6.7320000000000005E-2</v>
      </c>
      <c r="AB691" t="s">
        <v>29</v>
      </c>
      <c r="AE691" t="str">
        <f>HYPERLINK("https://lindat.mff.cuni.cz/services/SynSemClass55/SynSemClass55.html?veclass=vec00793", "vec00793 / zmírnit se (v41rkyA)")</f>
        <v>vec00793 / zmírnit se (v41rkyA)</v>
      </c>
      <c r="AF691">
        <v>4.48E-2</v>
      </c>
      <c r="AG691" t="s">
        <v>29</v>
      </c>
    </row>
    <row r="693" spans="1:33" x14ac:dyDescent="0.2">
      <c r="A693" t="str">
        <f>HYPERLINK("https://lindat.mff.cuni.cz/services/PDT-Vallex4.5/PDT-Vallex4.5.html?verb=ztupit", "ztupit")</f>
        <v>ztupit</v>
      </c>
      <c r="B693" t="str">
        <f>HYPERLINK("https://lindat.mff.cuni.cz/services/PDT-Vallex4.5/PDT-Vallex4.5.html?verb=ztupit#v41rzqA", "v41rzqA")</f>
        <v>v41rzqA</v>
      </c>
      <c r="E693">
        <v>6</v>
      </c>
      <c r="F693">
        <v>0.14568999999999999</v>
      </c>
      <c r="G693" s="1" t="s">
        <v>247</v>
      </c>
      <c r="K693" t="str">
        <f>HYPERLINK("https://lindat.mff.cuni.cz/services/SynSemClass55/SynSemClass55.html?veclass=vec00055", "vec00055 / oslabit (v41ezlC)")</f>
        <v>vec00055 / oslabit (v41ezlC)</v>
      </c>
      <c r="L693">
        <v>0.14568999999999999</v>
      </c>
      <c r="M693" t="s">
        <v>29</v>
      </c>
      <c r="P693" t="str">
        <f>HYPERLINK("https://lindat.mff.cuni.cz/services/SynSemClass55/SynSemClass55.html?veclass=vec01103", "vec01103 / roztavit se (v41jztA)")</f>
        <v>vec01103 / roztavit se (v41jztA)</v>
      </c>
      <c r="Q693">
        <v>6.1240000000000003E-2</v>
      </c>
      <c r="R693" t="s">
        <v>29</v>
      </c>
      <c r="U693" t="str">
        <f>HYPERLINK("https://lindat.mff.cuni.cz/services/SynSemClass55/SynSemClass55.html?veclass=vec01068", "vec01068 / plácnout (v41fmcB)")</f>
        <v>vec01068 / plácnout (v41fmcB)</v>
      </c>
      <c r="V693">
        <v>4.8899999999999999E-2</v>
      </c>
      <c r="W693" t="s">
        <v>29</v>
      </c>
      <c r="Z693" t="str">
        <f>HYPERLINK("https://lindat.mff.cuni.cz/services/SynSemClass55/SynSemClass55.html?veclass=vec01508", "vec01508 / ořezávat (v41eymA)")</f>
        <v>vec01508 / ořezávat (v41eymA)</v>
      </c>
      <c r="AA693">
        <v>3.5630000000000002E-2</v>
      </c>
      <c r="AB693" t="s">
        <v>29</v>
      </c>
      <c r="AE693" t="str">
        <f>HYPERLINK("https://lindat.mff.cuni.cz/services/SynSemClass55/SynSemClass55.html?veclass=vec01886", "vec01886 / slisovat (v41ktfA)")</f>
        <v>vec01886 / slisovat (v41ktfA)</v>
      </c>
      <c r="AF693">
        <v>3.3930000000000002E-2</v>
      </c>
      <c r="AG693" t="s">
        <v>29</v>
      </c>
    </row>
    <row r="695" spans="1:33" x14ac:dyDescent="0.2">
      <c r="A695" t="str">
        <f>HYPERLINK("https://lindat.mff.cuni.cz/services/PDT-Vallex4.5/PDT-Vallex4.5.html?verb=zužovat", "zužovat")</f>
        <v>zužovat</v>
      </c>
      <c r="B695" t="str">
        <f>HYPERLINK("https://lindat.mff.cuni.cz/services/PDT-Vallex4.5/PDT-Vallex4.5.html?verb=zužovat#v41sanA", "v41sanA")</f>
        <v>v41sanA</v>
      </c>
      <c r="E695">
        <v>176</v>
      </c>
      <c r="F695">
        <v>9.11E-2</v>
      </c>
      <c r="G695" s="1" t="s">
        <v>32</v>
      </c>
      <c r="K695" t="str">
        <f>HYPERLINK("https://lindat.mff.cuni.cz/services/SynSemClass55/SynSemClass55.html?veclass=vec01508", "vec01508 / ořezávat (v41eymA)")</f>
        <v>vec01508 / ořezávat (v41eymA)</v>
      </c>
      <c r="L695">
        <v>9.11E-2</v>
      </c>
      <c r="M695" t="s">
        <v>31</v>
      </c>
      <c r="P695" t="str">
        <f>HYPERLINK("https://lindat.mff.cuni.cz/services/SynSemClass55/SynSemClass55.html?veclass=vec00055", "vec00055 / oslabit (v41ezlC)")</f>
        <v>vec00055 / oslabit (v41ezlC)</v>
      </c>
      <c r="Q695">
        <v>5.6890000000000003E-2</v>
      </c>
      <c r="R695" t="s">
        <v>29</v>
      </c>
      <c r="U695" t="str">
        <f>HYPERLINK("https://lindat.mff.cuni.cz/services/SynSemClass55/SynSemClass55.html?veclass=vec00118", "vec00118 / snížit (v41kxlA)")</f>
        <v>vec00118 / snížit (v41kxlA)</v>
      </c>
      <c r="V695">
        <v>5.4239999999999997E-2</v>
      </c>
      <c r="W695" t="s">
        <v>31</v>
      </c>
      <c r="Z695" t="str">
        <f>HYPERLINK("https://lindat.mff.cuni.cz/services/SynSemClass55/SynSemClass55.html?veclass=vec00463", "vec00463 / oslabit (v41ezlD)")</f>
        <v>vec00463 / oslabit (v41ezlD)</v>
      </c>
      <c r="AA695">
        <v>4.5760000000000002E-2</v>
      </c>
      <c r="AB695" t="s">
        <v>29</v>
      </c>
      <c r="AE695" t="str">
        <f>HYPERLINK("https://lindat.mff.cuni.cz/services/SynSemClass55/SynSemClass55.html?veclass=vec00793", "vec00793 / zmírnit se (v41rkyA)")</f>
        <v>vec00793 / zmírnit se (v41rkyA)</v>
      </c>
      <c r="AF695">
        <v>3.8379999999999997E-2</v>
      </c>
      <c r="AG695" t="s">
        <v>29</v>
      </c>
    </row>
    <row r="696" spans="1:33" x14ac:dyDescent="0.2">
      <c r="A696" t="str">
        <f>HYPERLINK("https://lindat.mff.cuni.cz/services/PDT-Vallex4.5/PDT-Vallex4.5.html?verb=zužovat", "zužovat")</f>
        <v>zužovat</v>
      </c>
      <c r="B696" t="str">
        <f>HYPERLINK("https://lindat.mff.cuni.cz/services/PDT-Vallex4.5/PDT-Vallex4.5.html?verb=zužovat#v41sanB", "v41sanB")</f>
        <v>v41sanB</v>
      </c>
      <c r="E696">
        <v>176</v>
      </c>
      <c r="F696">
        <v>9.11E-2</v>
      </c>
      <c r="G696" s="1" t="s">
        <v>248</v>
      </c>
      <c r="K696" t="str">
        <f>HYPERLINK("https://lindat.mff.cuni.cz/services/SynSemClass55/SynSemClass55.html?veclass=vec01508", "vec01508 / ořezávat (v41eymA)")</f>
        <v>vec01508 / ořezávat (v41eymA)</v>
      </c>
      <c r="L696">
        <v>9.11E-2</v>
      </c>
      <c r="M696" t="s">
        <v>29</v>
      </c>
      <c r="P696" t="str">
        <f>HYPERLINK("https://lindat.mff.cuni.cz/services/SynSemClass55/SynSemClass55.html?veclass=vec00055", "vec00055 / oslabit (v41ezlC)")</f>
        <v>vec00055 / oslabit (v41ezlC)</v>
      </c>
      <c r="Q696">
        <v>5.6890000000000003E-2</v>
      </c>
      <c r="R696" t="s">
        <v>29</v>
      </c>
      <c r="U696" t="str">
        <f>HYPERLINK("https://lindat.mff.cuni.cz/services/SynSemClass55/SynSemClass55.html?veclass=vec00118", "vec00118 / snížit (v41kxlA)")</f>
        <v>vec00118 / snížit (v41kxlA)</v>
      </c>
      <c r="V696">
        <v>5.4239999999999997E-2</v>
      </c>
      <c r="W696" t="s">
        <v>29</v>
      </c>
      <c r="Z696" t="str">
        <f>HYPERLINK("https://lindat.mff.cuni.cz/services/SynSemClass55/SynSemClass55.html?veclass=vec00463", "vec00463 / oslabit (v41ezlD)")</f>
        <v>vec00463 / oslabit (v41ezlD)</v>
      </c>
      <c r="AA696">
        <v>4.5760000000000002E-2</v>
      </c>
      <c r="AB696" t="s">
        <v>29</v>
      </c>
      <c r="AE696" t="str">
        <f>HYPERLINK("https://lindat.mff.cuni.cz/services/SynSemClass55/SynSemClass55.html?veclass=vec00793", "vec00793 / zmírnit se (v41rkyA)")</f>
        <v>vec00793 / zmírnit se (v41rkyA)</v>
      </c>
      <c r="AF696">
        <v>3.8379999999999997E-2</v>
      </c>
      <c r="AG696" t="s">
        <v>29</v>
      </c>
    </row>
    <row r="698" spans="1:33" x14ac:dyDescent="0.2">
      <c r="A698" t="str">
        <f>HYPERLINK("https://lindat.mff.cuni.cz/services/PDT-Vallex4.5/PDT-Vallex4.5.html?verb=zúžit", "zúžit")</f>
        <v>zúžit</v>
      </c>
      <c r="B698" t="str">
        <f>HYPERLINK("https://lindat.mff.cuni.cz/services/PDT-Vallex4.5/PDT-Vallex4.5.html?verb=zúžit#v41sakB", "v41sakB")</f>
        <v>v41sakB</v>
      </c>
      <c r="E698">
        <v>319</v>
      </c>
      <c r="F698">
        <v>7.288E-2</v>
      </c>
      <c r="G698" s="1">
        <v>0</v>
      </c>
      <c r="I698" s="1" t="s">
        <v>249</v>
      </c>
      <c r="K698" t="str">
        <f>HYPERLINK("https://lindat.mff.cuni.cz/services/SynSemClass55/SynSemClass55.html?veclass=vec01508", "vec01508 / ořezávat (v41eymA)")</f>
        <v>vec01508 / ořezávat (v41eymA)</v>
      </c>
      <c r="L698">
        <v>7.288E-2</v>
      </c>
      <c r="M698" t="s">
        <v>29</v>
      </c>
      <c r="P698" t="str">
        <f>HYPERLINK("https://lindat.mff.cuni.cz/services/SynSemClass55/SynSemClass55.html?veclass=vec00118", "vec00118 / snížit (v41kxlA)")</f>
        <v>vec00118 / snížit (v41kxlA)</v>
      </c>
      <c r="Q698">
        <v>6.701E-2</v>
      </c>
      <c r="R698" t="s">
        <v>29</v>
      </c>
      <c r="U698" t="str">
        <f>HYPERLINK("https://lindat.mff.cuni.cz/services/SynSemClass55/SynSemClass55.html?veclass=vec00055", "vec00055 / oslabit (v41ezlC)")</f>
        <v>vec00055 / oslabit (v41ezlC)</v>
      </c>
      <c r="V698">
        <v>4.3290000000000002E-2</v>
      </c>
      <c r="W698" t="s">
        <v>29</v>
      </c>
      <c r="Z698" t="str">
        <f>HYPERLINK("https://lindat.mff.cuni.cz/services/SynSemClass55/SynSemClass55.html?veclass=vec00637", "vec00637 / naklonit se (v41csfB)")</f>
        <v>vec00637 / naklonit se (v41csfB)</v>
      </c>
      <c r="AA698">
        <v>4.1880000000000001E-2</v>
      </c>
      <c r="AB698" t="s">
        <v>29</v>
      </c>
      <c r="AE698" t="str">
        <f>HYPERLINK("https://lindat.mff.cuni.cz/services/SynSemClass55/SynSemClass55.html?veclass=vec01819", "vec01819 / pookřát (v41ggaA)")</f>
        <v>vec01819 / pookřát (v41ggaA)</v>
      </c>
      <c r="AF698">
        <v>4.036E-2</v>
      </c>
      <c r="AG698" t="s">
        <v>29</v>
      </c>
    </row>
    <row r="700" spans="1:33" x14ac:dyDescent="0.2">
      <c r="A700" t="str">
        <f>HYPERLINK("https://lindat.mff.cuni.cz/services/PDT-Vallex4.5/PDT-Vallex4.5.html?verb=žvanit", "žvanit")</f>
        <v>žvanit</v>
      </c>
      <c r="B700" t="str">
        <f>HYPERLINK("https://lindat.mff.cuni.cz/services/PDT-Vallex4.5/PDT-Vallex4.5.html?verb=žvanit#v41sevA", "v41sevA")</f>
        <v>v41sevA</v>
      </c>
      <c r="E700">
        <v>526</v>
      </c>
      <c r="F700">
        <v>0.13321</v>
      </c>
      <c r="G700" s="1" t="s">
        <v>250</v>
      </c>
      <c r="K700" t="str">
        <f>HYPERLINK("https://lindat.mff.cuni.cz/services/SynSemClass55/SynSemClass55.html?veclass=vec01489", "vec01489 / bručet (v41inA)")</f>
        <v>vec01489 / bručet (v41inA)</v>
      </c>
      <c r="L700">
        <v>0.13321</v>
      </c>
      <c r="M700" t="s">
        <v>29</v>
      </c>
      <c r="P700" t="str">
        <f>HYPERLINK("https://lindat.mff.cuni.cz/services/SynSemClass55/SynSemClass55.html?veclass=vec00633", "vec00633 / nadávat (v41cnkB)")</f>
        <v>vec00633 / nadávat (v41cnkB)</v>
      </c>
      <c r="Q700">
        <v>0.12217</v>
      </c>
      <c r="R700" t="s">
        <v>29</v>
      </c>
      <c r="U700" t="str">
        <f>HYPERLINK("https://lindat.mff.cuni.cz/services/SynSemClass55/SynSemClass55.html?veclass=vec01529", "vec01529 / špitnout (v41lutA)")</f>
        <v>vec01529 / špitnout (v41lutA)</v>
      </c>
      <c r="V700">
        <v>0.11296</v>
      </c>
      <c r="W700" t="s">
        <v>29</v>
      </c>
      <c r="Z700" t="str">
        <f>HYPERLINK("https://lindat.mff.cuni.cz/services/SynSemClass55/SynSemClass55.html?veclass=vec01056", "vec01056 / odfrknout si (v41dznA)")</f>
        <v>vec01056 / odfrknout si (v41dznA)</v>
      </c>
      <c r="AA700">
        <v>7.4109999999999995E-2</v>
      </c>
      <c r="AB700" t="s">
        <v>29</v>
      </c>
      <c r="AE700" t="str">
        <f>HYPERLINK("https://lindat.mff.cuni.cz/services/SynSemClass55/SynSemClass55.html?veclass=vec00832", "vec00832 / lhát (v41cafA)")</f>
        <v>vec00832 / lhát (v41cafA)</v>
      </c>
      <c r="AF700">
        <v>6.4829999999999999E-2</v>
      </c>
      <c r="AG700" t="s">
        <v>29</v>
      </c>
    </row>
  </sheetData>
  <dataValidations count="1">
    <dataValidation type="list" operator="equal" allowBlank="1" showErrorMessage="1" sqref="W4 W6 W8 W10 W12 W14 W16 W18 W20 W22 W24 W26 W28 W30 W32 W34 W36 W38 W40 W42 W44 W46 W48 W50 W52:W53 W55 W57 W59 W61 W63 W65 W67 W69 W71 W73 W75 W77 W79 W81 W83:W84 W86 W88 W90 W92 W94 W96 W98 W100 W102 W104 W106 W108 W110 W112 W114 W116 W118 W120 W122 W124 W126 W128 W130 W132 W134 W136 W138 W140 W142 W144 W146 W148 W150 W152 W154 W156 W158 W160 W162 W164 W166 W168 W170 W172 W174 W176 W178 W180 W182 W184 W186 W188 W190 W192 W194 W196 W198 W200 W202 W204 W206 W208 W210 W212 W214 W216 W218 W220 W222 W224 W226 W228 W230 W232 W234 W236 W238 W240 W242 W244 W246 W248 W250 W252 W254 W256 W258 W260 W262 W264 W266 W268 W270 W272 W274 W276 W278 W280 W282 W284 W286 W288 W290 W292 W294 W296 W298 W300 W302 W304 W306 W308 W310:W311 W313 W315 W317 W319 W321:W322 W324 W326 W328 W330 W332 W334 W336 W338 W340 W342 W344 W346 W348 W350 W352 W354 W356 W358 W360 W362 W364 W366 W368 W370 W372 W374 W376 W378 W380 W382 W384 W386 W388:W389 W391 W393 W395 W397 W399 W401 W403 W405 W407 W409 W411 W413 W415 W417 W419 W421 W423 W425 W427 W429 W431 W433 W435 W437 W439:W440 W442 W444 W446 W448 W450 W452 W454 W456 W458:W459 W461 W463 W465 W467 W469 W471 W473 W475 W477 W479 W481 W483 W485 W487 W489 W491 W493 W495 W497 W499 W501 W503 W505 W507 W509 W511 W513 W515 W517 W519 W521 W523 W525 W527 W529 W531 W533 W535 W537 W539 W541 W543 W545 W547 W549 W551 W553 W555 W557 W559 W561 W563 W565 W567 W569 W571 W573 W575 W577 W579 W581 W583 W585 W587 W589 W591 W593 W595 W597 W599 W601 W603 W605 W607 W609 W611 W613 W615 W617 W619 W621 W623 W625 W627:W628 W630 W632 W634 W636 W638:W639 W641 W643 W645 W647 W649 W651 W653 W655 W657 W659 W661 W663 W665 W667 W669 W671 W673 W675 W677 W679 W681 W683 W685 W687 W689 W691 W693 W695:W696 W698 W700:W1700 R4 R6 R8 R10 R12 R14 R16 R18 R20 R22 R24 R26 R28 R30 R32 R34 R36 R38 R40 R42 R44 R46 R48 R50 R52:R53 R55 R57 R59 R61 R63 R65 R67 R69 R71 R73 R75 R77 R79 R81 R83:R84 R86 R88 R90 R92 R94 R96 R98 R100 R102 R104 R106 R108 R110 R112 R114 R116 R118 R120 R122 R124 R126 R128 R130 R132 R134 R136 R138 R140 R142 R144 R146 R148 R150 R152 R154 R156 R158 R160 R162 R164 R166 R168 R170 R172 R174 R176 R178 R180 R182 R184 R186 R188 R190 R192 R194 R196 R198 R200 R202 R204 R206 R208 R210 R212 R214 R216 R218 R220 R222 R224 R226 R228 R230 R232 R234 R236 R238 R240 R242 R244 R246 R248 R250 R252 R254 R256 R258 R260 R262 R264 R266 R268 R270 R272 R274 R276 R278 R280 R282 R284 R286 R288 R290 R292 R294 R296 R298 R300 R302 R304 R306 R308 R310:R311 R313 R315 R317 R319 R321:R322 R324 R326 R328 R330 R332 R334 R336 R338 R340 R342 R344 R346 R348 R350 R352 R354 R356 R358 R360 R362 R364 R366 R368 R370 R372 R374 R376 R378 R380 R382 R384 R386 R388:R389 R391 R393 R395 R397 R399 R401 R403 R405 R407 R409 R411 R413 R415 R417 R419 R421 R423 R425 R427 R429 R431 R433 R435 R437 R439:R440 R442 R444 R446 R448 R450 R452 R454 R456 R458:R459 R461 R463 R465 R467 R469 R471 R473 R475 R477 R479 R481 R483 R485 R487 R489 R491 R493 R495 R497 R499 R501 R503 R505 R507 R509 R511 R513 R515 R517 R519 R521 R523 R525 R527 R529 R531 R533 R535 R537 R539 R541 R543 R545 R547 R549 R551 R553 R555 R557 R559 R561 R563 R565 R567 R569 R571 R573 R575 R577 R579 R581 R583 R585 R587 R589 R591 R593 R595 R597 R599 R601 R603 R605 R607 R609 R611 R613 R615 R617 R619 R621 R623 R625 R627:R628 R630 R632 R634 R636 R638:R639 R641 R643 R645 R647 R649 R651 R653 R655 R657 R659 R661 R663 R665 R667 R669 R671 R673 R675 R677 R679 R681 R683 R685 R687 R689 R691 R693 R695:R696 R698 R700:R1700 M4 M6 M8 M10 M12 M14 M16 M18 M20 M22 M24 M26 M28 M30 M32 M34 M36 M38 M40 M42 M44 M46 M48 M50 M52:M53 M55 M57 M59 M61 M63 M65 M67 M69 M71 M73 M75 M77 M79 M81 M83:M84 M86 M88 M90 M92 M94 M96 M98 M100 M102 M104 M106 M108 M110 M112 M114 M116 M118 M120 M122 M124 M126 M128 M130 M132 M134 M136 M138 M140 M142 M144 M146 M148 M150 M152 M154 M156 M158 M160 M162 M164 M166 M168 M170 M172 M174 M176 M178 M180 M182 M184 M186 M188 M190 M192 M194 M196 M198 M200 M202 M204 M206 M208 M210 M212 M214 M216 M218 M220 M222 M224 M226 M228 M230 M232 M234 M236 M238 M240 M242 M244 M246 M248 M250 M252 M254 M256 M258 M260 M262 M264 M266 M268 M270 M272 M274 M276 M278 M280 M282 M284 M286 M288 M290 M292 M294 M296 M298 M300 M302 M304 M306 M308 M310:M311 M313 M315 M317 M319 M321:M322 M324 M326 M328 M330 M332 M334 M336 M338 M340 M342 M344 M346 M348 M350 M352 M354 M356 M358 M360 M362 M364 M366 M368 M370 M372 M374 M376 M378 M380 M382 M384 M386 M388:M389 M391 M393 M395 M397 M399 M401 M403 M405 M407 M409 M411 M413 M415 M417 M419 M421 M423 M425 M427 M429 M431 M433 M435 M437 M439:M440 M442 M444 M446 M448 M450 M452 M454 M456 M458:M459 M461 M463 M465 M467 M469 M471 M473 M475 M477 M479 M481 M483 M485 M487 M489 M491 M493 M495 M497 M499 M501 M503 M505 M507 M509 M511 M513 M515 M517 M519 M521 M523 M525 M527 M529 M531 M533 M535 M537 M539 M541 M543 M545 M547 M549 M551 M553 M555 M557 M559 M561 M563 M565 M567 M569 M571 M573 M575 M577 M579 M581 M583 M585 M587 M589 M591 M593 M595 M597 M599 M601 M603 M605 M607 M609 M611 M613 M615 M617 M619 M621 M623 M625 M627:M628 M630 M632 M634 M636 M638:M639 M641 M643 M645 M647 M649 M651 M653 M655 M657 M659 M661 M663 M665 M667 M669 M671 M673 M675 M677 M679 M681 M683 M685 M687 M689 M691 M693 M695:M696 M698 M700:M1700 AG4 AG6 AG8 AG10 AG12 AG14 AG16 AG18 AG20 AG22 AG24 AG26 AG28 AG30 AG32 AG34 AG36 AG38 AG40 AG42 AG44 AG46 AG48 AG50 AG52:AG53 AG55 AG57 AG59 AG61 AG63 AG65 AG67 AG69 AG71 AG73 AG75 AG77 AG79 AG81 AG83:AG84 AG86 AG88 AG90 AG92 AG94 AG96 AG98 AG100 AG102 AG104 AG106 AG108 AG110 AG112 AG114 AG116 AG118 AG120 AG122 AG124 AG126 AG128 AG130 AG132 AG134 AG136 AG138 AG140 AG142 AG144 AG146 AG148 AG150 AG152 AG154 AG156 AG158 AG160 AG162 AG164 AG166 AG168 AG170 AG172 AG174 AG176 AG178 AG180 AG182 AG184 AG186 AG188 AG190 AG192 AG194 AG196 AG198 AG200 AG202 AG204 AG206 AG208 AG210 AG212 AG214 AG216 AG218 AG220 AG222 AG224 AG226 AG228 AG230 AG232 AG234 AG236 AG238 AG240 AG242 AG244 AG246 AG248 AG250 AG252 AG254 AG256 AG258 AG260 AG262 AG264 AG266 AG268 AG270 AG272 AG274 AG276 AG278 AG280 AG282 AG284 AG286 AG288 AG290 AG292 AG294 AG296 AG298 AG300 AG302 AG304 AG306 AG308 AG310:AG311 AG313 AG315 AG317 AG319 AG321:AG322 AG324 AG326 AG328 AG330 AG332 AG334 AG336 AG338 AG340 AG342 AG344 AG346 AG348 AG350 AG352 AG354 AG356 AG358 AG360 AG362 AG364 AG366 AG368 AG370 AG372 AG374 AG376 AG378 AG380 AG382 AG384 AG386 AG388:AG389 AG391 AG393 AG395 AG397 AG399 AG401 AG403 AG405 AG407 AG409 AG411 AG413 AG415 AG417 AG419 AG421 AG423 AG425 AG427 AG429 AG431 AG433 AG435 AG437 AG439:AG440 AG442 AG444 AG446 AG448 AG450 AG452 AG454 AG456 AG458:AG459 AG461 AG463 AG465 AG467 AG469 AG471 AG473 AG475 AG477 AG479 AG481 AG483 AG485 AG487 AG489 AG491 AG493 AG495 AG497 AG499 AG501 AG503 AG505 AG507 AG509 AG511 AG513 AG515 AG517 AG519 AG521 AG523 AG525 AG527 AG529 AG531 AG533 AG535 AG537 AG539 AG541 AG543 AG545 AG547 AG549 AG551 AG553 AG555 AG557 AG559 AG561 AG563 AG565 AG567 AG569 AG571 AG573 AG575 AG577 AG579 AG581 AG583 AG585 AG587 AG589 AG591 AG593 AG595 AG597 AG599 AG601 AG603 AG605 AG607 AG609 AG611 AG613 AG615 AG617 AG619 AG621 AG623 AG625 AG627:AG628 AG630 AG632 AG634 AG636 AG638:AG639 AG641 AG643 AG645 AG647 AG649 AG651 AG653 AG655 AG657 AG659 AG661 AG663 AG665 AG667 AG669 AG671 AG673 AG675 AG677 AG679 AG681 AG683 AG685 AG687 AG689 AG691 AG693 AG695:AG696 AG698 AG700:AG1700 AB4 AB6 AB8 AB10 AB12 AB14 AB16 AB18 AB20 AB22 AB24 AB26 AB28 AB30 AB32 AB34 AB36 AB38 AB40 AB42 AB44 AB46 AB48 AB50 AB52:AB53 AB55 AB57 AB59 AB61 AB63 AB65 AB67 AB69 AB71 AB73 AB75 AB77 AB79 AB81 AB83:AB84 AB86 AB88 AB90 AB92 AB94 AB96 AB98 AB100 AB102 AB104 AB106 AB108 AB110 AB112 AB114 AB116 AB118 AB120 AB122 AB124 AB126 AB128 AB130 AB132 AB134 AB136 AB138 AB140 AB142 AB144 AB146 AB148 AB150 AB152 AB154 AB156 AB158 AB160 AB162 AB164 AB166 AB168 AB170 AB172 AB174 AB176 AB178 AB180 AB182 AB184 AB186 AB188 AB190 AB192 AB194 AB196 AB198 AB200 AB202 AB204 AB206 AB208 AB210 AB212 AB214 AB216 AB218 AB220 AB222 AB224 AB226 AB228 AB230 AB232 AB234 AB236 AB238 AB240 AB242 AB244 AB246 AB248 AB250 AB252 AB254 AB256 AB258 AB260 AB262 AB264 AB266 AB268 AB270 AB272 AB274 AB276 AB278 AB280 AB282 AB284 AB286 AB288 AB290 AB292 AB294 AB296 AB298 AB300 AB302 AB304 AB306 AB308 AB310:AB311 AB313 AB315 AB317 AB319 AB321:AB322 AB324 AB326 AB328 AB330 AB332 AB334 AB336 AB338 AB340 AB342 AB344 AB346 AB348 AB350 AB352 AB354 AB356 AB358 AB360 AB362 AB364 AB366 AB368 AB370 AB372 AB374 AB376 AB378 AB380 AB382 AB384 AB386 AB388:AB389 AB391 AB393 AB395 AB397 AB399 AB401 AB403 AB405 AB407 AB409 AB411 AB413 AB415 AB417 AB419 AB421 AB423 AB425 AB427 AB429 AB431 AB433 AB435 AB437 AB439:AB440 AB442 AB444 AB446 AB448 AB450 AB452 AB454 AB456 AB458:AB459 AB461 AB463 AB465 AB467 AB469 AB471 AB473 AB475 AB477 AB479 AB481 AB483 AB485 AB487 AB489 AB491 AB493 AB495 AB497 AB499 AB501 AB503 AB505 AB507 AB509 AB511 AB513 AB515 AB517 AB519 AB521 AB523 AB525 AB527 AB529 AB531 AB533 AB535 AB537 AB539 AB541 AB543 AB545 AB547 AB549 AB551 AB553 AB555 AB557 AB559 AB561 AB563 AB565 AB567 AB569 AB571 AB573 AB575 AB577 AB579 AB581 AB583 AB585 AB587 AB589 AB591 AB593 AB595 AB597 AB599 AB601 AB603 AB605 AB607 AB609 AB611 AB613 AB615 AB617 AB619 AB621 AB623 AB625 AB627:AB628 AB630 AB632 AB634 AB636 AB638:AB639 AB641 AB643 AB645 AB647 AB649 AB651 AB653 AB655 AB657 AB659 AB661 AB663 AB665 AB667 AB669 AB671 AB673 AB675 AB677 AB679 AB681 AB683 AB685 AB687 AB689 AB691 AB693 AB695:AB696 AB698 AB700:AB1700" xr:uid="{00000000-0002-0000-0000-000000000000}">
      <formula1>"y,r_y,r_n,n,"</formula1>
      <formula2>0</formula2>
    </dataValidation>
  </dataValidation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11</TotalTime>
  <Application>Microsoft Excel</Application>
  <DocSecurity>0</DocSecurity>
  <ScaleCrop>false</ScaleCrop>
  <HeadingPairs>
    <vt:vector size="2" baseType="variant">
      <vt:variant>
        <vt:lpstr>Listy</vt:lpstr>
      </vt:variant>
      <vt:variant>
        <vt:i4>1</vt:i4>
      </vt:variant>
    </vt:vector>
  </HeadingPairs>
  <TitlesOfParts>
    <vt:vector size="1" baseType="lpstr">
      <vt:lps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Klára Zborníková</cp:lastModifiedBy>
  <dcterms:modified xsi:type="dcterms:W3CDTF">2025-10-02T12:31:23Z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2025-09-17T15:24:15Z</dcterms:modified>
  <cp:revision>1</cp:revision>
  <dc:subject/>
  <dc:title/>
</cp:coreProperties>
</file>