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<sst xmlns="http://schemas.openxmlformats.org/spreadsheetml/2006/main" count="2177" uniqueCount="232">
  <si>
    <t xml:space="preserve">Lemma</t>
  </si>
  <si>
    <t xml:space="preserve">Frame</t>
  </si>
  <si>
    <t xml:space="preserve">L(emma) or F(rame)</t>
  </si>
  <si>
    <t xml:space="preserve">Preffered searching</t>
  </si>
  <si>
    <t xml:space="preserve">Nr. of occurences in PDT-C2.0 (for F) and in  SYN v4.0 (for L)</t>
  </si>
  <si>
    <t xml:space="preserve">Max.value</t>
  </si>
  <si>
    <t xml:space="preserve">annotation</t>
  </si>
  <si>
    <t xml:space="preserve">restriction</t>
  </si>
  <si>
    <t xml:space="preserve">note</t>
  </si>
  <si>
    <t xml:space="preserve">class1</t>
  </si>
  <si>
    <t xml:space="preserve">val_1</t>
  </si>
  <si>
    <t xml:space="preserve">status_c1</t>
  </si>
  <si>
    <t xml:space="preserve">restriction_c1</t>
  </si>
  <si>
    <t xml:space="preserve">class2</t>
  </si>
  <si>
    <t xml:space="preserve">val_2</t>
  </si>
  <si>
    <t xml:space="preserve">status_c2</t>
  </si>
  <si>
    <t xml:space="preserve">restriction_c2</t>
  </si>
  <si>
    <t xml:space="preserve">class3</t>
  </si>
  <si>
    <t xml:space="preserve">val_3</t>
  </si>
  <si>
    <t xml:space="preserve">status_c3</t>
  </si>
  <si>
    <t xml:space="preserve">restriction_c3</t>
  </si>
  <si>
    <t xml:space="preserve">class4</t>
  </si>
  <si>
    <t xml:space="preserve">val_4</t>
  </si>
  <si>
    <t xml:space="preserve">status_c4</t>
  </si>
  <si>
    <t xml:space="preserve">restriction_c4</t>
  </si>
  <si>
    <t xml:space="preserve">class5</t>
  </si>
  <si>
    <t xml:space="preserve">val_5</t>
  </si>
  <si>
    <t xml:space="preserve">status_c5</t>
  </si>
  <si>
    <t xml:space="preserve">restriction_c5</t>
  </si>
  <si>
    <t xml:space="preserve">orat (v41exxA)</t>
  </si>
  <si>
    <t xml:space="preserve">n</t>
  </si>
  <si>
    <t xml:space="preserve">x</t>
  </si>
  <si>
    <t xml:space="preserve">r_n</t>
  </si>
  <si>
    <t xml:space="preserve">y</t>
  </si>
  <si>
    <t xml:space="preserve">r_y</t>
  </si>
  <si>
    <t xml:space="preserve">vec01908</t>
  </si>
  <si>
    <t xml:space="preserve">kulturně</t>
  </si>
  <si>
    <t xml:space="preserve">vec01550</t>
  </si>
  <si>
    <t xml:space="preserve">N:Antonym</t>
  </si>
  <si>
    <t xml:space="preserve">hic_2_4_2_4_1</t>
  </si>
  <si>
    <t xml:space="preserve">vec00607</t>
  </si>
  <si>
    <t xml:space="preserve">odstup</t>
  </si>
  <si>
    <t xml:space="preserve">Idiom, DPHR is restricted</t>
  </si>
  <si>
    <t xml:space="preserve">vec00730</t>
  </si>
  <si>
    <t xml:space="preserve">hic_2_1_3_6</t>
  </si>
  <si>
    <t xml:space="preserve">vec00764</t>
  </si>
  <si>
    <t xml:space="preserve">hic_2_5</t>
  </si>
  <si>
    <t xml:space="preserve">na docenta</t>
  </si>
  <si>
    <t xml:space="preserve">vec00877</t>
  </si>
  <si>
    <t xml:space="preserve">hic_2_5_5</t>
  </si>
  <si>
    <t xml:space="preserve">hic_2_2_2_3</t>
  </si>
  <si>
    <t xml:space="preserve">vec00900</t>
  </si>
  <si>
    <t xml:space="preserve">vec00995</t>
  </si>
  <si>
    <t xml:space="preserve">vec01140</t>
  </si>
  <si>
    <t xml:space="preserve">hic_1_1_4_3</t>
  </si>
  <si>
    <t xml:space="preserve">hic_2_5_4</t>
  </si>
  <si>
    <t xml:space="preserve">vec00243</t>
  </si>
  <si>
    <t xml:space="preserve">hic_2_1_2_2</t>
  </si>
  <si>
    <t xml:space="preserve">hic_2_4_1_1_11_3</t>
  </si>
  <si>
    <t xml:space="preserve">hic_2_4_2_2_7</t>
  </si>
  <si>
    <t xml:space="preserve">vec01932</t>
  </si>
  <si>
    <t xml:space="preserve">lnout (v41cbvB)</t>
  </si>
  <si>
    <t xml:space="preserve">hic_2_4_1_1_11_8</t>
  </si>
  <si>
    <t xml:space="preserve">hic_2_5_5_2_1</t>
  </si>
  <si>
    <t xml:space="preserve">opít se (v41evwA)</t>
  </si>
  <si>
    <t xml:space="preserve">vec01728</t>
  </si>
  <si>
    <t xml:space="preserve">hic_2_1_1_2_1_8</t>
  </si>
  <si>
    <t xml:space="preserve">vec01323</t>
  </si>
  <si>
    <t xml:space="preserve">vec00113</t>
  </si>
  <si>
    <t xml:space="preserve">hic_2_4_2_2_4</t>
  </si>
  <si>
    <t xml:space="preserve">vec00290</t>
  </si>
  <si>
    <t xml:space="preserve">proti</t>
  </si>
  <si>
    <t xml:space="preserve">vec00277</t>
  </si>
  <si>
    <t xml:space="preserve">oddálit (v41dxgA)</t>
  </si>
  <si>
    <t xml:space="preserve">odcizit (v41dwrB)</t>
  </si>
  <si>
    <t xml:space="preserve">hic_2_4_2_2</t>
  </si>
  <si>
    <t xml:space="preserve">vec00460</t>
  </si>
  <si>
    <t xml:space="preserve">vec00050</t>
  </si>
  <si>
    <t xml:space="preserve">hic_2_2_2_1_2</t>
  </si>
  <si>
    <t xml:space="preserve">vec00848</t>
  </si>
  <si>
    <t xml:space="preserve">vyrůst (v41ouiC)</t>
  </si>
  <si>
    <t xml:space="preserve">vec01029</t>
  </si>
  <si>
    <t xml:space="preserve">vec00942</t>
  </si>
  <si>
    <t xml:space="preserve">vec01508</t>
  </si>
  <si>
    <t xml:space="preserve">chuť</t>
  </si>
  <si>
    <t xml:space="preserve">alkoholem</t>
  </si>
  <si>
    <t xml:space="preserve">vec01281</t>
  </si>
  <si>
    <t xml:space="preserve">hic_2_4_1_1_14</t>
  </si>
  <si>
    <t xml:space="preserve">hic2_4_2_2_7_7</t>
  </si>
  <si>
    <t xml:space="preserve">hic_2_4_2_2_4_3</t>
  </si>
  <si>
    <t xml:space="preserve">prsty</t>
  </si>
  <si>
    <t xml:space="preserve">vec00742</t>
  </si>
  <si>
    <t xml:space="preserve">vec01195</t>
  </si>
  <si>
    <t xml:space="preserve">CPHR - více významů</t>
  </si>
  <si>
    <t xml:space="preserve">vec01041</t>
  </si>
  <si>
    <t xml:space="preserve">podpisovat (v41ftxB)</t>
  </si>
  <si>
    <t xml:space="preserve">podepisovat (v41frdA)</t>
  </si>
  <si>
    <t xml:space="preserve">vec00402</t>
  </si>
  <si>
    <t xml:space="preserve">vec00389</t>
  </si>
  <si>
    <t xml:space="preserve">vec00107</t>
  </si>
  <si>
    <t xml:space="preserve">vec01638</t>
  </si>
  <si>
    <t xml:space="preserve">vec00030</t>
  </si>
  <si>
    <t xml:space="preserve">hic_2_4_2_2_7_3</t>
  </si>
  <si>
    <t xml:space="preserve">vec00338</t>
  </si>
  <si>
    <t xml:space="preserve">vec00364</t>
  </si>
  <si>
    <t xml:space="preserve">vec01573</t>
  </si>
  <si>
    <t xml:space="preserve">vec00623</t>
  </si>
  <si>
    <t xml:space="preserve">prorazit (v41hloB)</t>
  </si>
  <si>
    <t xml:space="preserve">kousáním</t>
  </si>
  <si>
    <t xml:space="preserve">báseň</t>
  </si>
  <si>
    <t xml:space="preserve">na sebe</t>
  </si>
  <si>
    <t xml:space="preserve">vzít (v41pmaAK); Idiom, DPHR is restricted.</t>
  </si>
  <si>
    <t xml:space="preserve">hic_1_1_4_3_3</t>
  </si>
  <si>
    <t xml:space="preserve">vec00620</t>
  </si>
  <si>
    <t xml:space="preserve">hic_2_1_5_4</t>
  </si>
  <si>
    <t xml:space="preserve">vec01304</t>
  </si>
  <si>
    <t xml:space="preserve">přemostit (v41ietA)</t>
  </si>
  <si>
    <t xml:space="preserve">vec01858</t>
  </si>
  <si>
    <t xml:space="preserve">vec01521</t>
  </si>
  <si>
    <t xml:space="preserve">hic_2_4_1_1</t>
  </si>
  <si>
    <t xml:space="preserve">vec00095</t>
  </si>
  <si>
    <t xml:space="preserve">program</t>
  </si>
  <si>
    <t xml:space="preserve">vec01881</t>
  </si>
  <si>
    <t xml:space="preserve">vec00273</t>
  </si>
  <si>
    <t xml:space="preserve">příliš</t>
  </si>
  <si>
    <t xml:space="preserve">vec00198</t>
  </si>
  <si>
    <t xml:space="preserve">vec00671</t>
  </si>
  <si>
    <t xml:space="preserve">vec01536</t>
  </si>
  <si>
    <t xml:space="preserve">polívčičku</t>
  </si>
  <si>
    <t xml:space="preserve">hic_2_5; Idiom, DPHR is restricted.</t>
  </si>
  <si>
    <t xml:space="preserve">na své</t>
  </si>
  <si>
    <t xml:space="preserve">přijít si (v41ishC); Idiom, DPHR is restricted.</t>
  </si>
  <si>
    <t xml:space="preserve">jet (v41bhuB)</t>
  </si>
  <si>
    <t xml:space="preserve">vec00608</t>
  </si>
  <si>
    <t xml:space="preserve">mačkat se (v41cdaB)</t>
  </si>
  <si>
    <t xml:space="preserve">vec01811</t>
  </si>
  <si>
    <t xml:space="preserve">hic_2_4_1_1_11_5</t>
  </si>
  <si>
    <t xml:space="preserve">vec01290</t>
  </si>
  <si>
    <t xml:space="preserve">vec00788</t>
  </si>
  <si>
    <t xml:space="preserve">vec00436</t>
  </si>
  <si>
    <t xml:space="preserve">vec00736</t>
  </si>
  <si>
    <t xml:space="preserve">rozložit (v41jtaD)</t>
  </si>
  <si>
    <t xml:space="preserve">vec01686</t>
  </si>
  <si>
    <t xml:space="preserve">vec01873</t>
  </si>
  <si>
    <t xml:space="preserve">vozidlo</t>
  </si>
  <si>
    <t xml:space="preserve">hic_2_1_1_2_2</t>
  </si>
  <si>
    <t xml:space="preserve">vec01305</t>
  </si>
  <si>
    <t xml:space="preserve">roztavit (v41jzsA)</t>
  </si>
  <si>
    <t xml:space="preserve">hic_2_4_1_2</t>
  </si>
  <si>
    <t xml:space="preserve">vec01885</t>
  </si>
  <si>
    <t xml:space="preserve">rozbalit (v41jlsA)</t>
  </si>
  <si>
    <t xml:space="preserve">vec00657</t>
  </si>
  <si>
    <t xml:space="preserve">vec01188</t>
  </si>
  <si>
    <t xml:space="preserve">vec00037</t>
  </si>
  <si>
    <t xml:space="preserve">vec00958</t>
  </si>
  <si>
    <t xml:space="preserve">vec00028</t>
  </si>
  <si>
    <t xml:space="preserve">usmířit se (v41mweA)</t>
  </si>
  <si>
    <t xml:space="preserve">vec00118</t>
  </si>
  <si>
    <t xml:space="preserve">Šalamounovo hovno</t>
  </si>
  <si>
    <t xml:space="preserve">hic_2_4_1_2; Idiom, DPHR is restricted.</t>
  </si>
  <si>
    <t xml:space="preserve">hic_2_9</t>
  </si>
  <si>
    <t xml:space="preserve">vec01870</t>
  </si>
  <si>
    <t xml:space="preserve">hic_2_1_6</t>
  </si>
  <si>
    <t xml:space="preserve">provést (v41hrmA)</t>
  </si>
  <si>
    <t xml:space="preserve">oplatit (v41ewcA)</t>
  </si>
  <si>
    <t xml:space="preserve">vec01347</t>
  </si>
  <si>
    <t xml:space="preserve">vec00307</t>
  </si>
  <si>
    <t xml:space="preserve">šetřit (v41lsuE)</t>
  </si>
  <si>
    <t xml:space="preserve">vec00143</t>
  </si>
  <si>
    <t xml:space="preserve">hic_2_2_1_5</t>
  </si>
  <si>
    <t xml:space="preserve">vec00360</t>
  </si>
  <si>
    <t xml:space="preserve">na sebe bič</t>
  </si>
  <si>
    <t xml:space="preserve">hic_2_5_3_2_2; Idiom, DPHR is restricted.</t>
  </si>
  <si>
    <t xml:space="preserve">vec00213</t>
  </si>
  <si>
    <t xml:space="preserve">náhle</t>
  </si>
  <si>
    <t xml:space="preserve">vec01456</t>
  </si>
  <si>
    <t xml:space="preserve">hic_2_1_5_1_9</t>
  </si>
  <si>
    <t xml:space="preserve">opasek</t>
  </si>
  <si>
    <t xml:space="preserve">hic_2_5_5_1_2_3; Idiom, DPHR is restricted.</t>
  </si>
  <si>
    <t xml:space="preserve">hic_2_1_1_1_2_1_10</t>
  </si>
  <si>
    <t xml:space="preserve">vec00733</t>
  </si>
  <si>
    <t xml:space="preserve">hic_2_4_2_4_2_6</t>
  </si>
  <si>
    <t xml:space="preserve">vec00311</t>
  </si>
  <si>
    <t xml:space="preserve">vec01039</t>
  </si>
  <si>
    <t xml:space="preserve">vec01572</t>
  </si>
  <si>
    <t xml:space="preserve">vec01923</t>
  </si>
  <si>
    <t xml:space="preserve">vec00218</t>
  </si>
  <si>
    <t xml:space="preserve">vec00775</t>
  </si>
  <si>
    <t xml:space="preserve">po vodě</t>
  </si>
  <si>
    <t xml:space="preserve">hic_2_1_1_1_1_2</t>
  </si>
  <si>
    <t xml:space="preserve">vec01148</t>
  </si>
  <si>
    <t xml:space="preserve">vec01132</t>
  </si>
  <si>
    <t xml:space="preserve">specific meaning</t>
  </si>
  <si>
    <t xml:space="preserve">hic_2_1_1_1_2_2</t>
  </si>
  <si>
    <t xml:space="preserve">vec01352</t>
  </si>
  <si>
    <t xml:space="preserve">vec00486</t>
  </si>
  <si>
    <t xml:space="preserve">hic_2_5_3_2_2</t>
  </si>
  <si>
    <t xml:space="preserve">vec00383</t>
  </si>
  <si>
    <t xml:space="preserve">hlady</t>
  </si>
  <si>
    <t xml:space="preserve">vec00258</t>
  </si>
  <si>
    <t xml:space="preserve">vec00331</t>
  </si>
  <si>
    <t xml:space="preserve">vec01498</t>
  </si>
  <si>
    <t xml:space="preserve">vec00086</t>
  </si>
  <si>
    <t xml:space="preserve">hic_1_1_4_3_3_8</t>
  </si>
  <si>
    <t xml:space="preserve">vec00884</t>
  </si>
  <si>
    <t xml:space="preserve">vec00949</t>
  </si>
  <si>
    <t xml:space="preserve">vec00491</t>
  </si>
  <si>
    <t xml:space="preserve">hic_2_5_5_1_2_2</t>
  </si>
  <si>
    <t xml:space="preserve">vařit (v41ngvB)</t>
  </si>
  <si>
    <t xml:space="preserve">vec01200</t>
  </si>
  <si>
    <t xml:space="preserve">Potřeba přidat další roli Giver/Source</t>
  </si>
  <si>
    <t xml:space="preserve">Asi nechápu význam. Určitě nejde o překlep ve využívat?</t>
  </si>
  <si>
    <t xml:space="preserve">vec00080</t>
  </si>
  <si>
    <t xml:space="preserve">hic_2_5_1_6_1_1</t>
  </si>
  <si>
    <t xml:space="preserve">hlásit se (v41avgD)</t>
  </si>
  <si>
    <t xml:space="preserve">hic_1_1_1_2</t>
  </si>
  <si>
    <t xml:space="preserve">hic_2_1_5_1_6</t>
  </si>
  <si>
    <t xml:space="preserve">might need another Role (Action?)</t>
  </si>
  <si>
    <t xml:space="preserve">vec00461</t>
  </si>
  <si>
    <t xml:space="preserve">desetkrát</t>
  </si>
  <si>
    <t xml:space="preserve">Antonym</t>
  </si>
  <si>
    <t xml:space="preserve">stupňovat (v41lnwA)</t>
  </si>
  <si>
    <t xml:space="preserve">vec01656</t>
  </si>
  <si>
    <t xml:space="preserve">lepšit (v41bzqA)</t>
  </si>
  <si>
    <t xml:space="preserve">vec00060</t>
  </si>
  <si>
    <t xml:space="preserve">opakovaně</t>
  </si>
  <si>
    <t xml:space="preserve">vec00106</t>
  </si>
  <si>
    <t xml:space="preserve">vec00539</t>
  </si>
  <si>
    <t xml:space="preserve">zlenivět (v41rifA)</t>
  </si>
  <si>
    <t xml:space="preserve">vec00992</t>
  </si>
  <si>
    <t xml:space="preserve">zabrat (v41ppvE)</t>
  </si>
  <si>
    <t xml:space="preserve">hic_2_2_4_5_3</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</si>
</sst>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color rgb="FFFF0000"/>
      <name val="Arial"/>
      <family val="2"/>
      <charset val="1"/>
    </font>
    <font>
      <sz val="10"/>
      <color rgb="FFFF0000"/>
      <name val="Arial"/>
      <family val="2"/>
    </font>
  </fonts>
  <fills count="3">
    <fill>
      <patternFill patternType="none"/>
    </fill>
    <fill>
      <patternFill patternType="gray125"/>
    </fill>
    <fill>
      <patternFill patternType="solid">
        <fgColor theme="5" tint="0.7998"/>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7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635" activePane="bottomLeft" state="frozen"/>
      <selection pane="topLeft" activeCell="A1" activeCellId="0" sqref="A1"/>
      <selection pane="bottomLeft" activeCell="G657" activeCellId="0" sqref="G657"/>
    </sheetView>
  </sheetViews>
  <sheetFormatPr defaultColWidth="11.5625" defaultRowHeight="12.75" customHeight="true" zeroHeight="false" outlineLevelRow="0" outlineLevelCol="0"/>
  <cols>
    <col collapsed="false" customWidth="true" hidden="false" outlineLevel="0" max="1" min="1" style="0" width="14.56"/>
    <col collapsed="false" customWidth="true" hidden="false" outlineLevel="0" max="2" min="2" style="0" width="8.67"/>
    <col collapsed="false" customWidth="true" hidden="false" outlineLevel="0" max="5" min="5" style="0" width="5.44"/>
    <col collapsed="false" customWidth="true" hidden="false" outlineLevel="0" max="6" min="6" style="0" width="8"/>
    <col collapsed="false" customWidth="false" hidden="false" outlineLevel="0" max="7" min="7" style="1" width="11.56"/>
    <col collapsed="false" customWidth="true" hidden="false" outlineLevel="0" max="8" min="8" style="1" width="14.33"/>
    <col collapsed="false" customWidth="true" hidden="false" outlineLevel="0" max="9" min="9" style="1" width="8"/>
    <col collapsed="false" customWidth="true" hidden="false" outlineLevel="0" max="10" min="10" style="0" width="2.88"/>
    <col collapsed="false" customWidth="true" hidden="false" outlineLevel="0" max="11" min="11" style="0" width="32.44"/>
    <col collapsed="false" customWidth="true" hidden="false" outlineLevel="0" max="12" min="12" style="0" width="8"/>
    <col collapsed="false" customWidth="true" hidden="false" outlineLevel="0" max="14" min="14" style="0" width="10.66"/>
    <col collapsed="false" customWidth="true" hidden="false" outlineLevel="0" max="15" min="15" style="0" width="8"/>
    <col collapsed="false" customWidth="true" hidden="false" outlineLevel="0" max="16" min="16" style="0" width="31.77"/>
    <col collapsed="false" customWidth="true" hidden="false" outlineLevel="0" max="17" min="17" style="0" width="8"/>
    <col collapsed="false" customWidth="true" hidden="false" outlineLevel="0" max="19" min="19" style="0" width="16"/>
    <col collapsed="false" customWidth="true" hidden="false" outlineLevel="0" max="21" min="21" style="0" width="32.44"/>
    <col collapsed="false" customWidth="true" hidden="false" outlineLevel="0" max="22" min="22" style="0" width="8"/>
    <col collapsed="false" customWidth="true" hidden="false" outlineLevel="0" max="24" min="24" style="0" width="13.77"/>
    <col collapsed="false" customWidth="true" hidden="false" outlineLevel="0" max="25" min="25" style="0" width="8"/>
    <col collapsed="false" customWidth="true" hidden="false" outlineLevel="0" max="26" min="26" style="0" width="34"/>
    <col collapsed="false" customWidth="true" hidden="false" outlineLevel="0" max="27" min="27" style="0" width="8"/>
    <col collapsed="false" customWidth="true" hidden="false" outlineLevel="0" max="29" min="29" style="0" width="12"/>
    <col collapsed="false" customWidth="true" hidden="false" outlineLevel="0" max="30" min="30" style="0" width="8"/>
    <col collapsed="false" customWidth="true" hidden="false" outlineLevel="0" max="31" min="31" style="0" width="32.44"/>
    <col collapsed="false" customWidth="true" hidden="false" outlineLevel="0" max="32" min="32" style="0" width="8"/>
    <col collapsed="false" customWidth="true" hidden="false" outlineLevel="0" max="34" min="34" style="0" width="17.11"/>
    <col collapsed="false" customWidth="true" hidden="false" outlineLevel="0" max="35" min="35" style="0" width="8"/>
    <col collapsed="false" customWidth="true" hidden="false" outlineLevel="0" max="36" min="36" style="0" width="34"/>
    <col collapsed="false" customWidth="true" hidden="false" outlineLevel="0" max="37" min="37" style="0" width="8"/>
    <col collapsed="false" customWidth="true" hidden="false" outlineLevel="0" max="39" min="39" style="0" width="32.44"/>
    <col collapsed="false" customWidth="true" hidden="false" outlineLevel="0" max="40" min="40" style="0" width="8"/>
    <col collapsed="false" customWidth="true" hidden="false" outlineLevel="0" max="42" min="42" style="0" width="30.88"/>
    <col collapsed="false" customWidth="true" hidden="false" outlineLevel="0" max="43" min="43" style="0" width="8"/>
    <col collapsed="false" customWidth="true" hidden="false" outlineLevel="0" max="45" min="45" style="0" width="30.22"/>
    <col collapsed="false" customWidth="true" hidden="false" outlineLevel="0" max="46" min="46" style="0" width="8"/>
    <col collapsed="false" customWidth="true" hidden="false" outlineLevel="0" max="48" min="48" style="0" width="34"/>
    <col collapsed="false" customWidth="true" hidden="false" outlineLevel="0" max="49" min="49" style="0" width="8"/>
  </cols>
  <sheetData>
    <row r="1" customFormat="false" ht="44.25" hidden="false" customHeight="true" outlineLevel="0" collapsed="false">
      <c r="A1" s="2" t="s">
        <v>0</v>
      </c>
      <c r="B1" s="2" t="s">
        <v>1</v>
      </c>
      <c r="C1" s="3" t="s">
        <v>2</v>
      </c>
      <c r="D1" s="3" t="s">
        <v>3</v>
      </c>
      <c r="E1" s="3" t="s">
        <v>4</v>
      </c>
      <c r="F1" s="2" t="s">
        <v>5</v>
      </c>
      <c r="G1" s="4" t="s">
        <v>6</v>
      </c>
      <c r="H1" s="4" t="s">
        <v>7</v>
      </c>
      <c r="I1" s="4" t="s">
        <v>8</v>
      </c>
      <c r="J1" s="4"/>
      <c r="K1" s="2" t="s">
        <v>9</v>
      </c>
      <c r="L1" s="2" t="s">
        <v>10</v>
      </c>
      <c r="M1" s="4" t="s">
        <v>11</v>
      </c>
      <c r="N1" s="4" t="s">
        <v>12</v>
      </c>
      <c r="O1" s="4"/>
      <c r="P1" s="2" t="s">
        <v>13</v>
      </c>
      <c r="Q1" s="2" t="s">
        <v>14</v>
      </c>
      <c r="R1" s="4" t="s">
        <v>15</v>
      </c>
      <c r="S1" s="4" t="s">
        <v>16</v>
      </c>
      <c r="T1" s="2"/>
      <c r="U1" s="2" t="s">
        <v>17</v>
      </c>
      <c r="V1" s="2" t="s">
        <v>18</v>
      </c>
      <c r="W1" s="4" t="s">
        <v>19</v>
      </c>
      <c r="X1" s="4" t="s">
        <v>20</v>
      </c>
      <c r="Y1" s="2"/>
      <c r="Z1" s="2" t="s">
        <v>21</v>
      </c>
      <c r="AA1" s="2" t="s">
        <v>22</v>
      </c>
      <c r="AB1" s="4" t="s">
        <v>23</v>
      </c>
      <c r="AC1" s="4" t="s">
        <v>24</v>
      </c>
      <c r="AD1" s="2"/>
      <c r="AE1" s="2" t="s">
        <v>25</v>
      </c>
      <c r="AF1" s="2" t="s">
        <v>26</v>
      </c>
      <c r="AG1" s="4" t="s">
        <v>27</v>
      </c>
      <c r="AH1" s="4" t="s">
        <v>28</v>
      </c>
    </row>
    <row r="4" customFormat="false" ht="12.75" hidden="false" customHeight="false" outlineLevel="0" collapsed="false">
      <c r="A4" s="0" t="str">
        <f aca="false">HYPERLINK("https://lindat.mff.cuni.cz/services/PDT-Vallex4.5/PDT-Vallex4.5.html?verb=brázdit", "brázdit")</f>
        <v>brázdit</v>
      </c>
      <c r="B4" s="0" t="str">
        <f aca="false">HYPERLINK("https://lindat.mff.cuni.cz/services/PDT-Vallex4.5/PDT-Vallex4.5.html?verb=brázdit#v41hwA", "v41hwA")</f>
        <v>v41hwA</v>
      </c>
      <c r="E4" s="0" t="n">
        <v>116</v>
      </c>
      <c r="F4" s="0" t="n">
        <v>0.12817</v>
      </c>
      <c r="G4" s="1" t="n">
        <v>0</v>
      </c>
      <c r="I4" s="1" t="s">
        <v>29</v>
      </c>
      <c r="K4" s="0" t="str">
        <f aca="false">HYPERLINK("https://lindat.mff.cuni.cz/services/SynSemClass55/SynSemClass55.html?veclass=vec00882", "vec00882 / projet (v41hfaE)")</f>
        <v>vec00882 / projet (v41hfaE)</v>
      </c>
      <c r="L4" s="0" t="n">
        <v>0.12817</v>
      </c>
      <c r="M4" s="5" t="s">
        <v>30</v>
      </c>
      <c r="P4" s="0" t="str">
        <f aca="false">HYPERLINK("https://lindat.mff.cuni.cz/services/SynSemClass55/SynSemClass55.html?veclass=vec01216", "vec01216 / hrabat se (v41aygA)")</f>
        <v>vec01216 / hrabat se (v41aygA)</v>
      </c>
      <c r="Q4" s="0" t="n">
        <v>0.11865</v>
      </c>
      <c r="R4" s="5" t="s">
        <v>30</v>
      </c>
      <c r="U4" s="0" t="str">
        <f aca="false">HYPERLINK("https://lindat.mff.cuni.cz/services/SynSemClass55/SynSemClass55.html?veclass=vec00881", "vec00881 / prohnat se (v41hdxA)")</f>
        <v>vec00881 / prohnat se (v41hdxA)</v>
      </c>
      <c r="V4" s="0" t="n">
        <v>0.09668</v>
      </c>
      <c r="W4" s="5" t="s">
        <v>30</v>
      </c>
      <c r="Z4" s="0" t="str">
        <f aca="false">HYPERLINK("https://lindat.mff.cuni.cz/services/SynSemClass55/SynSemClass55.html?veclass=vec00576", "vec00576 / zaplavit (v41qflC)")</f>
        <v>vec00576 / zaplavit (v41qflC)</v>
      </c>
      <c r="AA4" s="0" t="n">
        <v>0.08201</v>
      </c>
      <c r="AB4" s="5" t="s">
        <v>30</v>
      </c>
      <c r="AE4" s="0" t="str">
        <f aca="false">HYPERLINK("https://lindat.mff.cuni.cz/services/SynSemClass55/SynSemClass55.html?veclass=vec01025", "vec01025 / chodit (v41bbiK)")</f>
        <v>vec01025 / chodit (v41bbiK)</v>
      </c>
      <c r="AF4" s="0" t="n">
        <v>0.04714</v>
      </c>
      <c r="AG4" s="5" t="s">
        <v>30</v>
      </c>
    </row>
    <row r="6" customFormat="false" ht="12.75" hidden="false" customHeight="false" outlineLevel="0" collapsed="false">
      <c r="A6" s="0" t="str">
        <f aca="false">HYPERLINK("https://lindat.mff.cuni.cz/services/PDT-Vallex4.5/PDT-Vallex4.5.html?verb=celebrovat", "celebrovat")</f>
        <v>celebrovat</v>
      </c>
      <c r="B6" s="0" t="str">
        <f aca="false">HYPERLINK("https://lindat.mff.cuni.cz/services/PDT-Vallex4.5/PDT-Vallex4.5.html?verb=celebrovat#v41kaA", "v41kaA")</f>
        <v>v41kaA</v>
      </c>
      <c r="E6" s="0" t="n">
        <v>11</v>
      </c>
      <c r="F6" s="0" t="n">
        <v>0.14365</v>
      </c>
      <c r="G6" s="1" t="s">
        <v>31</v>
      </c>
      <c r="K6" s="0" t="str">
        <f aca="false">HYPERLINK("https://lindat.mff.cuni.cz/services/SynSemClass55/SynSemClass55.html?veclass=vec00621", "vec00621 / kázat (v41bkdA)")</f>
        <v>vec00621 / kázat (v41bkdA)</v>
      </c>
      <c r="L6" s="0" t="n">
        <v>0.14365</v>
      </c>
      <c r="M6" s="5" t="s">
        <v>32</v>
      </c>
      <c r="P6" s="0" t="str">
        <f aca="false">HYPERLINK("https://lindat.mff.cuni.cz/services/SynSemClass55/SynSemClass55.html?veclass=vec00663", "vec00663 / oslavit (v41ezrA)")</f>
        <v>vec00663 / oslavit (v41ezrA)</v>
      </c>
      <c r="Q6" s="0" t="n">
        <v>0.12995</v>
      </c>
      <c r="R6" s="5" t="s">
        <v>33</v>
      </c>
      <c r="U6" s="0" t="str">
        <f aca="false">HYPERLINK("https://lindat.mff.cuni.cz/services/SynSemClass55/SynSemClass55.html?veclass=vec01114", "vec01114 / skandovat (v41kpsA)")</f>
        <v>vec01114 / skandovat (v41kpsA)</v>
      </c>
      <c r="V6" s="0" t="n">
        <v>0.06781</v>
      </c>
      <c r="W6" s="5" t="s">
        <v>30</v>
      </c>
      <c r="Z6" s="0" t="str">
        <f aca="false">HYPERLINK("https://lindat.mff.cuni.cz/services/SynSemClass55/SynSemClass55.html?veclass=vec01163", "vec01163 / vytrubovat (v41pdvA)")</f>
        <v>vec01163 / vytrubovat (v41pdvA)</v>
      </c>
      <c r="AA6" s="0" t="n">
        <v>0.05922</v>
      </c>
      <c r="AB6" s="5" t="s">
        <v>30</v>
      </c>
      <c r="AE6" s="0" t="str">
        <f aca="false">HYPERLINK("https://lindat.mff.cuni.cz/services/SynSemClass55/SynSemClass55.html?veclass=vec01526", "vec01526 / svatořečit (v41lpoA)")</f>
        <v>vec01526 / svatořečit (v41lpoA)</v>
      </c>
      <c r="AF6" s="0" t="n">
        <v>0.03107</v>
      </c>
      <c r="AG6" s="5" t="s">
        <v>30</v>
      </c>
    </row>
    <row r="8" customFormat="false" ht="12.75" hidden="false" customHeight="false" outlineLevel="0" collapsed="false">
      <c r="A8" s="0" t="str">
        <f aca="false">HYPERLINK("https://lindat.mff.cuni.cz/services/PDT-Vallex4.5/PDT-Vallex4.5.html?verb=cinkat", "cinkat")</f>
        <v>cinkat</v>
      </c>
      <c r="B8" s="0" t="str">
        <f aca="false">HYPERLINK("https://lindat.mff.cuni.cz/services/PDT-Vallex4.5/PDT-Vallex4.5.html?verb=cinkat#v41ktB", "v41ktB")</f>
        <v>v41ktB</v>
      </c>
      <c r="E8" s="0" t="n">
        <v>290</v>
      </c>
      <c r="F8" s="0" t="n">
        <v>0.25188</v>
      </c>
      <c r="G8" s="1" t="s">
        <v>31</v>
      </c>
      <c r="K8" s="0" t="str">
        <f aca="false">HYPERLINK("https://lindat.mff.cuni.cz/services/SynSemClass55/SynSemClass55.html?veclass=vec01196", "vec01196 / zvonit (v41sclA)")</f>
        <v>vec01196 / zvonit (v41sclA)</v>
      </c>
      <c r="L8" s="0" t="n">
        <v>0.25188</v>
      </c>
      <c r="M8" s="5" t="s">
        <v>32</v>
      </c>
      <c r="P8" s="0" t="str">
        <f aca="false">HYPERLINK("https://lindat.mff.cuni.cz/services/SynSemClass55/SynSemClass55.html?veclass=vec01348", "vec01348 / vrčet (v41nqjC)")</f>
        <v>vec01348 / vrčet (v41nqjC)</v>
      </c>
      <c r="Q8" s="0" t="n">
        <v>0.19991</v>
      </c>
      <c r="R8" s="5" t="s">
        <v>30</v>
      </c>
      <c r="U8" s="0" t="str">
        <f aca="false">HYPERLINK("https://lindat.mff.cuni.cz/services/SynSemClass55/SynSemClass55.html?veclass=vec00592", "vec00592 / znít (v41rppD)")</f>
        <v>vec00592 / znít (v41rppD)</v>
      </c>
      <c r="V8" s="0" t="n">
        <v>0.07657</v>
      </c>
      <c r="W8" s="5" t="s">
        <v>30</v>
      </c>
      <c r="Z8" s="0" t="str">
        <f aca="false">HYPERLINK("https://lindat.mff.cuni.cz/services/SynSemClass55/SynSemClass55.html?veclass=vec00631", "vec00631 / mávat (v41cetA)")</f>
        <v>vec00631 / mávat (v41cetA)</v>
      </c>
      <c r="AA8" s="0" t="n">
        <v>0.05014</v>
      </c>
      <c r="AB8" s="5" t="s">
        <v>30</v>
      </c>
      <c r="AE8" s="0" t="str">
        <f aca="false">HYPERLINK("https://lindat.mff.cuni.cz/services/SynSemClass55/SynSemClass55.html?veclass=vec01195", "vec01195 / zvonit (v41sclB)")</f>
        <v>vec01195 / zvonit (v41sclB)</v>
      </c>
      <c r="AF8" s="0" t="n">
        <v>0.04943</v>
      </c>
      <c r="AG8" s="5" t="s">
        <v>33</v>
      </c>
    </row>
    <row r="10" customFormat="false" ht="12.75" hidden="false" customHeight="false" outlineLevel="0" collapsed="false">
      <c r="A10" s="0" t="str">
        <f aca="false">HYPERLINK("https://lindat.mff.cuni.cz/services/PDT-Vallex4.5/PDT-Vallex4.5.html?verb=cirkulovat", "cirkulovat")</f>
        <v>cirkulovat</v>
      </c>
      <c r="B10" s="0" t="str">
        <f aca="false">HYPERLINK("https://lindat.mff.cuni.cz/services/PDT-Vallex4.5/PDT-Vallex4.5.html?verb=cirkulovat#v41kwA", "v41kwA")</f>
        <v>v41kwA</v>
      </c>
      <c r="E10" s="0" t="n">
        <v>15</v>
      </c>
      <c r="F10" s="0" t="n">
        <v>0.10953</v>
      </c>
      <c r="G10" s="1" t="s">
        <v>31</v>
      </c>
      <c r="K10" s="0" t="str">
        <f aca="false">HYPERLINK("https://lindat.mff.cuni.cz/services/SynSemClass55/SynSemClass55.html?veclass=vec01566", "vec01566 / míhat se (v41cgbA)")</f>
        <v>vec01566 / míhat se (v41cgbA)</v>
      </c>
      <c r="L10" s="0" t="n">
        <v>0.10953</v>
      </c>
      <c r="M10" s="5" t="s">
        <v>30</v>
      </c>
      <c r="P10" s="0" t="str">
        <f aca="false">HYPERLINK("https://lindat.mff.cuni.cz/services/SynSemClass55/SynSemClass55.html?veclass=vec00882", "vec00882 / projet (v41hfaE)")</f>
        <v>vec00882 / projet (v41hfaE)</v>
      </c>
      <c r="Q10" s="0" t="n">
        <v>0.09811</v>
      </c>
      <c r="R10" s="5" t="s">
        <v>30</v>
      </c>
      <c r="U10" s="0" t="str">
        <f aca="false">HYPERLINK("https://lindat.mff.cuni.cz/services/SynSemClass55/SynSemClass55.html?veclass=vec00831", "vec00831 / kroužit (v41bvnA)")</f>
        <v>vec00831 / kroužit (v41bvnA)</v>
      </c>
      <c r="V10" s="0" t="n">
        <v>0.08673</v>
      </c>
      <c r="W10" s="5" t="s">
        <v>34</v>
      </c>
      <c r="Z10" s="0" t="str">
        <f aca="false">HYPERLINK("https://lindat.mff.cuni.cz/services/SynSemClass55/SynSemClass55.html?veclass=vec01665", "vec01665 / přenášet se (v41ifcA)")</f>
        <v>vec01665 / přenášet se (v41ifcA)</v>
      </c>
      <c r="AA10" s="0" t="n">
        <v>0.08379</v>
      </c>
      <c r="AB10" s="5" t="s">
        <v>30</v>
      </c>
      <c r="AE10" s="0" t="str">
        <f aca="false">HYPERLINK("https://lindat.mff.cuni.cz/services/SynSemClass55/SynSemClass55.html?veclass=vec00209", "vec00209 / distribuovat (v41uwB)")</f>
        <v>vec00209 / distribuovat (v41uwB)</v>
      </c>
      <c r="AF10" s="0" t="n">
        <v>0.06256</v>
      </c>
      <c r="AG10" s="5" t="s">
        <v>30</v>
      </c>
    </row>
    <row r="12" customFormat="false" ht="12.75" hidden="false" customHeight="false" outlineLevel="0" collapsed="false">
      <c r="A12" s="0" t="str">
        <f aca="false">HYPERLINK("https://lindat.mff.cuni.cz/services/PDT-Vallex4.5/PDT-Vallex4.5.html?verb=civilizovat", "civilizovat")</f>
        <v>civilizovat</v>
      </c>
      <c r="B12" s="0" t="str">
        <f aca="false">HYPERLINK("https://lindat.mff.cuni.cz/services/PDT-Vallex4.5/PDT-Vallex4.5.html?verb=civilizovat#v41ljA", "v41ljA")</f>
        <v>v41ljA</v>
      </c>
      <c r="E12" s="0" t="n">
        <v>8</v>
      </c>
      <c r="F12" s="0" t="n">
        <v>0.03278</v>
      </c>
      <c r="G12" s="1" t="s">
        <v>35</v>
      </c>
      <c r="I12" s="1" t="s">
        <v>36</v>
      </c>
      <c r="K12" s="0" t="str">
        <f aca="false">HYPERLINK("https://lindat.mff.cuni.cz/services/SynSemClass55/SynSemClass55.html?veclass=vec01178", "vec01178 / znárodnit (v41rmvA)")</f>
        <v>vec01178 / znárodnit (v41rmvA)</v>
      </c>
      <c r="L12" s="0" t="n">
        <v>0.03278</v>
      </c>
      <c r="M12" s="5" t="s">
        <v>30</v>
      </c>
      <c r="P12" s="0" t="str">
        <f aca="false">HYPERLINK("https://lindat.mff.cuni.cz/services/SynSemClass55/SynSemClass55.html?veclass=vec00468", "vec00468 / pěstovat (v41fkwB)")</f>
        <v>vec00468 / pěstovat (v41fkwB)</v>
      </c>
      <c r="Q12" s="0" t="n">
        <v>0.02723</v>
      </c>
      <c r="R12" s="5" t="s">
        <v>30</v>
      </c>
      <c r="U12" s="0" t="str">
        <f aca="false">HYPERLINK("https://lindat.mff.cuni.cz/services/SynSemClass55/SynSemClass55.html?veclass=vec00536", "vec00536 / uklidnit (v41mmaA)")</f>
        <v>vec00536 / uklidnit (v41mmaA)</v>
      </c>
      <c r="V12" s="0" t="n">
        <v>0.02595</v>
      </c>
      <c r="W12" s="5" t="s">
        <v>30</v>
      </c>
      <c r="Z12" s="0" t="str">
        <f aca="false">HYPERLINK("https://lindat.mff.cuni.cz/services/SynSemClass55/SynSemClass55.html?veclass=vec00808", "vec00808 / diskriminovat (v41ujA)")</f>
        <v>vec00808 / diskriminovat (v41ujA)</v>
      </c>
      <c r="AA12" s="0" t="n">
        <v>0.02593</v>
      </c>
      <c r="AB12" s="5" t="s">
        <v>30</v>
      </c>
      <c r="AE12" s="0" t="str">
        <f aca="false">HYPERLINK("https://lindat.mff.cuni.cz/services/SynSemClass55/SynSemClass55.html?veclass=vec01988", "vec01988 / zúročit (v41saaA)")</f>
        <v>vec01988 / zúročit (v41saaA)</v>
      </c>
      <c r="AF12" s="0" t="n">
        <v>0.02488</v>
      </c>
      <c r="AG12" s="5" t="s">
        <v>30</v>
      </c>
    </row>
    <row r="14" customFormat="false" ht="12.75" hidden="false" customHeight="false" outlineLevel="0" collapsed="false">
      <c r="A14" s="0" t="str">
        <f aca="false">HYPERLINK("https://lindat.mff.cuni.cz/services/PDT-Vallex4.5/PDT-Vallex4.5.html?verb=cupovat", "cupovat")</f>
        <v>cupovat</v>
      </c>
      <c r="B14" s="0" t="str">
        <f aca="false">HYPERLINK("https://lindat.mff.cuni.cz/services/PDT-Vallex4.5/PDT-Vallex4.5.html?verb=cupovat#v41mbA", "v41mbA")</f>
        <v>v41mbA</v>
      </c>
      <c r="E14" s="0" t="n">
        <v>47</v>
      </c>
      <c r="F14" s="0" t="n">
        <v>0.16577</v>
      </c>
      <c r="G14" s="1" t="s">
        <v>31</v>
      </c>
      <c r="K14" s="0" t="str">
        <f aca="false">HYPERLINK("https://lindat.mff.cuni.cz/services/SynSemClass55/SynSemClass55.html?veclass=vec00903", "vec00903 / rozcupovat (v41jmmA)")</f>
        <v>vec00903 / rozcupovat (v41jmmA)</v>
      </c>
      <c r="L14" s="0" t="n">
        <v>0.16577</v>
      </c>
      <c r="M14" s="5" t="s">
        <v>33</v>
      </c>
      <c r="P14" s="0" t="str">
        <f aca="false">HYPERLINK("https://lindat.mff.cuni.cz/services/SynSemClass55/SynSemClass55.html?veclass=vec01727", "vec01727 / clít (v41lnA)")</f>
        <v>vec01727 / clít (v41lnA)</v>
      </c>
      <c r="Q14" s="0" t="n">
        <v>0.05928</v>
      </c>
      <c r="R14" s="5" t="s">
        <v>30</v>
      </c>
      <c r="U14" s="0" t="str">
        <f aca="false">HYPERLINK("https://lindat.mff.cuni.cz/services/SynSemClass55/SynSemClass55.html?veclass=vec00296", "vec00296 / rozdělit (v41jniC)")</f>
        <v>vec00296 / rozdělit (v41jniC)</v>
      </c>
      <c r="V14" s="0" t="n">
        <v>0.04844</v>
      </c>
      <c r="W14" s="5" t="s">
        <v>30</v>
      </c>
      <c r="Z14" s="0" t="str">
        <f aca="false">HYPERLINK("https://lindat.mff.cuni.cz/services/SynSemClass55/SynSemClass55.html?veclass=vec01491", "vec01491 / fasovat (v41appA)")</f>
        <v>vec01491 / fasovat (v41appA)</v>
      </c>
      <c r="AA14" s="0" t="n">
        <v>0.03983</v>
      </c>
      <c r="AB14" s="5" t="s">
        <v>30</v>
      </c>
      <c r="AE14" s="0" t="str">
        <f aca="false">HYPERLINK("https://lindat.mff.cuni.cz/services/SynSemClass55/SynSemClass55.html?veclass=vec01216", "vec01216 / hrabat se (v41aygA)")</f>
        <v>vec01216 / hrabat se (v41aygA)</v>
      </c>
      <c r="AF14" s="0" t="n">
        <v>0.03172</v>
      </c>
      <c r="AG14" s="5" t="s">
        <v>30</v>
      </c>
    </row>
    <row r="16" customFormat="false" ht="12.75" hidden="false" customHeight="false" outlineLevel="0" collapsed="false">
      <c r="A16" s="0" t="str">
        <f aca="false">HYPERLINK("https://lindat.mff.cuni.cz/services/PDT-Vallex4.5/PDT-Vallex4.5.html?verb=čišet", "čišet")</f>
        <v>čišet</v>
      </c>
      <c r="B16" s="0" t="str">
        <f aca="false">HYPERLINK("https://lindat.mff.cuni.cz/services/PDT-Vallex4.5/PDT-Vallex4.5.html?verb=čišet#v41nzB", "v41nzB")</f>
        <v>v41nzB</v>
      </c>
      <c r="E16" s="0" t="n">
        <v>270</v>
      </c>
      <c r="F16" s="0" t="n">
        <v>0.74258</v>
      </c>
      <c r="G16" s="1" t="s">
        <v>37</v>
      </c>
      <c r="K16" s="0" t="str">
        <f aca="false">HYPERLINK("https://lindat.mff.cuni.cz/services/SynSemClass55/SynSemClass55.html?veclass=vec00258", "vec00258 / pocházet (v41fyjA)")</f>
        <v>vec00258 / pocházet (v41fyjA)</v>
      </c>
      <c r="L16" s="0" t="n">
        <v>0.74258</v>
      </c>
      <c r="M16" s="5" t="s">
        <v>30</v>
      </c>
      <c r="P16" s="0" t="str">
        <f aca="false">HYPERLINK("https://lindat.mff.cuni.cz/services/SynSemClass55/SynSemClass55.html?veclass=vec00893", "vec00893 / překypovat (v41ideA)")</f>
        <v>vec00893 / překypovat (v41ideA)</v>
      </c>
      <c r="Q16" s="0" t="n">
        <v>0.03884</v>
      </c>
      <c r="R16" s="5" t="s">
        <v>30</v>
      </c>
      <c r="U16" s="0" t="str">
        <f aca="false">HYPERLINK("https://lindat.mff.cuni.cz/services/SynSemClass55/SynSemClass55.html?veclass=vec01621", "vec01621 / vykukovat (v41ohbB)")</f>
        <v>vec01621 / vykukovat (v41ohbB)</v>
      </c>
      <c r="V16" s="0" t="n">
        <v>0.03093</v>
      </c>
      <c r="W16" s="5" t="s">
        <v>30</v>
      </c>
      <c r="Z16" s="0" t="str">
        <f aca="false">HYPERLINK("https://lindat.mff.cuni.cz/services/SynSemClass55/SynSemClass55.html?veclass=vec00614", "vec00614 / chrlit (v41bbzA)")</f>
        <v>vec00614 / chrlit (v41bbzA)</v>
      </c>
      <c r="AA16" s="0" t="n">
        <v>0.02013</v>
      </c>
      <c r="AB16" s="5" t="s">
        <v>30</v>
      </c>
      <c r="AE16" s="0" t="str">
        <f aca="false">HYPERLINK("https://lindat.mff.cuni.cz/services/SynSemClass55/SynSemClass55.html?veclass=vec00071", "vec00071 / pocházet (v41fyjB)")</f>
        <v>vec00071 / pocházet (v41fyjB)</v>
      </c>
      <c r="AF16" s="0" t="n">
        <v>0.0176</v>
      </c>
      <c r="AG16" s="5" t="s">
        <v>30</v>
      </c>
    </row>
    <row r="18" customFormat="false" ht="12.75" hidden="false" customHeight="false" outlineLevel="0" collapsed="false">
      <c r="A18" s="0" t="str">
        <f aca="false">HYPERLINK("https://lindat.mff.cuni.cz/services/PDT-Vallex4.5/PDT-Vallex4.5.html?verb=datovat se", "datovat se")</f>
        <v>datovat se</v>
      </c>
      <c r="B18" s="0" t="str">
        <f aca="false">HYPERLINK("https://lindat.mff.cuni.cz/services/PDT-Vallex4.5/PDT-Vallex4.5.html?verb=datovat se#v41poA", "v41poA")</f>
        <v>v41poA</v>
      </c>
      <c r="E18" s="0" t="n">
        <v>45</v>
      </c>
      <c r="F18" s="0" t="n">
        <v>0.64868</v>
      </c>
      <c r="G18" s="1" t="s">
        <v>31</v>
      </c>
      <c r="K18" s="0" t="str">
        <f aca="false">HYPERLINK("https://lindat.mff.cuni.cz/services/SynSemClass55/SynSemClass55.html?veclass=vec00005", "vec00005 / datovat se (v41poB)")</f>
        <v>vec00005 / datovat se (v41poB)</v>
      </c>
      <c r="L18" s="0" t="n">
        <v>0.64868</v>
      </c>
      <c r="M18" s="5" t="s">
        <v>34</v>
      </c>
      <c r="P18" s="0" t="str">
        <f aca="false">HYPERLINK("https://lindat.mff.cuni.cz/services/SynSemClass55/SynSemClass55.html?veclass=vec00806", "vec00806 / datovat (v41pnA)")</f>
        <v>vec00806 / datovat (v41pnA)</v>
      </c>
      <c r="Q18" s="0" t="n">
        <v>0.25993</v>
      </c>
      <c r="R18" s="5" t="s">
        <v>30</v>
      </c>
      <c r="U18" s="0" t="str">
        <f aca="false">HYPERLINK("https://lindat.mff.cuni.cz/services/SynSemClass55/SynSemClass55.html?veclass=vec00488", "vec00488 / prohlásit (v41hddA)")</f>
        <v>vec00488 / prohlásit (v41hddA)</v>
      </c>
      <c r="V18" s="0" t="n">
        <v>0.01629</v>
      </c>
      <c r="W18" s="5" t="s">
        <v>30</v>
      </c>
      <c r="Z18" s="0" t="str">
        <f aca="false">HYPERLINK("https://lindat.mff.cuni.cz/services/SynSemClass55/SynSemClass55.html?veclass=vec01169", "vec01169 / zachytit (v41pveE)")</f>
        <v>vec01169 / zachytit (v41pveE)</v>
      </c>
      <c r="AA18" s="0" t="n">
        <v>0.01608</v>
      </c>
      <c r="AB18" s="5" t="s">
        <v>30</v>
      </c>
      <c r="AE18" s="0" t="str">
        <f aca="false">HYPERLINK("https://lindat.mff.cuni.cz/services/SynSemClass55/SynSemClass55.html?veclass=vec01401", "vec01401 / jít (v41bikBY)")</f>
        <v>vec01401 / jít (v41bikBY)</v>
      </c>
      <c r="AF18" s="0" t="n">
        <v>0.0136</v>
      </c>
      <c r="AG18" s="5" t="s">
        <v>30</v>
      </c>
    </row>
    <row r="20" customFormat="false" ht="12.75" hidden="false" customHeight="false" outlineLevel="0" collapsed="false">
      <c r="A20" s="0" t="str">
        <f aca="false">HYPERLINK("https://lindat.mff.cuni.cz/services/PDT-Vallex4.5/PDT-Vallex4.5.html?verb=decentralizovat", "decentralizovat")</f>
        <v>decentralizovat</v>
      </c>
      <c r="B20" s="0" t="str">
        <f aca="false">HYPERLINK("https://lindat.mff.cuni.cz/services/PDT-Vallex4.5/PDT-Vallex4.5.html?verb=decentralizovat#v41qhA", "v41qhA")</f>
        <v>v41qhA</v>
      </c>
      <c r="E20" s="0" t="n">
        <v>1</v>
      </c>
      <c r="F20" s="0" t="n">
        <v>0.68296</v>
      </c>
      <c r="G20" s="1" t="s">
        <v>31</v>
      </c>
      <c r="K20" s="0" t="str">
        <f aca="false">HYPERLINK("https://lindat.mff.cuni.cz/services/SynSemClass55/SynSemClass55.html?veclass=vec00804", "vec00804 / centralizovat (v41kiA)")</f>
        <v>vec00804 / centralizovat (v41kiA)</v>
      </c>
      <c r="L20" s="0" t="n">
        <v>0.68296</v>
      </c>
      <c r="M20" s="5" t="s">
        <v>33</v>
      </c>
      <c r="N20" s="0" t="s">
        <v>38</v>
      </c>
      <c r="P20" s="0" t="str">
        <f aca="false">HYPERLINK("https://lindat.mff.cuni.cz/services/SynSemClass55/SynSemClass55.html?veclass=vec00302", "vec00302 / řídit (v41kegA)")</f>
        <v>vec00302 / řídit (v41kegA)</v>
      </c>
      <c r="Q20" s="0" t="n">
        <v>0.03818</v>
      </c>
      <c r="R20" s="5" t="s">
        <v>30</v>
      </c>
      <c r="U20" s="0" t="str">
        <f aca="false">HYPERLINK("https://lindat.mff.cuni.cz/services/SynSemClass55/SynSemClass55.html?veclass=vec00735", "vec00735 / umístit (v41motA)")</f>
        <v>vec00735 / umístit (v41motA)</v>
      </c>
      <c r="V20" s="0" t="n">
        <v>0.03233</v>
      </c>
      <c r="W20" s="5" t="s">
        <v>30</v>
      </c>
      <c r="Z20" s="0" t="str">
        <f aca="false">HYPERLINK("https://lindat.mff.cuni.cz/services/SynSemClass55/SynSemClass55.html?veclass=vec01864", "vec01864 / reorganizovat (v41jioA)")</f>
        <v>vec01864 / reorganizovat (v41jioA)</v>
      </c>
      <c r="AA20" s="0" t="n">
        <v>0.02935</v>
      </c>
      <c r="AB20" s="5" t="s">
        <v>30</v>
      </c>
      <c r="AE20" s="0" t="str">
        <f aca="false">HYPERLINK("https://lindat.mff.cuni.cz/services/SynSemClass55/SynSemClass55.html?veclass=vec00710", "vec00710 / shromáždit se (v41kndA)")</f>
        <v>vec00710 / shromáždit se (v41kndA)</v>
      </c>
      <c r="AF20" s="0" t="n">
        <v>0.02934</v>
      </c>
      <c r="AG20" s="5" t="s">
        <v>30</v>
      </c>
    </row>
    <row r="22" customFormat="false" ht="12.75" hidden="false" customHeight="false" outlineLevel="0" collapsed="false">
      <c r="A22" s="0" t="str">
        <f aca="false">HYPERLINK("https://lindat.mff.cuni.cz/services/PDT-Vallex4.5/PDT-Vallex4.5.html?verb=demokratizovat", "demokratizovat")</f>
        <v>demokratizovat</v>
      </c>
      <c r="B22" s="0" t="str">
        <f aca="false">HYPERLINK("https://lindat.mff.cuni.cz/services/PDT-Vallex4.5/PDT-Vallex4.5.html?verb=demokratizovat#v41ryA", "v41ryA")</f>
        <v>v41ryA</v>
      </c>
      <c r="E22" s="0" t="n">
        <v>2</v>
      </c>
      <c r="F22" s="0" t="n">
        <v>0.10212</v>
      </c>
      <c r="G22" s="1" t="n">
        <v>0</v>
      </c>
      <c r="I22" s="1" t="s">
        <v>39</v>
      </c>
      <c r="K22" s="0" t="str">
        <f aca="false">HYPERLINK("https://lindat.mff.cuni.cz/services/SynSemClass55/SynSemClass55.html?veclass=vec01178", "vec01178 / znárodnit (v41rmvA)")</f>
        <v>vec01178 / znárodnit (v41rmvA)</v>
      </c>
      <c r="L22" s="0" t="n">
        <v>0.10212</v>
      </c>
      <c r="M22" s="5" t="s">
        <v>30</v>
      </c>
      <c r="P22" s="0" t="str">
        <f aca="false">HYPERLINK("https://lindat.mff.cuni.cz/services/SynSemClass55/SynSemClass55.html?veclass=vec00683", "vec00683 / privatizovat (v41gztA)")</f>
        <v>vec00683 / privatizovat (v41gztA)</v>
      </c>
      <c r="Q22" s="0" t="n">
        <v>0.09541</v>
      </c>
      <c r="R22" s="5" t="s">
        <v>30</v>
      </c>
      <c r="U22" s="0" t="str">
        <f aca="false">HYPERLINK("https://lindat.mff.cuni.cz/services/SynSemClass55/SynSemClass55.html?veclass=vec00545", "vec00545 / uvolnit (v41ndvG)")</f>
        <v>vec00545 / uvolnit (v41ndvG)</v>
      </c>
      <c r="V22" s="0" t="n">
        <v>0.05963</v>
      </c>
      <c r="W22" s="5" t="s">
        <v>30</v>
      </c>
      <c r="Z22" s="0" t="str">
        <f aca="false">HYPERLINK("https://lindat.mff.cuni.cz/services/SynSemClass55/SynSemClass55.html?veclass=vec01132", "vec01132 / transformovat se (v41mavA)")</f>
        <v>vec01132 / transformovat se (v41mavA)</v>
      </c>
      <c r="AA22" s="0" t="n">
        <v>0.05336</v>
      </c>
      <c r="AB22" s="5" t="s">
        <v>30</v>
      </c>
      <c r="AE22" s="0" t="str">
        <f aca="false">HYPERLINK("https://lindat.mff.cuni.cz/services/SynSemClass55/SynSemClass55.html?veclass=vec01871", "vec01871 / rozhýbat (v41jrcA)")</f>
        <v>vec01871 / rozhýbat (v41jrcA)</v>
      </c>
      <c r="AF22" s="0" t="n">
        <v>0.01897</v>
      </c>
      <c r="AG22" s="5" t="s">
        <v>30</v>
      </c>
    </row>
    <row r="24" customFormat="false" ht="12.75" hidden="false" customHeight="false" outlineLevel="0" collapsed="false">
      <c r="A24" s="0" t="str">
        <f aca="false">HYPERLINK("https://lindat.mff.cuni.cz/services/PDT-Vallex4.5/PDT-Vallex4.5.html?verb=demoralizovat", "demoralizovat")</f>
        <v>demoralizovat</v>
      </c>
      <c r="B24" s="0" t="str">
        <f aca="false">HYPERLINK("https://lindat.mff.cuni.cz/services/PDT-Vallex4.5/PDT-Vallex4.5.html?verb=demoralizovat#v41siA", "v41siA")</f>
        <v>v41siA</v>
      </c>
      <c r="E24" s="0" t="n">
        <v>24</v>
      </c>
      <c r="F24" s="0" t="n">
        <v>0.13298</v>
      </c>
      <c r="G24" s="1" t="s">
        <v>31</v>
      </c>
      <c r="K24" s="0" t="str">
        <f aca="false">HYPERLINK("https://lindat.mff.cuni.cz/services/SynSemClass55/SynSemClass55.html?veclass=vec01385", "vec01385 / znejistět (v41rnyA)")</f>
        <v>vec01385 / znejistět (v41rnyA)</v>
      </c>
      <c r="L24" s="0" t="n">
        <v>0.13298</v>
      </c>
      <c r="M24" s="5" t="s">
        <v>30</v>
      </c>
      <c r="P24" s="0" t="str">
        <f aca="false">HYPERLINK("https://lindat.mff.cuni.cz/services/SynSemClass55/SynSemClass55.html?veclass=vec00608", "vec00608 / dráždit (v41akkB)")</f>
        <v>vec00608 / dráždit (v41akkB)</v>
      </c>
      <c r="Q24" s="0" t="n">
        <v>0.10287</v>
      </c>
      <c r="R24" s="5" t="s">
        <v>34</v>
      </c>
      <c r="U24" s="0" t="str">
        <f aca="false">HYPERLINK("https://lindat.mff.cuni.cz/services/SynSemClass55/SynSemClass55.html?veclass=vec00055", "vec00055 / oslabit (v41ezlC)")</f>
        <v>vec00055 / oslabit (v41ezlC)</v>
      </c>
      <c r="V24" s="0" t="n">
        <v>0.10183</v>
      </c>
      <c r="W24" s="5" t="s">
        <v>30</v>
      </c>
      <c r="Z24" s="0" t="str">
        <f aca="false">HYPERLINK("https://lindat.mff.cuni.cz/services/SynSemClass55/SynSemClass55.html?veclass=vec01192", "vec01192 / ztrapnit (v41rzaA)")</f>
        <v>vec01192 / ztrapnit (v41rzaA)</v>
      </c>
      <c r="AA24" s="0" t="n">
        <v>0.06363</v>
      </c>
      <c r="AB24" s="5" t="s">
        <v>30</v>
      </c>
      <c r="AE24" s="0" t="str">
        <f aca="false">HYPERLINK("https://lindat.mff.cuni.cz/services/SynSemClass55/SynSemClass55.html?veclass=vec00656", "vec00656 / ochromit (v41ergA)")</f>
        <v>vec00656 / ochromit (v41ergA)</v>
      </c>
      <c r="AF24" s="0" t="n">
        <v>0.05487</v>
      </c>
      <c r="AG24" s="5" t="s">
        <v>30</v>
      </c>
    </row>
    <row r="26" customFormat="false" ht="12.75" hidden="false" customHeight="false" outlineLevel="0" collapsed="false">
      <c r="A26" s="0" t="str">
        <f aca="false">HYPERLINK("https://lindat.mff.cuni.cz/services/PDT-Vallex4.5/PDT-Vallex4.5.html?verb=doléčit", "doléčit")</f>
        <v>doléčit</v>
      </c>
      <c r="B26" s="0" t="str">
        <f aca="false">HYPERLINK("https://lindat.mff.cuni.cz/services/PDT-Vallex4.5/PDT-Vallex4.5.html?verb=doléčit#v41aapA", "v41aapA")</f>
        <v>v41aapA</v>
      </c>
      <c r="E26" s="0" t="n">
        <v>5</v>
      </c>
      <c r="F26" s="0" t="n">
        <v>0.18016</v>
      </c>
      <c r="G26" s="1" t="s">
        <v>31</v>
      </c>
      <c r="K26" s="0" t="str">
        <f aca="false">HYPERLINK("https://lindat.mff.cuni.cz/services/SynSemClass55/SynSemClass55.html?veclass=vec00628", "vec00628 / léčit (v41byqB)")</f>
        <v>vec00628 / léčit (v41byqB)</v>
      </c>
      <c r="L26" s="0" t="n">
        <v>0.18016</v>
      </c>
      <c r="M26" s="5" t="s">
        <v>30</v>
      </c>
      <c r="P26" s="0" t="str">
        <f aca="false">HYPERLINK("https://lindat.mff.cuni.cz/services/SynSemClass55/SynSemClass55.html?veclass=vec01915", "vec01915 / uzdravit (v41nepA)")</f>
        <v>vec01915 / uzdravit (v41nepA)</v>
      </c>
      <c r="Q26" s="0" t="n">
        <v>0.16063</v>
      </c>
      <c r="R26" s="5" t="s">
        <v>33</v>
      </c>
      <c r="U26" s="0" t="str">
        <f aca="false">HYPERLINK("https://lindat.mff.cuni.cz/services/SynSemClass55/SynSemClass55.html?veclass=vec00664", "vec00664 / ošetřovat (v41fbwA)")</f>
        <v>vec00664 / ošetřovat (v41fbwA)</v>
      </c>
      <c r="V26" s="0" t="n">
        <v>0.10276</v>
      </c>
      <c r="W26" s="5" t="s">
        <v>30</v>
      </c>
      <c r="Z26" s="0" t="str">
        <f aca="false">HYPERLINK("https://lindat.mff.cuni.cz/services/SynSemClass55/SynSemClass55.html?veclass=vec00390", "vec00390 / zotavit se (v41rrtA)")</f>
        <v>vec00390 / zotavit se (v41rrtA)</v>
      </c>
      <c r="AA26" s="0" t="n">
        <v>0.05395</v>
      </c>
      <c r="AB26" s="5" t="s">
        <v>30</v>
      </c>
      <c r="AE26" s="0" t="str">
        <f aca="false">HYPERLINK("https://lindat.mff.cuni.cz/services/SynSemClass55/SynSemClass55.html?veclass=vec00743", "vec00743 / vnutit (v41nokA)")</f>
        <v>vec00743 / vnutit (v41nokA)</v>
      </c>
      <c r="AF26" s="0" t="n">
        <v>0.0372</v>
      </c>
      <c r="AG26" s="5" t="s">
        <v>30</v>
      </c>
    </row>
    <row r="28" customFormat="false" ht="12.75" hidden="false" customHeight="false" outlineLevel="0" collapsed="false">
      <c r="A28" s="0" t="str">
        <f aca="false">HYPERLINK("https://lindat.mff.cuni.cz/services/PDT-Vallex4.5/PDT-Vallex4.5.html?verb=domýšlet se", "domýšlet se")</f>
        <v>domýšlet se</v>
      </c>
      <c r="B28" s="0" t="str">
        <f aca="false">HYPERLINK("https://lindat.mff.cuni.cz/services/PDT-Vallex4.5/PDT-Vallex4.5.html?verb=domýšlet se#v41abmA", "v41abmA")</f>
        <v>v41abmA</v>
      </c>
      <c r="E28" s="0" t="n">
        <v>237</v>
      </c>
      <c r="F28" s="0" t="n">
        <v>0.15529</v>
      </c>
      <c r="G28" s="1" t="s">
        <v>31</v>
      </c>
      <c r="K28" s="0" t="str">
        <f aca="false">HYPERLINK("https://lindat.mff.cuni.cz/services/SynSemClass55/SynSemClass55.html?veclass=vec00092", "vec00092 / předpokládat (v41hxpB)")</f>
        <v>vec00092 / předpokládat (v41hxpB)</v>
      </c>
      <c r="L28" s="0" t="n">
        <v>0.15529</v>
      </c>
      <c r="M28" s="5" t="s">
        <v>30</v>
      </c>
      <c r="P28" s="0" t="str">
        <f aca="false">HYPERLINK("https://lindat.mff.cuni.cz/services/SynSemClass55/SynSemClass55.html?veclass=vec00149", "vec00149 / uvážit (v41ncpA)")</f>
        <v>vec00149 / uvážit (v41ncpA)</v>
      </c>
      <c r="Q28" s="0" t="n">
        <v>0.13756</v>
      </c>
      <c r="R28" s="5" t="s">
        <v>30</v>
      </c>
      <c r="U28" s="0" t="str">
        <f aca="false">HYPERLINK("https://lindat.mff.cuni.cz/services/SynSemClass55/SynSemClass55.html?veclass=vec00032", "vec00032 / myslet si (v41ckkA)")</f>
        <v>vec00032 / myslet si (v41ckkA)</v>
      </c>
      <c r="V28" s="0" t="n">
        <v>0.10761</v>
      </c>
      <c r="W28" s="5" t="s">
        <v>33</v>
      </c>
      <c r="Z28" s="0" t="str">
        <f aca="false">HYPERLINK("https://lindat.mff.cuni.cz/services/SynSemClass55/SynSemClass55.html?veclass=vec00493", "vec00493 / představit si (v41hyjC)")</f>
        <v>vec00493 / představit si (v41hyjC)</v>
      </c>
      <c r="AA28" s="0" t="n">
        <v>0.07923</v>
      </c>
      <c r="AB28" s="5" t="s">
        <v>30</v>
      </c>
      <c r="AE28" s="0" t="str">
        <f aca="false">HYPERLINK("https://lindat.mff.cuni.cz/services/SynSemClass55/SynSemClass55.html?veclass=vec00040", "vec00040 / navrhnout (v41dgxD)")</f>
        <v>vec00040 / navrhnout (v41dgxD)</v>
      </c>
      <c r="AF28" s="0" t="n">
        <v>0.07368</v>
      </c>
      <c r="AG28" s="5" t="s">
        <v>30</v>
      </c>
    </row>
    <row r="30" customFormat="false" ht="12.75" hidden="false" customHeight="false" outlineLevel="0" collapsed="false">
      <c r="A30" s="0" t="str">
        <f aca="false">HYPERLINK("https://lindat.mff.cuni.cz/services/PDT-Vallex4.5/PDT-Vallex4.5.html?verb=doobědvat", "doobědvat")</f>
        <v>doobědvat</v>
      </c>
      <c r="B30" s="0" t="str">
        <f aca="false">HYPERLINK("https://lindat.mff.cuni.cz/services/PDT-Vallex4.5/PDT-Vallex4.5.html?verb=doobědvat#v41abtA", "v41abtA")</f>
        <v>v41abtA</v>
      </c>
      <c r="E30" s="0" t="n">
        <v>6</v>
      </c>
      <c r="F30" s="0" t="n">
        <v>0.26012</v>
      </c>
      <c r="G30" s="1" t="s">
        <v>31</v>
      </c>
      <c r="K30" s="0" t="str">
        <f aca="false">HYPERLINK("https://lindat.mff.cuni.cz/services/SynSemClass55/SynSemClass55.html?veclass=vec00828", "vec00828 / jíst (v41bifB)")</f>
        <v>vec00828 / jíst (v41bifB)</v>
      </c>
      <c r="L30" s="0" t="n">
        <v>0.26012</v>
      </c>
      <c r="M30" s="5" t="s">
        <v>34</v>
      </c>
      <c r="P30" s="0" t="str">
        <f aca="false">HYPERLINK("https://lindat.mff.cuni.cz/services/SynSemClass55/SynSemClass55.html?veclass=vec00950", "vec00950 / večeřet (v41nidA)")</f>
        <v>vec00950 / večeřet (v41nidA)</v>
      </c>
      <c r="Q30" s="0" t="n">
        <v>0.19721</v>
      </c>
      <c r="R30" s="5" t="s">
        <v>30</v>
      </c>
      <c r="U30" s="0" t="str">
        <f aca="false">HYPERLINK("https://lindat.mff.cuni.cz/services/SynSemClass55/SynSemClass55.html?veclass=vec01067", "vec01067 / pást se (v41fjmB)")</f>
        <v>vec01067 / pást se (v41fjmB)</v>
      </c>
      <c r="V30" s="0" t="n">
        <v>0.0369</v>
      </c>
      <c r="W30" s="5" t="s">
        <v>30</v>
      </c>
      <c r="Z30" s="0" t="str">
        <f aca="false">HYPERLINK("https://lindat.mff.cuni.cz/services/SynSemClass55/SynSemClass55.html?veclass=vec00624", "vec00624 / krmit (v41bvfA)")</f>
        <v>vec00624 / krmit (v41bvfA)</v>
      </c>
      <c r="AA30" s="0" t="n">
        <v>0.03428</v>
      </c>
      <c r="AB30" s="5" t="s">
        <v>30</v>
      </c>
      <c r="AE30" s="0" t="str">
        <f aca="false">HYPERLINK("https://lindat.mff.cuni.cz/services/SynSemClass55/SynSemClass55.html?veclass=vec00822", "vec00822 / hostit (v41axoA)")</f>
        <v>vec00822 / hostit (v41axoA)</v>
      </c>
      <c r="AF30" s="0" t="n">
        <v>0.03214</v>
      </c>
      <c r="AG30" s="5" t="s">
        <v>30</v>
      </c>
    </row>
    <row r="32" customFormat="false" ht="12.75" hidden="false" customHeight="false" outlineLevel="0" collapsed="false">
      <c r="A32" s="0" t="str">
        <f aca="false">HYPERLINK("https://lindat.mff.cuni.cz/services/PDT-Vallex4.5/PDT-Vallex4.5.html?verb=dopravit", "dopravit")</f>
        <v>dopravit</v>
      </c>
      <c r="B32" s="0" t="str">
        <f aca="false">HYPERLINK("https://lindat.mff.cuni.cz/services/PDT-Vallex4.5/PDT-Vallex4.5.html?verb=dopravit#v41adnA", "v41adnA")</f>
        <v>v41adnA</v>
      </c>
      <c r="E32" s="0" t="n">
        <v>858</v>
      </c>
      <c r="F32" s="0" t="n">
        <v>0.27506</v>
      </c>
      <c r="G32" s="1" t="s">
        <v>31</v>
      </c>
      <c r="K32" s="0" t="str">
        <f aca="false">HYPERLINK("https://lindat.mff.cuni.cz/services/SynSemClass55/SynSemClass55.html?veclass=vec00011", "vec00011 / dovézt (v41ailB)")</f>
        <v>vec00011 / dovézt (v41ailB)</v>
      </c>
      <c r="L32" s="0" t="n">
        <v>0.27506</v>
      </c>
      <c r="M32" s="5" t="s">
        <v>33</v>
      </c>
      <c r="P32" s="0" t="str">
        <f aca="false">HYPERLINK("https://lindat.mff.cuni.cz/services/SynSemClass55/SynSemClass55.html?veclass=vec01377", "vec01377 / zavést (v41qsnC)")</f>
        <v>vec01377 / zavést (v41qsnC)</v>
      </c>
      <c r="Q32" s="0" t="n">
        <v>0.23274</v>
      </c>
      <c r="R32" s="5" t="s">
        <v>30</v>
      </c>
      <c r="U32" s="0" t="str">
        <f aca="false">HYPERLINK("https://lindat.mff.cuni.cz/services/SynSemClass55/SynSemClass55.html?veclass=vec00209", "vec00209 / distribuovat (v41uwB)")</f>
        <v>vec00209 / distribuovat (v41uwB)</v>
      </c>
      <c r="V32" s="0" t="n">
        <v>0.18451</v>
      </c>
      <c r="W32" s="5" t="s">
        <v>30</v>
      </c>
      <c r="Z32" s="0" t="str">
        <f aca="false">HYPERLINK("https://lindat.mff.cuni.cz/services/SynSemClass55/SynSemClass55.html?veclass=vec00283", "vec00283 / převést (v41imqC)")</f>
        <v>vec00283 / převést (v41imqC)</v>
      </c>
      <c r="AA32" s="0" t="n">
        <v>0.12574</v>
      </c>
      <c r="AB32" s="5" t="s">
        <v>30</v>
      </c>
      <c r="AE32" s="0" t="str">
        <f aca="false">HYPERLINK("https://lindat.mff.cuni.cz/services/SynSemClass55/SynSemClass55.html?veclass=vec00218", "vec00218 / dostat se (v41afyI)")</f>
        <v>vec00218 / dostat se (v41afyI)</v>
      </c>
      <c r="AF32" s="0" t="n">
        <v>0.03036</v>
      </c>
      <c r="AG32" s="5" t="s">
        <v>30</v>
      </c>
    </row>
    <row r="34" customFormat="false" ht="12.75" hidden="false" customHeight="false" outlineLevel="0" collapsed="false">
      <c r="A34" s="0" t="str">
        <f aca="false">HYPERLINK("https://lindat.mff.cuni.cz/services/PDT-Vallex4.5/PDT-Vallex4.5.html?verb=držet si", "držet si")</f>
        <v>držet si</v>
      </c>
      <c r="B34" s="0" t="str">
        <f aca="false">HYPERLINK("https://lindat.mff.cuni.cz/services/PDT-Vallex4.5/PDT-Vallex4.5.html?verb=držet si#v41aleA", "v41aleA")</f>
        <v>v41aleA</v>
      </c>
      <c r="E34" s="0" t="n">
        <v>5000</v>
      </c>
      <c r="F34" s="0" t="n">
        <v>0.46572</v>
      </c>
      <c r="G34" s="1" t="s">
        <v>40</v>
      </c>
      <c r="H34" s="1" t="s">
        <v>41</v>
      </c>
      <c r="I34" s="1" t="s">
        <v>42</v>
      </c>
      <c r="K34" s="0" t="str">
        <f aca="false">HYPERLINK("https://lindat.mff.cuni.cz/services/SynSemClass55/SynSemClass55.html?veclass=vec01396", "vec01396 / držet (v41alcE)")</f>
        <v>vec01396 / držet (v41alcE)</v>
      </c>
      <c r="L34" s="0" t="n">
        <v>0.46572</v>
      </c>
      <c r="M34" s="5" t="s">
        <v>30</v>
      </c>
      <c r="P34" s="0" t="str">
        <f aca="false">HYPERLINK("https://lindat.mff.cuni.cz/services/SynSemClass55/SynSemClass55.html?veclass=vec00014", "vec00014 / držet (v41alcD)")</f>
        <v>vec00014 / držet (v41alcD)</v>
      </c>
      <c r="Q34" s="0" t="n">
        <v>0.11359</v>
      </c>
      <c r="R34" s="5" t="s">
        <v>30</v>
      </c>
      <c r="U34" s="0" t="str">
        <f aca="false">HYPERLINK("https://lindat.mff.cuni.cz/services/SynSemClass55/SynSemClass55.html?veclass=vec00199", "vec00199 / zůstat (v41sadA)")</f>
        <v>vec00199 / zůstat (v41sadA)</v>
      </c>
      <c r="V34" s="0" t="n">
        <v>0.06002</v>
      </c>
      <c r="W34" s="5" t="s">
        <v>30</v>
      </c>
      <c r="Z34" s="0" t="str">
        <f aca="false">HYPERLINK("https://lindat.mff.cuni.cz/services/SynSemClass55/SynSemClass55.html?veclass=vec00394", "vec00394 / zůstat (v41sadF)")</f>
        <v>vec00394 / zůstat (v41sadF)</v>
      </c>
      <c r="AA34" s="0" t="n">
        <v>0.05508</v>
      </c>
      <c r="AB34" s="5" t="s">
        <v>30</v>
      </c>
      <c r="AE34" s="0" t="str">
        <f aca="false">HYPERLINK("https://lindat.mff.cuni.cz/services/SynSemClass55/SynSemClass55.html?veclass=vec00813", "vec00813 / držet (v41alcC)")</f>
        <v>vec00813 / držet (v41alcC)</v>
      </c>
      <c r="AF34" s="0" t="n">
        <v>0.0452</v>
      </c>
      <c r="AG34" s="5" t="s">
        <v>30</v>
      </c>
    </row>
    <row r="36" customFormat="false" ht="12.75" hidden="false" customHeight="false" outlineLevel="0" collapsed="false">
      <c r="A36" s="0" t="str">
        <f aca="false">HYPERLINK("https://lindat.mff.cuni.cz/services/PDT-Vallex4.5/PDT-Vallex4.5.html?verb=eskalovat", "eskalovat")</f>
        <v>eskalovat</v>
      </c>
      <c r="B36" s="0" t="str">
        <f aca="false">HYPERLINK("https://lindat.mff.cuni.cz/services/PDT-Vallex4.5/PDT-Vallex4.5.html?verb=eskalovat#v41aniA", "v41aniA")</f>
        <v>v41aniA</v>
      </c>
      <c r="E36" s="0" t="n">
        <v>2</v>
      </c>
      <c r="F36" s="0" t="n">
        <v>0.07471</v>
      </c>
      <c r="G36" s="1" t="s">
        <v>43</v>
      </c>
      <c r="K36" s="0" t="str">
        <f aca="false">HYPERLINK("https://lindat.mff.cuni.cz/services/SynSemClass55/SynSemClass55.html?veclass=vec01198", "vec01198 / zvrhnout se (v41scsA)")</f>
        <v>vec01198 / zvrhnout se (v41scsA)</v>
      </c>
      <c r="L36" s="0" t="n">
        <v>0.07471</v>
      </c>
      <c r="M36" s="5" t="s">
        <v>30</v>
      </c>
      <c r="P36" s="0" t="str">
        <f aca="false">HYPERLINK("https://lindat.mff.cuni.cz/services/SynSemClass55/SynSemClass55.html?veclass=vec01498", "vec01498 / napnout se (v41cxgA)")</f>
        <v>vec01498 / napnout se (v41cxgA)</v>
      </c>
      <c r="Q36" s="0" t="n">
        <v>0.05811</v>
      </c>
      <c r="R36" s="5" t="s">
        <v>30</v>
      </c>
      <c r="U36" s="0" t="str">
        <f aca="false">HYPERLINK("https://lindat.mff.cuni.cz/services/SynSemClass55/SynSemClass55.html?veclass=vec00977", "vec00977 / vyvrcholit (v41phtA)")</f>
        <v>vec00977 / vyvrcholit (v41phtA)</v>
      </c>
      <c r="V36" s="0" t="n">
        <v>0.05187</v>
      </c>
      <c r="W36" s="5" t="s">
        <v>30</v>
      </c>
      <c r="Z36" s="0" t="str">
        <f aca="false">HYPERLINK("https://lindat.mff.cuni.cz/services/SynSemClass55/SynSemClass55.html?veclass=vec01518", "vec01518 / rozhostit se (v41jqvA)")</f>
        <v>vec01518 / rozhostit se (v41jqvA)</v>
      </c>
      <c r="AA36" s="0" t="n">
        <v>0.03557</v>
      </c>
      <c r="AB36" s="5" t="s">
        <v>30</v>
      </c>
      <c r="AE36" s="0" t="str">
        <f aca="false">HYPERLINK("https://lindat.mff.cuni.cz/services/SynSemClass55/SynSemClass55.html?veclass=vec00748", "vec00748 / vřít (v41nreB)")</f>
        <v>vec00748 / vřít (v41nreB)</v>
      </c>
      <c r="AF36" s="0" t="n">
        <v>0.02595</v>
      </c>
      <c r="AG36" s="5" t="s">
        <v>30</v>
      </c>
    </row>
    <row r="38" customFormat="false" ht="12.75" hidden="false" customHeight="false" outlineLevel="0" collapsed="false">
      <c r="A38" s="0" t="str">
        <f aca="false">HYPERLINK("https://lindat.mff.cuni.cz/services/PDT-Vallex4.5/PDT-Vallex4.5.html?verb=evidovat", "evidovat")</f>
        <v>evidovat</v>
      </c>
      <c r="B38" s="0" t="str">
        <f aca="false">HYPERLINK("https://lindat.mff.cuni.cz/services/PDT-Vallex4.5/PDT-Vallex4.5.html?verb=evidovat#v41anuA", "v41anuA")</f>
        <v>v41anuA</v>
      </c>
      <c r="E38" s="0" t="n">
        <v>33</v>
      </c>
      <c r="F38" s="0" t="n">
        <v>0.81924</v>
      </c>
      <c r="G38" s="1" t="n">
        <v>0</v>
      </c>
      <c r="I38" s="1" t="s">
        <v>44</v>
      </c>
      <c r="K38" s="0" t="str">
        <f aca="false">HYPERLINK("https://lindat.mff.cuni.cz/services/SynSemClass55/SynSemClass55.html?veclass=vec00507", "vec00507 / registrovat (v41jheB)")</f>
        <v>vec00507 / registrovat (v41jheB)</v>
      </c>
      <c r="L38" s="0" t="n">
        <v>0.81924</v>
      </c>
      <c r="M38" s="5" t="s">
        <v>32</v>
      </c>
      <c r="P38" s="0" t="str">
        <f aca="false">HYPERLINK("https://lindat.mff.cuni.cz/services/SynSemClass55/SynSemClass55.html?veclass=vec01345", "vec01345 / vepsat (v41njiA)")</f>
        <v>vec01345 / vepsat (v41njiA)</v>
      </c>
      <c r="Q38" s="0" t="n">
        <v>0.02019</v>
      </c>
      <c r="R38" s="5" t="s">
        <v>30</v>
      </c>
      <c r="U38" s="0" t="str">
        <f aca="false">HYPERLINK("https://lindat.mff.cuni.cz/services/SynSemClass55/SynSemClass55.html?veclass=vec00778", "vec00778 / zaúčtovat (v41qrdA)")</f>
        <v>vec00778 / zaúčtovat (v41qrdA)</v>
      </c>
      <c r="V38" s="0" t="n">
        <v>0.01427</v>
      </c>
      <c r="W38" s="5" t="s">
        <v>30</v>
      </c>
      <c r="Z38" s="0" t="str">
        <f aca="false">HYPERLINK("https://lindat.mff.cuni.cz/services/SynSemClass55/SynSemClass55.html?veclass=vec00166", "vec00166 / vypočítávat (v41opsB)")</f>
        <v>vec00166 / vypočítávat (v41opsB)</v>
      </c>
      <c r="AA38" s="0" t="n">
        <v>0.01407</v>
      </c>
      <c r="AB38" s="5" t="s">
        <v>30</v>
      </c>
      <c r="AE38" s="0" t="str">
        <f aca="false">HYPERLINK("https://lindat.mff.cuni.cz/services/SynSemClass55/SynSemClass55.html?veclass=vec00163", "vec00163 / vykázat (v41oeoA)")</f>
        <v>vec00163 / vykázat (v41oeoA)</v>
      </c>
      <c r="AF38" s="0" t="n">
        <v>0.01389</v>
      </c>
      <c r="AG38" s="5" t="s">
        <v>30</v>
      </c>
    </row>
    <row r="40" customFormat="false" ht="12.75" hidden="false" customHeight="false" outlineLevel="0" collapsed="false">
      <c r="A40" s="0" t="str">
        <f aca="false">HYPERLINK("https://lindat.mff.cuni.cz/services/PDT-Vallex4.5/PDT-Vallex4.5.html?verb=extrahovat", "extrahovat")</f>
        <v>extrahovat</v>
      </c>
      <c r="B40" s="0" t="str">
        <f aca="false">HYPERLINK("https://lindat.mff.cuni.cz/services/PDT-Vallex4.5/PDT-Vallex4.5.html?verb=extrahovat#v41aowB", "v41aowB")</f>
        <v>v41aowB</v>
      </c>
      <c r="E40" s="0" t="n">
        <v>13</v>
      </c>
      <c r="F40" s="0" t="n">
        <v>0.49624</v>
      </c>
      <c r="G40" s="1" t="s">
        <v>45</v>
      </c>
      <c r="K40" s="0" t="str">
        <f aca="false">HYPERLINK("https://lindat.mff.cuni.cz/services/SynSemClass55/SynSemClass55.html?veclass=vec00816", "vec00816 / extrahovat (v41aowA)")</f>
        <v>vec00816 / extrahovat (v41aowA)</v>
      </c>
      <c r="L40" s="0" t="n">
        <v>0.49624</v>
      </c>
      <c r="M40" s="5" t="s">
        <v>32</v>
      </c>
      <c r="P40" s="0" t="str">
        <f aca="false">HYPERLINK("https://lindat.mff.cuni.cz/services/SynSemClass55/SynSemClass55.html?veclass=vec00648", "vec00648 / odebrat (v41dygC)")</f>
        <v>vec00648 / odebrat (v41dygC)</v>
      </c>
      <c r="Q40" s="0" t="n">
        <v>0.22406</v>
      </c>
      <c r="R40" s="5" t="s">
        <v>30</v>
      </c>
      <c r="U40" s="0" t="str">
        <f aca="false">HYPERLINK("https://lindat.mff.cuni.cz/services/SynSemClass55/SynSemClass55.html?veclass=vec01538", "vec01538 / vyloupnout (v41ojcA)")</f>
        <v>vec01538 / vyloupnout (v41ojcA)</v>
      </c>
      <c r="V40" s="0" t="n">
        <v>0.02834</v>
      </c>
      <c r="W40" s="5" t="s">
        <v>30</v>
      </c>
      <c r="Z40" s="0" t="str">
        <f aca="false">HYPERLINK("https://lindat.mff.cuni.cz/services/SynSemClass55/SynSemClass55.html?veclass=vec00539", "vec00539 / upevnit (v41mquD)")</f>
        <v>vec00539 / upevnit (v41mquD)</v>
      </c>
      <c r="AA40" s="0" t="n">
        <v>0.02658</v>
      </c>
      <c r="AB40" s="5" t="s">
        <v>30</v>
      </c>
      <c r="AE40" s="0" t="str">
        <f aca="false">HYPERLINK("https://lindat.mff.cuni.cz/services/SynSemClass55/SynSemClass55.html?veclass=vec00024", "vec00024 / chránit (v41bbwA)")</f>
        <v>vec00024 / chránit (v41bbwA)</v>
      </c>
      <c r="AF40" s="0" t="n">
        <v>0.01827</v>
      </c>
      <c r="AG40" s="5" t="s">
        <v>30</v>
      </c>
    </row>
    <row r="42" customFormat="false" ht="12.75" hidden="false" customHeight="false" outlineLevel="0" collapsed="false">
      <c r="A42" s="0" t="str">
        <f aca="false">HYPERLINK("https://lindat.mff.cuni.cz/services/PDT-Vallex4.5/PDT-Vallex4.5.html?verb=flirtovat", "flirtovat")</f>
        <v>flirtovat</v>
      </c>
      <c r="B42" s="0" t="str">
        <f aca="false">HYPERLINK("https://lindat.mff.cuni.cz/services/PDT-Vallex4.5/PDT-Vallex4.5.html?verb=flirtovat#v41aqwA", "v41aqwA")</f>
        <v>v41aqwA</v>
      </c>
      <c r="E42" s="0" t="n">
        <v>135</v>
      </c>
      <c r="F42" s="0" t="n">
        <v>0.76711</v>
      </c>
      <c r="G42" s="1" t="n">
        <v>0</v>
      </c>
      <c r="I42" s="1" t="s">
        <v>46</v>
      </c>
      <c r="K42" s="0" t="str">
        <f aca="false">HYPERLINK("https://lindat.mff.cuni.cz/services/SynSemClass55/SynSemClass55.html?veclass=vec00817", "vec00817 / flirtovat (v41aqwB)")</f>
        <v>vec00817 / flirtovat (v41aqwB)</v>
      </c>
      <c r="L42" s="0" t="n">
        <v>0.76711</v>
      </c>
      <c r="M42" s="5" t="s">
        <v>30</v>
      </c>
      <c r="P42" s="0" t="str">
        <f aca="false">HYPERLINK("https://lindat.mff.cuni.cz/services/SynSemClass55/SynSemClass55.html?veclass=vec01653", "vec01653 / pomilovat se (v41gegA)")</f>
        <v>vec01653 / pomilovat se (v41gegA)</v>
      </c>
      <c r="Q42" s="0" t="n">
        <v>0.06633</v>
      </c>
      <c r="R42" s="5" t="s">
        <v>30</v>
      </c>
      <c r="U42" s="0" t="str">
        <f aca="false">HYPERLINK("https://lindat.mff.cuni.cz/services/SynSemClass55/SynSemClass55.html?veclass=vec01562", "vec01562 / líbat (v41caiB)")</f>
        <v>vec01562 / líbat (v41caiB)</v>
      </c>
      <c r="V42" s="0" t="n">
        <v>0.02101</v>
      </c>
      <c r="W42" s="5" t="s">
        <v>30</v>
      </c>
      <c r="Z42" s="0" t="str">
        <f aca="false">HYPERLINK("https://lindat.mff.cuni.cz/services/SynSemClass55/SynSemClass55.html?veclass=vec00030", "vec00030 / měnit (v41cflA)")</f>
        <v>vec00030 / měnit (v41cflA)</v>
      </c>
      <c r="AA42" s="0" t="n">
        <v>0.02012</v>
      </c>
      <c r="AB42" s="5" t="s">
        <v>30</v>
      </c>
      <c r="AE42" s="0" t="str">
        <f aca="false">HYPERLINK("https://lindat.mff.cuni.cz/services/SynSemClass55/SynSemClass55.html?veclass=vec00623", "vec00623 / kombinovat (v41bntA)")</f>
        <v>vec00623 / kombinovat (v41bntA)</v>
      </c>
      <c r="AF42" s="0" t="n">
        <v>0.0173</v>
      </c>
      <c r="AG42" s="5" t="s">
        <v>30</v>
      </c>
    </row>
    <row r="44" customFormat="false" ht="12.75" hidden="false" customHeight="false" outlineLevel="0" collapsed="false">
      <c r="A44" s="0" t="str">
        <f aca="false">HYPERLINK("https://lindat.mff.cuni.cz/services/PDT-Vallex4.5/PDT-Vallex4.5.html?verb=habilitovat", "habilitovat")</f>
        <v>habilitovat</v>
      </c>
      <c r="B44" s="0" t="str">
        <f aca="false">HYPERLINK("https://lindat.mff.cuni.cz/services/PDT-Vallex4.5/PDT-Vallex4.5.html?verb=habilitovat#v41athA", "v41athA")</f>
        <v>v41athA</v>
      </c>
      <c r="E44" s="0" t="n">
        <v>5</v>
      </c>
      <c r="F44" s="0" t="n">
        <v>0.04986</v>
      </c>
      <c r="G44" s="1" t="s">
        <v>31</v>
      </c>
      <c r="K44" s="0" t="str">
        <f aca="false">HYPERLINK("https://lindat.mff.cuni.cz/services/SynSemClass55/SynSemClass55.html?veclass=vec01491", "vec01491 / fasovat (v41appA)")</f>
        <v>vec01491 / fasovat (v41appA)</v>
      </c>
      <c r="L44" s="0" t="n">
        <v>0.04986</v>
      </c>
      <c r="M44" s="5" t="s">
        <v>30</v>
      </c>
      <c r="P44" s="0" t="str">
        <f aca="false">HYPERLINK("https://lindat.mff.cuni.cz/services/SynSemClass55/SynSemClass55.html?veclass=vec00316", "vec00316 / splnit (v41lcdA)")</f>
        <v>vec00316 / splnit (v41lcdA)</v>
      </c>
      <c r="Q44" s="0" t="n">
        <v>0.04855</v>
      </c>
      <c r="R44" s="5" t="s">
        <v>30</v>
      </c>
      <c r="U44" s="0" t="str">
        <f aca="false">HYPERLINK("https://lindat.mff.cuni.cz/services/SynSemClass55/SynSemClass55.html?veclass=vec00069", "vec00069 / podpořit (v41fuiB)")</f>
        <v>vec00069 / podpořit (v41fuiB)</v>
      </c>
      <c r="V44" s="0" t="n">
        <v>0.04252</v>
      </c>
      <c r="W44" s="5" t="s">
        <v>30</v>
      </c>
      <c r="Z44" s="0" t="str">
        <f aca="false">HYPERLINK("https://lindat.mff.cuni.cz/services/SynSemClass55/SynSemClass55.html?veclass=vec01221", "vec01221 / kvalifikovat (v41bxdA)")</f>
        <v>vec01221 / kvalifikovat (v41bxdA)</v>
      </c>
      <c r="AA44" s="0" t="n">
        <v>0.04114</v>
      </c>
      <c r="AB44" s="5" t="s">
        <v>33</v>
      </c>
      <c r="AC44" s="0" t="s">
        <v>47</v>
      </c>
      <c r="AE44" s="0" t="str">
        <f aca="false">HYPERLINK("https://lindat.mff.cuni.cz/services/SynSemClass55/SynSemClass55.html?veclass=vec00373", "vec00373 / zastávat (v41qlzB)")</f>
        <v>vec00373 / zastávat (v41qlzB)</v>
      </c>
      <c r="AF44" s="0" t="n">
        <v>0.03541</v>
      </c>
      <c r="AG44" s="5" t="s">
        <v>30</v>
      </c>
    </row>
    <row r="46" customFormat="false" ht="12.75" hidden="false" customHeight="false" outlineLevel="0" collapsed="false">
      <c r="A46" s="0" t="str">
        <f aca="false">HYPERLINK("https://lindat.mff.cuni.cz/services/PDT-Vallex4.5/PDT-Vallex4.5.html?verb=habilitovat se", "habilitovat se")</f>
        <v>habilitovat se</v>
      </c>
      <c r="B46" s="0" t="str">
        <f aca="false">HYPERLINK("https://lindat.mff.cuni.cz/services/PDT-Vallex4.5/PDT-Vallex4.5.html?verb=habilitovat se#v41atiA", "v41atiA")</f>
        <v>v41atiA</v>
      </c>
      <c r="E46" s="0" t="n">
        <v>5</v>
      </c>
      <c r="F46" s="0" t="n">
        <v>0.04986</v>
      </c>
      <c r="G46" s="1" t="s">
        <v>31</v>
      </c>
      <c r="K46" s="0" t="str">
        <f aca="false">HYPERLINK("https://lindat.mff.cuni.cz/services/SynSemClass55/SynSemClass55.html?veclass=vec01491", "vec01491 / fasovat (v41appA)")</f>
        <v>vec01491 / fasovat (v41appA)</v>
      </c>
      <c r="L46" s="0" t="n">
        <v>0.04986</v>
      </c>
      <c r="M46" s="5" t="s">
        <v>30</v>
      </c>
      <c r="P46" s="0" t="str">
        <f aca="false">HYPERLINK("https://lindat.mff.cuni.cz/services/SynSemClass55/SynSemClass55.html?veclass=vec00316", "vec00316 / splnit (v41lcdA)")</f>
        <v>vec00316 / splnit (v41lcdA)</v>
      </c>
      <c r="Q46" s="0" t="n">
        <v>0.04855</v>
      </c>
      <c r="R46" s="5" t="s">
        <v>30</v>
      </c>
      <c r="U46" s="0" t="str">
        <f aca="false">HYPERLINK("https://lindat.mff.cuni.cz/services/SynSemClass55/SynSemClass55.html?veclass=vec00069", "vec00069 / podpořit (v41fuiB)")</f>
        <v>vec00069 / podpořit (v41fuiB)</v>
      </c>
      <c r="V46" s="0" t="n">
        <v>0.04252</v>
      </c>
      <c r="W46" s="5" t="s">
        <v>30</v>
      </c>
      <c r="Z46" s="0" t="str">
        <f aca="false">HYPERLINK("https://lindat.mff.cuni.cz/services/SynSemClass55/SynSemClass55.html?veclass=vec01221", "vec01221 / kvalifikovat (v41bxdA)")</f>
        <v>vec01221 / kvalifikovat (v41bxdA)</v>
      </c>
      <c r="AA46" s="0" t="n">
        <v>0.04114</v>
      </c>
      <c r="AB46" s="5" t="s">
        <v>33</v>
      </c>
      <c r="AC46" s="0" t="s">
        <v>47</v>
      </c>
      <c r="AE46" s="0" t="str">
        <f aca="false">HYPERLINK("https://lindat.mff.cuni.cz/services/SynSemClass55/SynSemClass55.html?veclass=vec00373", "vec00373 / zastávat (v41qlzB)")</f>
        <v>vec00373 / zastávat (v41qlzB)</v>
      </c>
      <c r="AF46" s="0" t="n">
        <v>0.03541</v>
      </c>
      <c r="AG46" s="5" t="s">
        <v>30</v>
      </c>
    </row>
    <row r="48" customFormat="false" ht="12.75" hidden="false" customHeight="false" outlineLevel="0" collapsed="false">
      <c r="A48" s="0" t="str">
        <f aca="false">HYPERLINK("https://lindat.mff.cuni.cz/services/PDT-Vallex4.5/PDT-Vallex4.5.html?verb=horovat", "horovat")</f>
        <v>horovat</v>
      </c>
      <c r="B48" s="0" t="str">
        <f aca="false">HYPERLINK("https://lindat.mff.cuni.cz/services/PDT-Vallex4.5/PDT-Vallex4.5.html?verb=horovat#v41axhA", "v41axhA")</f>
        <v>v41axhA</v>
      </c>
      <c r="E48" s="0" t="n">
        <v>53</v>
      </c>
      <c r="F48" s="0" t="n">
        <v>0.10377</v>
      </c>
      <c r="G48" s="1" t="s">
        <v>48</v>
      </c>
      <c r="K48" s="0" t="str">
        <f aca="false">HYPERLINK("https://lindat.mff.cuni.cz/services/SynSemClass55/SynSemClass55.html?veclass=vec01310", "vec01310 / rozplývat se (v41jvrA)")</f>
        <v>vec01310 / rozplývat se (v41jvrA)</v>
      </c>
      <c r="L48" s="0" t="n">
        <v>0.10377</v>
      </c>
      <c r="M48" s="5" t="s">
        <v>30</v>
      </c>
      <c r="P48" s="0" t="str">
        <f aca="false">HYPERLINK("https://lindat.mff.cuni.cz/services/SynSemClass55/SynSemClass55.html?veclass=vec01200", "vec01200 / žebrat (v41seaA)")</f>
        <v>vec01200 / žebrat (v41seaA)</v>
      </c>
      <c r="Q48" s="0" t="n">
        <v>0.04535</v>
      </c>
      <c r="R48" s="5" t="s">
        <v>30</v>
      </c>
      <c r="U48" s="0" t="str">
        <f aca="false">HYPERLINK("https://lindat.mff.cuni.cz/services/SynSemClass55/SynSemClass55.html?veclass=vec01367", "vec01367 / vznášet se (v41pmmB)")</f>
        <v>vec01367 / vznášet se (v41pmmB)</v>
      </c>
      <c r="V48" s="0" t="n">
        <v>0.04196</v>
      </c>
      <c r="W48" s="5" t="s">
        <v>30</v>
      </c>
      <c r="Z48" s="0" t="str">
        <f aca="false">HYPERLINK("https://lindat.mff.cuni.cz/services/SynSemClass55/SynSemClass55.html?veclass=vec01547", "vec01547 / brát se (v41htB)")</f>
        <v>vec01547 / brát se (v41htB)</v>
      </c>
      <c r="AA48" s="0" t="n">
        <v>0.03479</v>
      </c>
      <c r="AB48" s="5" t="s">
        <v>30</v>
      </c>
      <c r="AE48" s="0" t="str">
        <f aca="false">HYPERLINK("https://lindat.mff.cuni.cz/services/SynSemClass55/SynSemClass55.html?veclass=vec01489", "vec01489 / bručet (v41inA)")</f>
        <v>vec01489 / bručet (v41inA)</v>
      </c>
      <c r="AF48" s="0" t="n">
        <v>0.03347</v>
      </c>
      <c r="AG48" s="5" t="s">
        <v>30</v>
      </c>
    </row>
    <row r="50" customFormat="false" ht="12.75" hidden="false" customHeight="false" outlineLevel="0" collapsed="false">
      <c r="A50" s="0" t="str">
        <f aca="false">HYPERLINK("https://lindat.mff.cuni.cz/services/PDT-Vallex4.5/PDT-Vallex4.5.html?verb=hradit", "hradit")</f>
        <v>hradit</v>
      </c>
      <c r="B50" s="0" t="str">
        <f aca="false">HYPERLINK("https://lindat.mff.cuni.cz/services/PDT-Vallex4.5/PDT-Vallex4.5.html?verb=hradit#v41ayjB", "v41ayjB")</f>
        <v>v41ayjB</v>
      </c>
      <c r="E50" s="0" t="n">
        <v>64</v>
      </c>
      <c r="F50" s="0" t="n">
        <v>0.89975</v>
      </c>
      <c r="G50" s="1" t="s">
        <v>31</v>
      </c>
      <c r="K50" s="0" t="str">
        <f aca="false">HYPERLINK("https://lindat.mff.cuni.cz/services/SynSemClass55/SynSemClass55.html?veclass=vec00125", "vec00125 / splatit (v41lbvA)")</f>
        <v>vec00125 / splatit (v41lbvA)</v>
      </c>
      <c r="L50" s="0" t="n">
        <v>0.89975</v>
      </c>
      <c r="M50" s="5" t="s">
        <v>30</v>
      </c>
      <c r="P50" s="0" t="str">
        <f aca="false">HYPERLINK("https://lindat.mff.cuni.cz/services/SynSemClass55/SynSemClass55.html?veclass=vec01356", "vec01356 / vysázet (v41ovmA)")</f>
        <v>vec01356 / vysázet (v41ovmA)</v>
      </c>
      <c r="Q50" s="0" t="n">
        <v>0.01693</v>
      </c>
      <c r="R50" s="5" t="s">
        <v>34</v>
      </c>
      <c r="U50" s="0" t="str">
        <f aca="false">HYPERLINK("https://lindat.mff.cuni.cz/services/SynSemClass55/SynSemClass55.html?veclass=vec01800", "vec01800 / odskákat (v41ejcA)")</f>
        <v>vec01800 / odskákat (v41ejcA)</v>
      </c>
      <c r="V50" s="0" t="n">
        <v>0.01026</v>
      </c>
      <c r="W50" s="5" t="s">
        <v>30</v>
      </c>
      <c r="Z50" s="0" t="str">
        <f aca="false">HYPERLINK("https://lindat.mff.cuni.cz/services/SynSemClass55/SynSemClass55.html?veclass=vec01159", "vec01159 / vyplatit (v41oonD)")</f>
        <v>vec01159 / vyplatit (v41oonD)</v>
      </c>
      <c r="AA50" s="0" t="n">
        <v>0.00916</v>
      </c>
      <c r="AB50" s="5" t="s">
        <v>30</v>
      </c>
      <c r="AE50" s="0" t="str">
        <f aca="false">HYPERLINK("https://lindat.mff.cuni.cz/services/SynSemClass55/SynSemClass55.html?veclass=vec01840", "vec01840 / proplácet (v41hkcA)")</f>
        <v>vec01840 / proplácet (v41hkcA)</v>
      </c>
      <c r="AF50" s="0" t="n">
        <v>0.00907</v>
      </c>
      <c r="AG50" s="5" t="s">
        <v>30</v>
      </c>
    </row>
    <row r="52" customFormat="false" ht="12.75" hidden="false" customHeight="false" outlineLevel="0" collapsed="false">
      <c r="A52" s="0" t="str">
        <f aca="false">HYPERLINK("https://lindat.mff.cuni.cz/services/PDT-Vallex4.5/PDT-Vallex4.5.html?verb=hrknout", "hrknout")</f>
        <v>hrknout</v>
      </c>
      <c r="B52" s="0" t="str">
        <f aca="false">HYPERLINK("https://lindat.mff.cuni.cz/services/PDT-Vallex4.5/PDT-Vallex4.5.html?verb=hrknout#v41ayyA", "v41ayyA")</f>
        <v>v41ayyA</v>
      </c>
      <c r="E52" s="0" t="n">
        <v>97</v>
      </c>
      <c r="F52" s="0" t="n">
        <v>0.08412</v>
      </c>
      <c r="G52" s="1" t="s">
        <v>31</v>
      </c>
      <c r="K52" s="0" t="str">
        <f aca="false">HYPERLINK("https://lindat.mff.cuni.cz/services/SynSemClass55/SynSemClass55.html?veclass=vec01348", "vec01348 / vrčet (v41nqjC)")</f>
        <v>vec01348 / vrčet (v41nqjC)</v>
      </c>
      <c r="L52" s="0" t="n">
        <v>0.08412</v>
      </c>
      <c r="M52" s="5" t="s">
        <v>34</v>
      </c>
      <c r="P52" s="0" t="str">
        <f aca="false">HYPERLINK("https://lindat.mff.cuni.cz/services/SynSemClass55/SynSemClass55.html?veclass=vec01110", "vec01110 / sípat (v41koqA)")</f>
        <v>vec01110 / sípat (v41koqA)</v>
      </c>
      <c r="Q52" s="0" t="n">
        <v>0.05558</v>
      </c>
      <c r="R52" s="5" t="s">
        <v>30</v>
      </c>
      <c r="U52" s="0" t="str">
        <f aca="false">HYPERLINK("https://lindat.mff.cuni.cz/services/SynSemClass55/SynSemClass55.html?veclass=vec00503", "vec00503 / přiznat se (v41jcjA)")</f>
        <v>vec00503 / přiznat se (v41jcjA)</v>
      </c>
      <c r="V52" s="0" t="n">
        <v>0.03256</v>
      </c>
      <c r="W52" s="5" t="s">
        <v>30</v>
      </c>
      <c r="Z52" s="0" t="str">
        <f aca="false">HYPERLINK("https://lindat.mff.cuni.cz/services/SynSemClass55/SynSemClass55.html?veclass=vec01371", "vec01371 / zalapat (v41pzfA)")</f>
        <v>vec01371 / zalapat (v41pzfA)</v>
      </c>
      <c r="AA52" s="0" t="n">
        <v>0.03225</v>
      </c>
      <c r="AB52" s="5" t="s">
        <v>30</v>
      </c>
      <c r="AE52" s="0" t="str">
        <f aca="false">HYPERLINK("https://lindat.mff.cuni.cz/services/SynSemClass55/SynSemClass55.html?veclass=vec00145", "vec00145 / ušklíbnout se (v41myzA)")</f>
        <v>vec00145 / ušklíbnout se (v41myzA)</v>
      </c>
      <c r="AF52" s="0" t="n">
        <v>0.03065</v>
      </c>
      <c r="AG52" s="5" t="s">
        <v>30</v>
      </c>
    </row>
    <row r="53" customFormat="false" ht="12.75" hidden="false" customHeight="false" outlineLevel="0" collapsed="false">
      <c r="A53" s="0" t="str">
        <f aca="false">HYPERLINK("https://lindat.mff.cuni.cz/services/PDT-Vallex4.5/PDT-Vallex4.5.html?verb=hrknout", "hrknout")</f>
        <v>hrknout</v>
      </c>
      <c r="B53" s="0" t="str">
        <f aca="false">HYPERLINK("https://lindat.mff.cuni.cz/services/PDT-Vallex4.5/PDT-Vallex4.5.html?verb=hrknout#v41ayyB", "v41ayyB")</f>
        <v>v41ayyB</v>
      </c>
      <c r="E53" s="0" t="n">
        <v>97</v>
      </c>
      <c r="F53" s="0" t="n">
        <v>0.08412</v>
      </c>
      <c r="G53" s="1" t="s">
        <v>31</v>
      </c>
      <c r="K53" s="0" t="str">
        <f aca="false">HYPERLINK("https://lindat.mff.cuni.cz/services/SynSemClass55/SynSemClass55.html?veclass=vec01348", "vec01348 / vrčet (v41nqjC)")</f>
        <v>vec01348 / vrčet (v41nqjC)</v>
      </c>
      <c r="L53" s="0" t="n">
        <v>0.08412</v>
      </c>
      <c r="M53" s="5" t="s">
        <v>34</v>
      </c>
      <c r="P53" s="0" t="str">
        <f aca="false">HYPERLINK("https://lindat.mff.cuni.cz/services/SynSemClass55/SynSemClass55.html?veclass=vec01110", "vec01110 / sípat (v41koqA)")</f>
        <v>vec01110 / sípat (v41koqA)</v>
      </c>
      <c r="Q53" s="0" t="n">
        <v>0.05558</v>
      </c>
      <c r="R53" s="5" t="s">
        <v>30</v>
      </c>
      <c r="U53" s="0" t="str">
        <f aca="false">HYPERLINK("https://lindat.mff.cuni.cz/services/SynSemClass55/SynSemClass55.html?veclass=vec00503", "vec00503 / přiznat se (v41jcjA)")</f>
        <v>vec00503 / přiznat se (v41jcjA)</v>
      </c>
      <c r="V53" s="0" t="n">
        <v>0.03256</v>
      </c>
      <c r="W53" s="5" t="s">
        <v>30</v>
      </c>
      <c r="Z53" s="0" t="str">
        <f aca="false">HYPERLINK("https://lindat.mff.cuni.cz/services/SynSemClass55/SynSemClass55.html?veclass=vec01371", "vec01371 / zalapat (v41pzfA)")</f>
        <v>vec01371 / zalapat (v41pzfA)</v>
      </c>
      <c r="AA53" s="0" t="n">
        <v>0.03225</v>
      </c>
      <c r="AB53" s="5" t="s">
        <v>30</v>
      </c>
      <c r="AE53" s="0" t="str">
        <f aca="false">HYPERLINK("https://lindat.mff.cuni.cz/services/SynSemClass55/SynSemClass55.html?veclass=vec00145", "vec00145 / ušklíbnout se (v41myzA)")</f>
        <v>vec00145 / ušklíbnout se (v41myzA)</v>
      </c>
      <c r="AF53" s="0" t="n">
        <v>0.03065</v>
      </c>
      <c r="AG53" s="5" t="s">
        <v>30</v>
      </c>
    </row>
    <row r="55" customFormat="false" ht="12.75" hidden="false" customHeight="false" outlineLevel="0" collapsed="false">
      <c r="A55" s="0" t="str">
        <f aca="false">HYPERLINK("https://lindat.mff.cuni.cz/services/PDT-Vallex4.5/PDT-Vallex4.5.html?verb=hroutit se", "hroutit se")</f>
        <v>hroutit se</v>
      </c>
      <c r="B55" s="0" t="str">
        <f aca="false">HYPERLINK("https://lindat.mff.cuni.cz/services/PDT-Vallex4.5/PDT-Vallex4.5.html?verb=hroutit se#v41azdB", "v41azdB")</f>
        <v>v41azdB</v>
      </c>
      <c r="E55" s="0" t="n">
        <v>322</v>
      </c>
      <c r="F55" s="0" t="n">
        <v>0.35542</v>
      </c>
      <c r="G55" s="1" t="s">
        <v>31</v>
      </c>
      <c r="K55" s="0" t="str">
        <f aca="false">HYPERLINK("https://lindat.mff.cuni.cz/services/SynSemClass55/SynSemClass55.html?veclass=vec00599", "vec00599 / ztroskotat (v41rzkB)")</f>
        <v>vec00599 / ztroskotat (v41rzkB)</v>
      </c>
      <c r="L55" s="0" t="n">
        <v>0.35542</v>
      </c>
      <c r="M55" s="5" t="s">
        <v>30</v>
      </c>
      <c r="P55" s="0" t="str">
        <f aca="false">HYPERLINK("https://lindat.mff.cuni.cz/services/SynSemClass55/SynSemClass55.html?veclass=vec00597", "vec00597 / zřítit se (v41rxxB)")</f>
        <v>vec00597 / zřítit se (v41rxxB)</v>
      </c>
      <c r="Q55" s="0" t="n">
        <v>0.11551</v>
      </c>
      <c r="R55" s="5" t="s">
        <v>30</v>
      </c>
      <c r="U55" s="0" t="str">
        <f aca="false">HYPERLINK("https://lindat.mff.cuni.cz/services/SynSemClass55/SynSemClass55.html?veclass=vec01587", "vec01587 / omdlít (v41etaA)")</f>
        <v>vec01587 / omdlít (v41etaA)</v>
      </c>
      <c r="V55" s="0" t="n">
        <v>0.08721</v>
      </c>
      <c r="W55" s="5" t="s">
        <v>33</v>
      </c>
      <c r="Z55" s="0" t="str">
        <f aca="false">HYPERLINK("https://lindat.mff.cuni.cz/services/SynSemClass55/SynSemClass55.html?veclass=vec01608", "vec01608 / sypat se (v41lsaA)")</f>
        <v>vec01608 / sypat se (v41lsaA)</v>
      </c>
      <c r="AA55" s="0" t="n">
        <v>0.0541</v>
      </c>
      <c r="AB55" s="5" t="s">
        <v>30</v>
      </c>
      <c r="AE55" s="0" t="str">
        <f aca="false">HYPERLINK("https://lindat.mff.cuni.cz/services/SynSemClass55/SynSemClass55.html?veclass=vec00626", "vec00626 / kymácet se (v41bxpA)")</f>
        <v>vec00626 / kymácet se (v41bxpA)</v>
      </c>
      <c r="AF55" s="0" t="n">
        <v>0.04573</v>
      </c>
      <c r="AG55" s="5" t="s">
        <v>30</v>
      </c>
    </row>
    <row r="57" customFormat="false" ht="12.75" hidden="false" customHeight="false" outlineLevel="0" collapsed="false">
      <c r="A57" s="0" t="str">
        <f aca="false">HYPERLINK("https://lindat.mff.cuni.cz/services/PDT-Vallex4.5/PDT-Vallex4.5.html?verb=hypnotizovat", "hypnotizovat")</f>
        <v>hypnotizovat</v>
      </c>
      <c r="B57" s="0" t="str">
        <f aca="false">HYPERLINK("https://lindat.mff.cuni.cz/services/PDT-Vallex4.5/PDT-Vallex4.5.html?verb=hypnotizovat#v41bagA", "v41bagA")</f>
        <v>v41bagA</v>
      </c>
      <c r="E57" s="0" t="n">
        <v>96</v>
      </c>
      <c r="F57" s="0" t="n">
        <v>0.50609</v>
      </c>
      <c r="G57" s="1" t="n">
        <v>0</v>
      </c>
      <c r="I57" s="1" t="s">
        <v>49</v>
      </c>
      <c r="K57" s="0" t="str">
        <f aca="false">HYPERLINK("https://lindat.mff.cuni.cz/services/SynSemClass55/SynSemClass55.html?veclass=vec00609", "vec00609 / fascinovat (v41apoA)")</f>
        <v>vec00609 / fascinovat (v41apoA)</v>
      </c>
      <c r="L57" s="0" t="n">
        <v>0.50609</v>
      </c>
      <c r="M57" s="5" t="s">
        <v>30</v>
      </c>
      <c r="P57" s="0" t="str">
        <f aca="false">HYPERLINK("https://lindat.mff.cuni.cz/services/SynSemClass55/SynSemClass55.html?veclass=vec00860", "vec00860 / ošálit (v41fbsA)")</f>
        <v>vec00860 / ošálit (v41fbsA)</v>
      </c>
      <c r="Q57" s="0" t="n">
        <v>0.06458</v>
      </c>
      <c r="R57" s="5" t="s">
        <v>30</v>
      </c>
      <c r="U57" s="0" t="str">
        <f aca="false">HYPERLINK("https://lindat.mff.cuni.cz/services/SynSemClass55/SynSemClass55.html?veclass=vec00188", "vec00188 / získat (v41reiD)")</f>
        <v>vec00188 / získat (v41reiD)</v>
      </c>
      <c r="V57" s="0" t="n">
        <v>0.06071</v>
      </c>
      <c r="W57" s="5" t="s">
        <v>30</v>
      </c>
      <c r="Z57" s="0" t="str">
        <f aca="false">HYPERLINK("https://lindat.mff.cuni.cz/services/SynSemClass55/SynSemClass55.html?veclass=vec00341", "vec00341 / uvědomit si (v41ncwA)")</f>
        <v>vec00341 / uvědomit si (v41ncwA)</v>
      </c>
      <c r="AA57" s="0" t="n">
        <v>0.03065</v>
      </c>
      <c r="AB57" s="5" t="s">
        <v>30</v>
      </c>
      <c r="AE57" s="0" t="str">
        <f aca="false">HYPERLINK("https://lindat.mff.cuni.cz/services/SynSemClass55/SynSemClass55.html?veclass=vec00040", "vec00040 / navrhnout (v41dgxD)")</f>
        <v>vec00040 / navrhnout (v41dgxD)</v>
      </c>
      <c r="AF57" s="0" t="n">
        <v>0.0291</v>
      </c>
      <c r="AG57" s="5" t="s">
        <v>30</v>
      </c>
    </row>
    <row r="59" customFormat="false" ht="12.75" hidden="false" customHeight="false" outlineLevel="0" collapsed="false">
      <c r="A59" s="0" t="str">
        <f aca="false">HYPERLINK("https://lindat.mff.cuni.cz/services/PDT-Vallex4.5/PDT-Vallex4.5.html?verb=identifikovat", "identifikovat")</f>
        <v>identifikovat</v>
      </c>
      <c r="B59" s="0" t="str">
        <f aca="false">HYPERLINK("https://lindat.mff.cuni.cz/services/PDT-Vallex4.5/PDT-Vallex4.5.html?verb=identifikovat#v41bdgA", "v41bdgA")</f>
        <v>v41bdgA</v>
      </c>
      <c r="E59" s="0" t="n">
        <v>559</v>
      </c>
      <c r="F59" s="0" t="n">
        <v>0.83749</v>
      </c>
      <c r="G59" s="1" t="n">
        <v>0</v>
      </c>
      <c r="I59" s="1" t="s">
        <v>50</v>
      </c>
      <c r="K59" s="0" t="str">
        <f aca="false">HYPERLINK("https://lindat.mff.cuni.cz/services/SynSemClass55/SynSemClass55.html?veclass=vec00909", "vec00909 / rozpoznat (v41jwmB)")</f>
        <v>vec00909 / rozpoznat (v41jwmB)</v>
      </c>
      <c r="L59" s="0" t="n">
        <v>0.83749</v>
      </c>
      <c r="M59" s="5" t="s">
        <v>30</v>
      </c>
      <c r="P59" s="0" t="str">
        <f aca="false">HYPERLINK("https://lindat.mff.cuni.cz/services/SynSemClass55/SynSemClass55.html?veclass=vec00127", "vec00127 / stanovit (v41lhzD)")</f>
        <v>vec00127 / stanovit (v41lhzD)</v>
      </c>
      <c r="Q59" s="0" t="n">
        <v>0.02184</v>
      </c>
      <c r="R59" s="5" t="s">
        <v>30</v>
      </c>
      <c r="U59" s="0" t="str">
        <f aca="false">HYPERLINK("https://lindat.mff.cuni.cz/services/SynSemClass55/SynSemClass55.html?veclass=vec01102", "vec01102 / rozlišovat (v41jstA)")</f>
        <v>vec01102 / rozlišovat (v41jstA)</v>
      </c>
      <c r="V59" s="0" t="n">
        <v>0.02135</v>
      </c>
      <c r="W59" s="5" t="s">
        <v>30</v>
      </c>
      <c r="Z59" s="0" t="str">
        <f aca="false">HYPERLINK("https://lindat.mff.cuni.cz/services/SynSemClass55/SynSemClass55.html?veclass=vec00115", "vec00115 / sledovat (v41kslD)")</f>
        <v>vec00115 / sledovat (v41kslD)</v>
      </c>
      <c r="AA59" s="0" t="n">
        <v>0.01881</v>
      </c>
      <c r="AB59" s="5" t="s">
        <v>30</v>
      </c>
      <c r="AE59" s="0" t="str">
        <f aca="false">HYPERLINK("https://lindat.mff.cuni.cz/services/SynSemClass55/SynSemClass55.html?veclass=vec01953", "vec01953 / vztáhnout (v41pnqA)")</f>
        <v>vec01953 / vztáhnout (v41pnqA)</v>
      </c>
      <c r="AF59" s="0" t="n">
        <v>0.01548</v>
      </c>
      <c r="AG59" s="5" t="s">
        <v>30</v>
      </c>
    </row>
    <row r="61" customFormat="false" ht="12.75" hidden="false" customHeight="false" outlineLevel="0" collapsed="false">
      <c r="A61" s="0" t="str">
        <f aca="false">HYPERLINK("https://lindat.mff.cuni.cz/services/PDT-Vallex4.5/PDT-Vallex4.5.html?verb=inscenovat", "inscenovat")</f>
        <v>inscenovat</v>
      </c>
      <c r="B61" s="0" t="str">
        <f aca="false">HYPERLINK("https://lindat.mff.cuni.cz/services/PDT-Vallex4.5/PDT-Vallex4.5.html?verb=inscenovat#v41bfiA", "v41bfiA")</f>
        <v>v41bfiA</v>
      </c>
      <c r="E61" s="0" t="n">
        <v>40</v>
      </c>
      <c r="F61" s="0" t="n">
        <v>0.81322</v>
      </c>
      <c r="G61" s="1" t="s">
        <v>51</v>
      </c>
      <c r="K61" s="0" t="str">
        <f aca="false">HYPERLINK("https://lindat.mff.cuni.cz/services/SynSemClass55/SynSemClass55.html?veclass=vec00611", "vec00611 / hrát (v41aypD)")</f>
        <v>vec00611 / hrát (v41aypD)</v>
      </c>
      <c r="L61" s="0" t="n">
        <v>0.81322</v>
      </c>
      <c r="M61" s="5" t="s">
        <v>30</v>
      </c>
      <c r="P61" s="0" t="str">
        <f aca="false">HYPERLINK("https://lindat.mff.cuni.cz/services/SynSemClass55/SynSemClass55.html?veclass=vec01868", "vec01868 / rozehrát (v41johA)")</f>
        <v>vec01868 / rozehrát (v41johA)</v>
      </c>
      <c r="Q61" s="0" t="n">
        <v>0.05159</v>
      </c>
      <c r="R61" s="5" t="s">
        <v>30</v>
      </c>
      <c r="U61" s="0" t="str">
        <f aca="false">HYPERLINK("https://lindat.mff.cuni.cz/services/SynSemClass55/SynSemClass55.html?veclass=vec00742", "vec00742 / užívat si (v41nfrA)")</f>
        <v>vec00742 / užívat si (v41nfrA)</v>
      </c>
      <c r="V61" s="0" t="n">
        <v>0.01934</v>
      </c>
      <c r="W61" s="5" t="s">
        <v>30</v>
      </c>
      <c r="Z61" s="0" t="str">
        <f aca="false">HYPERLINK("https://lindat.mff.cuni.cz/services/SynSemClass55/SynSemClass55.html?veclass=vec00407", "vec00407 / doplnit (v41acpC)")</f>
        <v>vec00407 / doplnit (v41acpC)</v>
      </c>
      <c r="AA61" s="0" t="n">
        <v>0.01893</v>
      </c>
      <c r="AB61" s="5" t="s">
        <v>30</v>
      </c>
      <c r="AE61" s="0" t="str">
        <f aca="false">HYPERLINK("https://lindat.mff.cuni.cz/services/SynSemClass55/SynSemClass55.html?veclass=vec00890", "vec00890 / předvádět se (v41hzbA)")</f>
        <v>vec00890 / předvádět se (v41hzbA)</v>
      </c>
      <c r="AF61" s="0" t="n">
        <v>0.0161</v>
      </c>
      <c r="AG61" s="5" t="s">
        <v>30</v>
      </c>
    </row>
    <row r="63" customFormat="false" ht="12.75" hidden="false" customHeight="false" outlineLevel="0" collapsed="false">
      <c r="A63" s="0" t="str">
        <f aca="false">HYPERLINK("https://lindat.mff.cuni.cz/services/PDT-Vallex4.5/PDT-Vallex4.5.html?verb=kandidovat", "kandidovat")</f>
        <v>kandidovat</v>
      </c>
      <c r="B63" s="0" t="str">
        <f aca="false">HYPERLINK("https://lindat.mff.cuni.cz/services/PDT-Vallex4.5/PDT-Vallex4.5.html?verb=kandidovat#v41bjgA", "v41bjgA")</f>
        <v>v41bjgA</v>
      </c>
      <c r="E63" s="0" t="n">
        <v>83</v>
      </c>
      <c r="F63" s="0" t="n">
        <v>0.94365</v>
      </c>
      <c r="G63" s="1" t="s">
        <v>31</v>
      </c>
      <c r="K63" s="0" t="str">
        <f aca="false">HYPERLINK("https://lindat.mff.cuni.cz/services/SynSemClass55/SynSemClass55.html?veclass=vec00423", "vec00423 / kandidovat (v41bjgB)")</f>
        <v>vec00423 / kandidovat (v41bjgB)</v>
      </c>
      <c r="L63" s="0" t="n">
        <v>0.94365</v>
      </c>
      <c r="M63" s="5" t="s">
        <v>30</v>
      </c>
      <c r="P63" s="0" t="str">
        <f aca="false">HYPERLINK("https://lindat.mff.cuni.cz/services/SynSemClass55/SynSemClass55.html?veclass=vec01047", "vec01047 / navrhnout (v41dgxC)")</f>
        <v>vec01047 / navrhnout (v41dgxC)</v>
      </c>
      <c r="Q63" s="0" t="n">
        <v>0.01866</v>
      </c>
      <c r="R63" s="5" t="s">
        <v>33</v>
      </c>
      <c r="U63" s="0" t="str">
        <f aca="false">HYPERLINK("https://lindat.mff.cuni.cz/services/SynSemClass55/SynSemClass55.html?veclass=vec00188", "vec00188 / získat (v41reiD)")</f>
        <v>vec00188 / získat (v41reiD)</v>
      </c>
      <c r="V63" s="0" t="n">
        <v>0.01601</v>
      </c>
      <c r="W63" s="5" t="s">
        <v>30</v>
      </c>
      <c r="Z63" s="0" t="str">
        <f aca="false">HYPERLINK("https://lindat.mff.cuni.cz/services/SynSemClass55/SynSemClass55.html?veclass=vec00212", "vec00212 / dokázat (v41zhC)")</f>
        <v>vec00212 / dokázat (v41zhC)</v>
      </c>
      <c r="AA63" s="0" t="n">
        <v>0.01436</v>
      </c>
      <c r="AB63" s="5" t="s">
        <v>30</v>
      </c>
      <c r="AE63" s="0" t="str">
        <f aca="false">HYPERLINK("https://lindat.mff.cuni.cz/services/SynSemClass55/SynSemClass55.html?veclass=vec00619", "vec00619 / jít (v41bikY)")</f>
        <v>vec00619 / jít (v41bikY)</v>
      </c>
      <c r="AF63" s="0" t="n">
        <v>0.01428</v>
      </c>
      <c r="AG63" s="5" t="s">
        <v>30</v>
      </c>
    </row>
    <row r="65" customFormat="false" ht="12.75" hidden="false" customHeight="false" outlineLevel="0" collapsed="false">
      <c r="A65" s="0" t="str">
        <f aca="false">HYPERLINK("https://lindat.mff.cuni.cz/services/PDT-Vallex4.5/PDT-Vallex4.5.html?verb=katapultovat se", "katapultovat se")</f>
        <v>katapultovat se</v>
      </c>
      <c r="B65" s="0" t="str">
        <f aca="false">HYPERLINK("https://lindat.mff.cuni.cz/services/PDT-Vallex4.5/PDT-Vallex4.5.html?verb=katapultovat se#v41bjzA", "v41bjzA")</f>
        <v>v41bjzA</v>
      </c>
      <c r="E65" s="0" t="n">
        <v>12</v>
      </c>
      <c r="F65" s="0" t="n">
        <v>0.19044</v>
      </c>
      <c r="G65" s="1" t="s">
        <v>31</v>
      </c>
      <c r="K65" s="0" t="str">
        <f aca="false">HYPERLINK("https://lindat.mff.cuni.cz/services/SynSemClass55/SynSemClass55.html?veclass=vec01032", "vec01032 / katapultovat (v41bjyA)")</f>
        <v>vec01032 / katapultovat (v41bjyA)</v>
      </c>
      <c r="L65" s="0" t="n">
        <v>0.19044</v>
      </c>
      <c r="M65" s="5" t="s">
        <v>34</v>
      </c>
      <c r="P65" s="0" t="str">
        <f aca="false">HYPERLINK("https://lindat.mff.cuni.cz/services/SynSemClass55/SynSemClass55.html?veclass=vec01699", "vec01699 / veslovat (v41njuA)")</f>
        <v>vec01699 / veslovat (v41njuA)</v>
      </c>
      <c r="Q65" s="0" t="n">
        <v>0.03823</v>
      </c>
      <c r="R65" s="5" t="s">
        <v>30</v>
      </c>
      <c r="U65" s="0" t="str">
        <f aca="false">HYPERLINK("https://lindat.mff.cuni.cz/services/SynSemClass55/SynSemClass55.html?veclass=vec00735", "vec00735 / umístit (v41motA)")</f>
        <v>vec00735 / umístit (v41motA)</v>
      </c>
      <c r="V65" s="0" t="n">
        <v>0.03782</v>
      </c>
      <c r="W65" s="5" t="s">
        <v>30</v>
      </c>
      <c r="Z65" s="0" t="str">
        <f aca="false">HYPERLINK("https://lindat.mff.cuni.cz/services/SynSemClass55/SynSemClass55.html?veclass=vec01068", "vec01068 / plácnout (v41fmcB)")</f>
        <v>vec01068 / plácnout (v41fmcB)</v>
      </c>
      <c r="AA65" s="0" t="n">
        <v>0.03571</v>
      </c>
      <c r="AB65" s="5" t="s">
        <v>30</v>
      </c>
      <c r="AE65" s="0" t="str">
        <f aca="false">HYPERLINK("https://lindat.mff.cuni.cz/services/SynSemClass55/SynSemClass55.html?veclass=vec01778", "vec01778 / nalodit (v41cugA)")</f>
        <v>vec01778 / nalodit (v41cugA)</v>
      </c>
      <c r="AF65" s="0" t="n">
        <v>0.03033</v>
      </c>
      <c r="AG65" s="5" t="s">
        <v>30</v>
      </c>
    </row>
    <row r="67" customFormat="false" ht="12.75" hidden="false" customHeight="false" outlineLevel="0" collapsed="false">
      <c r="A67" s="0" t="str">
        <f aca="false">HYPERLINK("https://lindat.mff.cuni.cz/services/PDT-Vallex4.5/PDT-Vallex4.5.html?verb=klátit", "klátit")</f>
        <v>klátit</v>
      </c>
      <c r="B67" s="0" t="str">
        <f aca="false">HYPERLINK("https://lindat.mff.cuni.cz/services/PDT-Vallex4.5/PDT-Vallex4.5.html?verb=klátit#v41bkyB", "v41bkyB")</f>
        <v>v41bkyB</v>
      </c>
      <c r="E67" s="0" t="n">
        <v>240</v>
      </c>
      <c r="F67" s="0" t="n">
        <v>0.10101</v>
      </c>
      <c r="G67" s="1" t="s">
        <v>52</v>
      </c>
      <c r="K67" s="0" t="str">
        <f aca="false">HYPERLINK("https://lindat.mff.cuni.cz/services/SynSemClass55/SynSemClass55.html?veclass=vec00626", "vec00626 / kymácet se (v41bxpA)")</f>
        <v>vec00626 / kymácet se (v41bxpA)</v>
      </c>
      <c r="L67" s="0" t="n">
        <v>0.10101</v>
      </c>
      <c r="M67" s="5" t="s">
        <v>30</v>
      </c>
      <c r="P67" s="0" t="str">
        <f aca="false">HYPERLINK("https://lindat.mff.cuni.cz/services/SynSemClass55/SynSemClass55.html?veclass=vec00991", "vec00991 / zavrtět (v41qubA)")</f>
        <v>vec00991 / zavrtět (v41qubA)</v>
      </c>
      <c r="Q67" s="0" t="n">
        <v>0.08016</v>
      </c>
      <c r="R67" s="5" t="s">
        <v>30</v>
      </c>
      <c r="U67" s="0" t="str">
        <f aca="false">HYPERLINK("https://lindat.mff.cuni.cz/services/SynSemClass55/SynSemClass55.html?veclass=vec00637", "vec00637 / naklonit se (v41csfB)")</f>
        <v>vec00637 / naklonit se (v41csfB)</v>
      </c>
      <c r="V67" s="0" t="n">
        <v>0.04467</v>
      </c>
      <c r="W67" s="5" t="s">
        <v>30</v>
      </c>
      <c r="Z67" s="0" t="str">
        <f aca="false">HYPERLINK("https://lindat.mff.cuni.cz/services/SynSemClass55/SynSemClass55.html?veclass=vec01216", "vec01216 / hrabat se (v41aygA)")</f>
        <v>vec01216 / hrabat se (v41aygA)</v>
      </c>
      <c r="AA67" s="0" t="n">
        <v>0.03924</v>
      </c>
      <c r="AB67" s="5" t="s">
        <v>30</v>
      </c>
      <c r="AE67" s="0" t="str">
        <f aca="false">HYPERLINK("https://lindat.mff.cuni.cz/services/SynSemClass55/SynSemClass55.html?veclass=vec01219", "vec01219 / klouzat (v41bmaA)")</f>
        <v>vec01219 / klouzat (v41bmaA)</v>
      </c>
      <c r="AF67" s="0" t="n">
        <v>0.03612</v>
      </c>
      <c r="AG67" s="5" t="s">
        <v>30</v>
      </c>
    </row>
    <row r="69" customFormat="false" ht="12.75" hidden="false" customHeight="false" outlineLevel="0" collapsed="false">
      <c r="A69" s="0" t="str">
        <f aca="false">HYPERLINK("https://lindat.mff.cuni.cz/services/PDT-Vallex4.5/PDT-Vallex4.5.html?verb=klesnout", "klesnout")</f>
        <v>klesnout</v>
      </c>
      <c r="B69" s="0" t="str">
        <f aca="false">HYPERLINK("https://lindat.mff.cuni.cz/services/PDT-Vallex4.5/PDT-Vallex4.5.html?verb=klesnout#v41blkB", "v41blkB")</f>
        <v>v41blkB</v>
      </c>
      <c r="E69" s="0" t="n">
        <v>1722</v>
      </c>
      <c r="F69" s="0" t="n">
        <v>0.21198</v>
      </c>
      <c r="G69" s="1" t="s">
        <v>31</v>
      </c>
      <c r="K69" s="0" t="str">
        <f aca="false">HYPERLINK("https://lindat.mff.cuni.cz/services/SynSemClass55/SynSemClass55.html?veclass=vec00028", "vec00028 / klesnout (v41blkA)")</f>
        <v>vec00028 / klesnout (v41blkA)</v>
      </c>
      <c r="L69" s="0" t="n">
        <v>0.21198</v>
      </c>
      <c r="M69" s="5" t="s">
        <v>30</v>
      </c>
      <c r="P69" s="0" t="str">
        <f aca="false">HYPERLINK("https://lindat.mff.cuni.cz/services/SynSemClass55/SynSemClass55.html?veclass=vec00467", "vec00467 / padat (v41fhgG)")</f>
        <v>vec00467 / padat (v41fhgG)</v>
      </c>
      <c r="Q69" s="0" t="n">
        <v>0.19171</v>
      </c>
      <c r="R69" s="5" t="s">
        <v>34</v>
      </c>
      <c r="U69" s="0" t="str">
        <f aca="false">HYPERLINK("https://lindat.mff.cuni.cz/services/SynSemClass55/SynSemClass55.html?veclass=vec00707", "vec00707 / shazovat (v41kmeC)")</f>
        <v>vec00707 / shazovat (v41kmeC)</v>
      </c>
      <c r="V69" s="0" t="n">
        <v>0.03701</v>
      </c>
      <c r="W69" s="5" t="s">
        <v>30</v>
      </c>
      <c r="Z69" s="0" t="str">
        <f aca="false">HYPERLINK("https://lindat.mff.cuni.cz/services/SynSemClass55/SynSemClass55.html?veclass=vec01512", "vec01512 / potápět se (v41gqeB)")</f>
        <v>vec01512 / potápět se (v41gqeB)</v>
      </c>
      <c r="AA69" s="0" t="n">
        <v>0.02973</v>
      </c>
      <c r="AB69" s="5" t="s">
        <v>30</v>
      </c>
      <c r="AE69" s="0" t="str">
        <f aca="false">HYPERLINK("https://lindat.mff.cuni.cz/services/SynSemClass55/SynSemClass55.html?veclass=vec00597", "vec00597 / zřítit se (v41rxxB)")</f>
        <v>vec00597 / zřítit se (v41rxxB)</v>
      </c>
      <c r="AF69" s="0" t="n">
        <v>0.02795</v>
      </c>
      <c r="AG69" s="5" t="s">
        <v>30</v>
      </c>
    </row>
    <row r="71" customFormat="false" ht="12.75" hidden="false" customHeight="false" outlineLevel="0" collapsed="false">
      <c r="A71" s="0" t="str">
        <f aca="false">HYPERLINK("https://lindat.mff.cuni.cz/services/PDT-Vallex4.5/PDT-Vallex4.5.html?verb=klidit", "klidit")</f>
        <v>klidit</v>
      </c>
      <c r="B71" s="0" t="str">
        <f aca="false">HYPERLINK("https://lindat.mff.cuni.cz/services/PDT-Vallex4.5/PDT-Vallex4.5.html?verb=klidit#v41blpA", "v41blpA")</f>
        <v>v41blpA</v>
      </c>
      <c r="E71" s="0" t="n">
        <v>110</v>
      </c>
      <c r="F71" s="0" t="n">
        <v>0.12543</v>
      </c>
      <c r="G71" s="1" t="s">
        <v>53</v>
      </c>
      <c r="K71" s="0" t="str">
        <f aca="false">HYPERLINK("https://lindat.mff.cuni.cz/services/SynSemClass55/SynSemClass55.html?veclass=vec00733", "vec00733 / uklidnit se (v41mmbA)")</f>
        <v>vec00733 / uklidnit se (v41mmbA)</v>
      </c>
      <c r="L71" s="0" t="n">
        <v>0.12543</v>
      </c>
      <c r="M71" s="5" t="s">
        <v>30</v>
      </c>
      <c r="P71" s="0" t="str">
        <f aca="false">HYPERLINK("https://lindat.mff.cuni.cz/services/SynSemClass55/SynSemClass55.html?veclass=vec01718", "vec01718 / ztichnout (v41rymA)")</f>
        <v>vec01718 / ztichnout (v41rymA)</v>
      </c>
      <c r="Q71" s="0" t="n">
        <v>0.09422</v>
      </c>
      <c r="R71" s="5" t="s">
        <v>30</v>
      </c>
      <c r="U71" s="0" t="str">
        <f aca="false">HYPERLINK("https://lindat.mff.cuni.cz/services/SynSemClass55/SynSemClass55.html?veclass=vec00958", "vec00958 / vyčinit (v41nvxA)")</f>
        <v>vec00958 / vyčinit (v41nvxA)</v>
      </c>
      <c r="V71" s="0" t="n">
        <v>0.0279</v>
      </c>
      <c r="W71" s="5" t="s">
        <v>30</v>
      </c>
      <c r="Z71" s="0" t="str">
        <f aca="false">HYPERLINK("https://lindat.mff.cuni.cz/services/SynSemClass55/SynSemClass55.html?veclass=vec01914", "vec01914 / uvolnit se (v41ndwA)")</f>
        <v>vec01914 / uvolnit se (v41ndwA)</v>
      </c>
      <c r="AA71" s="0" t="n">
        <v>0.02083</v>
      </c>
      <c r="AB71" s="5" t="s">
        <v>30</v>
      </c>
      <c r="AE71" s="0" t="str">
        <f aca="false">HYPERLINK("https://lindat.mff.cuni.cz/services/SynSemClass55/SynSemClass55.html?veclass=vec00536", "vec00536 / uklidnit (v41mmaA)")</f>
        <v>vec00536 / uklidnit (v41mmaA)</v>
      </c>
      <c r="AF71" s="0" t="n">
        <v>0.02078</v>
      </c>
      <c r="AG71" s="5" t="s">
        <v>30</v>
      </c>
    </row>
    <row r="73" customFormat="false" ht="12.75" hidden="false" customHeight="false" outlineLevel="0" collapsed="false">
      <c r="A73" s="0" t="str">
        <f aca="false">HYPERLINK("https://lindat.mff.cuni.cz/services/PDT-Vallex4.5/PDT-Vallex4.5.html?verb=koexistovat", "koexistovat")</f>
        <v>koexistovat</v>
      </c>
      <c r="B73" s="0" t="str">
        <f aca="false">HYPERLINK("https://lindat.mff.cuni.cz/services/PDT-Vallex4.5/PDT-Vallex4.5.html?verb=koexistovat#v41bmsA", "v41bmsA")</f>
        <v>v41bmsA</v>
      </c>
      <c r="E73" s="0" t="n">
        <v>10</v>
      </c>
      <c r="F73" s="0" t="n">
        <v>0.10902</v>
      </c>
      <c r="G73" s="1" t="n">
        <v>0</v>
      </c>
      <c r="I73" s="1" t="s">
        <v>54</v>
      </c>
      <c r="K73" s="0" t="str">
        <f aca="false">HYPERLINK("https://lindat.mff.cuni.cz/services/SynSemClass55/SynSemClass55.html?veclass=vec00017", "vec00017 / existovat (v41aobA)")</f>
        <v>vec00017 / existovat (v41aobA)</v>
      </c>
      <c r="L73" s="0" t="n">
        <v>0.10902</v>
      </c>
      <c r="M73" s="5" t="s">
        <v>30</v>
      </c>
      <c r="P73" s="0" t="str">
        <f aca="false">HYPERLINK("https://lindat.mff.cuni.cz/services/SynSemClass55/SynSemClass55.html?veclass=vec00975", "vec00975 / vytrvat (v41pdxB)")</f>
        <v>vec00975 / vytrvat (v41pdxB)</v>
      </c>
      <c r="Q73" s="0" t="n">
        <v>0.09872</v>
      </c>
      <c r="R73" s="5" t="s">
        <v>30</v>
      </c>
      <c r="U73" s="0" t="str">
        <f aca="false">HYPERLINK("https://lindat.mff.cuni.cz/services/SynSemClass55/SynSemClass55.html?veclass=vec00491", "vec00491 / přečkat (v41huyA)")</f>
        <v>vec00491 / přečkat (v41huyA)</v>
      </c>
      <c r="V73" s="0" t="n">
        <v>0.05447</v>
      </c>
      <c r="W73" s="5" t="s">
        <v>30</v>
      </c>
      <c r="Z73" s="0" t="str">
        <f aca="false">HYPERLINK("https://lindat.mff.cuni.cz/services/SynSemClass55/SynSemClass55.html?veclass=vec00400", "vec00400 / žít (v41sekE)")</f>
        <v>vec00400 / žít (v41sekE)</v>
      </c>
      <c r="AA73" s="0" t="n">
        <v>0.04065</v>
      </c>
      <c r="AB73" s="5" t="s">
        <v>30</v>
      </c>
      <c r="AE73" s="0" t="str">
        <f aca="false">HYPERLINK("https://lindat.mff.cuni.cz/services/SynSemClass55/SynSemClass55.html?veclass=vec00097", "vec00097 / přicházet (v41irqL)")</f>
        <v>vec00097 / přicházet (v41irqL)</v>
      </c>
      <c r="AF73" s="0" t="n">
        <v>0.03698</v>
      </c>
      <c r="AG73" s="5" t="s">
        <v>30</v>
      </c>
    </row>
    <row r="75" customFormat="false" ht="12.75" hidden="false" customHeight="false" outlineLevel="0" collapsed="false">
      <c r="A75" s="0" t="str">
        <f aca="false">HYPERLINK("https://lindat.mff.cuni.cz/services/PDT-Vallex4.5/PDT-Vallex4.5.html?verb=kondolovat", "kondolovat")</f>
        <v>kondolovat</v>
      </c>
      <c r="B75" s="0" t="str">
        <f aca="false">HYPERLINK("https://lindat.mff.cuni.cz/services/PDT-Vallex4.5/PDT-Vallex4.5.html?verb=kondolovat#v41bpoA", "v41bpoA")</f>
        <v>v41bpoA</v>
      </c>
      <c r="E75" s="0" t="n">
        <v>25</v>
      </c>
      <c r="F75" s="0" t="n">
        <v>0.10097</v>
      </c>
      <c r="G75" s="1" t="n">
        <v>0</v>
      </c>
      <c r="I75" s="1" t="s">
        <v>55</v>
      </c>
      <c r="K75" s="0" t="str">
        <f aca="false">HYPERLINK("https://lindat.mff.cuni.cz/services/SynSemClass55/SynSemClass55.html?veclass=vec00958", "vec00958 / vyčinit (v41nvxA)")</f>
        <v>vec00958 / vyčinit (v41nvxA)</v>
      </c>
      <c r="L75" s="0" t="n">
        <v>0.10097</v>
      </c>
      <c r="M75" s="5" t="s">
        <v>30</v>
      </c>
      <c r="P75" s="0" t="str">
        <f aca="false">HYPERLINK("https://lindat.mff.cuni.cz/services/SynSemClass55/SynSemClass55.html?veclass=vec00633", "vec00633 / nadávat (v41cnkB)")</f>
        <v>vec00633 / nadávat (v41cnkB)</v>
      </c>
      <c r="Q75" s="0" t="n">
        <v>0.07451</v>
      </c>
      <c r="R75" s="5" t="s">
        <v>30</v>
      </c>
      <c r="U75" s="0" t="str">
        <f aca="false">HYPERLINK("https://lindat.mff.cuni.cz/services/SynSemClass55/SynSemClass55.html?veclass=vec00135", "vec00135 / tleskat (v41lziA)")</f>
        <v>vec00135 / tleskat (v41lziA)</v>
      </c>
      <c r="V75" s="0" t="n">
        <v>0.05788</v>
      </c>
      <c r="W75" s="5" t="s">
        <v>30</v>
      </c>
      <c r="Z75" s="0" t="str">
        <f aca="false">HYPERLINK("https://lindat.mff.cuni.cz/services/SynSemClass55/SynSemClass55.html?veclass=vec00668", "vec00668 / podlézat (v41fspA)")</f>
        <v>vec00668 / podlézat (v41fspA)</v>
      </c>
      <c r="AA75" s="0" t="n">
        <v>0.05145</v>
      </c>
      <c r="AB75" s="5" t="s">
        <v>30</v>
      </c>
      <c r="AE75" s="0" t="str">
        <f aca="false">HYPERLINK("https://lindat.mff.cuni.cz/services/SynSemClass55/SynSemClass55.html?veclass=vec01023", "vec01023 / gratulovat (v41ateA)")</f>
        <v>vec01023 / gratulovat (v41ateA)</v>
      </c>
      <c r="AF75" s="0" t="n">
        <v>0.03842</v>
      </c>
      <c r="AG75" s="5" t="s">
        <v>32</v>
      </c>
    </row>
    <row r="77" customFormat="false" ht="12.75" hidden="false" customHeight="false" outlineLevel="0" collapsed="false">
      <c r="A77" s="0" t="str">
        <f aca="false">HYPERLINK("https://lindat.mff.cuni.cz/services/PDT-Vallex4.5/PDT-Vallex4.5.html?verb=kontaminovat", "kontaminovat")</f>
        <v>kontaminovat</v>
      </c>
      <c r="B77" s="0" t="str">
        <f aca="false">HYPERLINK("https://lindat.mff.cuni.cz/services/PDT-Vallex4.5/PDT-Vallex4.5.html?verb=kontaminovat#v41brbA", "v41brbA")</f>
        <v>v41brbA</v>
      </c>
      <c r="E77" s="0" t="n">
        <v>11</v>
      </c>
      <c r="F77" s="0" t="n">
        <v>0.47737</v>
      </c>
      <c r="G77" s="1" t="s">
        <v>31</v>
      </c>
      <c r="K77" s="0" t="str">
        <f aca="false">HYPERLINK("https://lindat.mff.cuni.cz/services/SynSemClass55/SynSemClass55.html?veclass=vec01182", "vec01182 / znečišťovat (v41rnoA)")</f>
        <v>vec01182 / znečišťovat (v41rnoA)</v>
      </c>
      <c r="L77" s="0" t="n">
        <v>0.47737</v>
      </c>
      <c r="M77" s="5" t="s">
        <v>33</v>
      </c>
      <c r="P77" s="0" t="str">
        <f aca="false">HYPERLINK("https://lindat.mff.cuni.cz/services/SynSemClass55/SynSemClass55.html?veclass=vec00635", "vec00635 / nakazit (v41cruA)")</f>
        <v>vec00635 / nakazit (v41cruA)</v>
      </c>
      <c r="Q77" s="0" t="n">
        <v>0.23568</v>
      </c>
      <c r="R77" s="5" t="s">
        <v>30</v>
      </c>
      <c r="U77" s="0" t="str">
        <f aca="false">HYPERLINK("https://lindat.mff.cuni.cz/services/SynSemClass55/SynSemClass55.html?veclass=vec00789", "vec00789 / zkazit (v41rfjA)")</f>
        <v>vec00789 / zkazit (v41rfjA)</v>
      </c>
      <c r="V77" s="0" t="n">
        <v>0.14965</v>
      </c>
      <c r="W77" s="5" t="s">
        <v>30</v>
      </c>
      <c r="Z77" s="0" t="str">
        <f aca="false">HYPERLINK("https://lindat.mff.cuni.cz/services/SynSemClass55/SynSemClass55.html?veclass=vec00576", "vec00576 / zaplavit (v41qflC)")</f>
        <v>vec00576 / zaplavit (v41qflC)</v>
      </c>
      <c r="AA77" s="0" t="n">
        <v>0.05014</v>
      </c>
      <c r="AB77" s="5" t="s">
        <v>30</v>
      </c>
      <c r="AE77" s="0" t="str">
        <f aca="false">HYPERLINK("https://lindat.mff.cuni.cz/services/SynSemClass55/SynSemClass55.html?veclass=vec00552", "vec00552 / vyčistit (v41nwbA)")</f>
        <v>vec00552 / vyčistit (v41nwbA)</v>
      </c>
      <c r="AF77" s="0" t="n">
        <v>0.04798</v>
      </c>
      <c r="AG77" s="5" t="s">
        <v>30</v>
      </c>
    </row>
    <row r="79" customFormat="false" ht="12.75" hidden="false" customHeight="false" outlineLevel="0" collapsed="false">
      <c r="A79" s="0" t="str">
        <f aca="false">HYPERLINK("https://lindat.mff.cuni.cz/services/PDT-Vallex4.5/PDT-Vallex4.5.html?verb=kousnout", "kousnout")</f>
        <v>kousnout</v>
      </c>
      <c r="B79" s="0" t="str">
        <f aca="false">HYPERLINK("https://lindat.mff.cuni.cz/services/PDT-Vallex4.5/PDT-Vallex4.5.html?verb=kousnout#v41btxB", "v41btxB")</f>
        <v>v41btxB</v>
      </c>
      <c r="E79" s="0" t="n">
        <v>802</v>
      </c>
      <c r="F79" s="0" t="n">
        <v>0.18328</v>
      </c>
      <c r="G79" s="1" t="s">
        <v>31</v>
      </c>
      <c r="K79" s="0" t="str">
        <f aca="false">HYPERLINK("https://lindat.mff.cuni.cz/services/SynSemClass55/SynSemClass55.html?veclass=vec01038", "vec01038 / kousnout (v41btxA)")</f>
        <v>vec01038 / kousnout (v41btxA)</v>
      </c>
      <c r="L79" s="0" t="n">
        <v>0.18328</v>
      </c>
      <c r="M79" s="5" t="s">
        <v>30</v>
      </c>
      <c r="P79" s="0" t="str">
        <f aca="false">HYPERLINK("https://lindat.mff.cuni.cz/services/SynSemClass55/SynSemClass55.html?veclass=vec01039", "vec01039 / kousnout si (v41btzA)")</f>
        <v>vec01039 / kousnout si (v41btzA)</v>
      </c>
      <c r="Q79" s="0" t="n">
        <v>0.15033</v>
      </c>
      <c r="R79" s="5" t="s">
        <v>33</v>
      </c>
      <c r="U79" s="0" t="str">
        <f aca="false">HYPERLINK("https://lindat.mff.cuni.cz/services/SynSemClass55/SynSemClass55.html?veclass=vec00918", "vec00918 / sáhnout (v41kevC)")</f>
        <v>vec00918 / sáhnout (v41kevC)</v>
      </c>
      <c r="V79" s="0" t="n">
        <v>0.08543</v>
      </c>
      <c r="W79" s="5" t="s">
        <v>30</v>
      </c>
      <c r="Z79" s="0" t="str">
        <f aca="false">HYPERLINK("https://lindat.mff.cuni.cz/services/SynSemClass55/SynSemClass55.html?veclass=vec01551", "vec01551 / hladit (v41auzA)")</f>
        <v>vec01551 / hladit (v41auzA)</v>
      </c>
      <c r="AA79" s="0" t="n">
        <v>0.0636</v>
      </c>
      <c r="AB79" s="5" t="s">
        <v>30</v>
      </c>
      <c r="AE79" s="0" t="str">
        <f aca="false">HYPERLINK("https://lindat.mff.cuni.cz/services/SynSemClass55/SynSemClass55.html?veclass=vec01810", "vec01810 / osahávat (v41eyrA)")</f>
        <v>vec01810 / osahávat (v41eyrA)</v>
      </c>
      <c r="AF79" s="0" t="n">
        <v>0.05888</v>
      </c>
      <c r="AG79" s="5" t="s">
        <v>30</v>
      </c>
    </row>
    <row r="81" customFormat="false" ht="12.75" hidden="false" customHeight="false" outlineLevel="0" collapsed="false">
      <c r="A81" s="0" t="str">
        <f aca="false">HYPERLINK("https://lindat.mff.cuni.cz/services/PDT-Vallex4.5/PDT-Vallex4.5.html?verb=krčit se", "krčit se")</f>
        <v>krčit se</v>
      </c>
      <c r="B81" s="0" t="str">
        <f aca="false">HYPERLINK("https://lindat.mff.cuni.cz/services/PDT-Vallex4.5/PDT-Vallex4.5.html?verb=krčit se#v41buqA", "v41buqA")</f>
        <v>v41buqA</v>
      </c>
      <c r="E81" s="0" t="n">
        <v>692</v>
      </c>
      <c r="F81" s="0" t="n">
        <v>0.11465</v>
      </c>
      <c r="G81" s="1" t="s">
        <v>56</v>
      </c>
      <c r="K81" s="0" t="str">
        <f aca="false">HYPERLINK("https://lindat.mff.cuni.cz/services/SynSemClass55/SynSemClass55.html?veclass=vec00833", "vec00833 / mačkat se (v41cdaA)")</f>
        <v>vec00833 / mačkat se (v41cdaA)</v>
      </c>
      <c r="L81" s="0" t="n">
        <v>0.11465</v>
      </c>
      <c r="M81" s="5" t="s">
        <v>30</v>
      </c>
      <c r="P81" s="0" t="str">
        <f aca="false">HYPERLINK("https://lindat.mff.cuni.cz/services/SynSemClass55/SynSemClass55.html?veclass=vec00991", "vec00991 / zavrtět (v41qubA)")</f>
        <v>vec00991 / zavrtět (v41qubA)</v>
      </c>
      <c r="Q81" s="0" t="n">
        <v>0.10608</v>
      </c>
      <c r="R81" s="5" t="s">
        <v>30</v>
      </c>
      <c r="U81" s="0" t="str">
        <f aca="false">HYPERLINK("https://lindat.mff.cuni.cz/services/SynSemClass55/SynSemClass55.html?veclass=vec00626", "vec00626 / kymácet se (v41bxpA)")</f>
        <v>vec00626 / kymácet se (v41bxpA)</v>
      </c>
      <c r="V81" s="0" t="n">
        <v>0.08548</v>
      </c>
      <c r="W81" s="5" t="s">
        <v>30</v>
      </c>
      <c r="Z81" s="0" t="str">
        <f aca="false">HYPERLINK("https://lindat.mff.cuni.cz/services/SynSemClass55/SynSemClass55.html?veclass=vec00637", "vec00637 / naklonit se (v41csfB)")</f>
        <v>vec00637 / naklonit se (v41csfB)</v>
      </c>
      <c r="AA81" s="0" t="n">
        <v>0.07514</v>
      </c>
      <c r="AB81" s="5" t="s">
        <v>30</v>
      </c>
      <c r="AE81" s="0" t="str">
        <f aca="false">HYPERLINK("https://lindat.mff.cuni.cz/services/SynSemClass55/SynSemClass55.html?veclass=vec01336", "vec01336 / tyčit se (v41meuA)")</f>
        <v>vec01336 / tyčit se (v41meuA)</v>
      </c>
      <c r="AF81" s="0" t="n">
        <v>0.06236</v>
      </c>
      <c r="AG81" s="5" t="s">
        <v>30</v>
      </c>
    </row>
    <row r="83" customFormat="false" ht="12.75" hidden="false" customHeight="false" outlineLevel="0" collapsed="false">
      <c r="A83" s="0" t="str">
        <f aca="false">HYPERLINK("https://lindat.mff.cuni.cz/services/PDT-Vallex4.5/PDT-Vallex4.5.html?verb=kručet", "kručet")</f>
        <v>kručet</v>
      </c>
      <c r="B83" s="0" t="str">
        <f aca="false">HYPERLINK("https://lindat.mff.cuni.cz/services/PDT-Vallex4.5/PDT-Vallex4.5.html?verb=kručet#v41bvoA", "v41bvoA")</f>
        <v>v41bvoA</v>
      </c>
      <c r="E83" s="0" t="n">
        <v>64</v>
      </c>
      <c r="F83" s="0" t="n">
        <v>0.06583</v>
      </c>
      <c r="G83" s="1" t="n">
        <v>0</v>
      </c>
      <c r="I83" s="1" t="s">
        <v>57</v>
      </c>
      <c r="K83" s="0" t="str">
        <f aca="false">HYPERLINK("https://lindat.mff.cuni.cz/services/SynSemClass55/SynSemClass55.html?veclass=vec01110", "vec01110 / sípat (v41koqA)")</f>
        <v>vec01110 / sípat (v41koqA)</v>
      </c>
      <c r="L83" s="0" t="n">
        <v>0.06583</v>
      </c>
      <c r="M83" s="5" t="s">
        <v>30</v>
      </c>
      <c r="P83" s="0" t="str">
        <f aca="false">HYPERLINK("https://lindat.mff.cuni.cz/services/SynSemClass55/SynSemClass55.html?veclass=vec01645", "vec01645 / mrznout (v41cjwA)")</f>
        <v>vec01645 / mrznout (v41cjwA)</v>
      </c>
      <c r="Q83" s="0" t="n">
        <v>0.0446</v>
      </c>
      <c r="R83" s="5" t="s">
        <v>30</v>
      </c>
      <c r="U83" s="0" t="str">
        <f aca="false">HYPERLINK("https://lindat.mff.cuni.cz/services/SynSemClass55/SynSemClass55.html?veclass=vec00937", "vec00937 / třást se (v41mdgB)")</f>
        <v>vec00937 / třást se (v41mdgB)</v>
      </c>
      <c r="V83" s="0" t="n">
        <v>0.0386</v>
      </c>
      <c r="W83" s="5" t="s">
        <v>30</v>
      </c>
      <c r="Z83" s="0" t="str">
        <f aca="false">HYPERLINK("https://lindat.mff.cuni.cz/services/SynSemClass55/SynSemClass55.html?veclass=vec01531", "vec01531 / tepat (v41lxvB)")</f>
        <v>vec01531 / tepat (v41lxvB)</v>
      </c>
      <c r="AA83" s="0" t="n">
        <v>0.03757</v>
      </c>
      <c r="AB83" s="5" t="s">
        <v>30</v>
      </c>
      <c r="AE83" s="0" t="str">
        <f aca="false">HYPERLINK("https://lindat.mff.cuni.cz/services/SynSemClass55/SynSemClass55.html?veclass=vec00875", "vec00875 / potácet se (v41gpyA)")</f>
        <v>vec00875 / potácet se (v41gpyA)</v>
      </c>
      <c r="AF83" s="0" t="n">
        <v>0.03084</v>
      </c>
      <c r="AG83" s="5" t="s">
        <v>30</v>
      </c>
    </row>
    <row r="84" customFormat="false" ht="12.75" hidden="false" customHeight="false" outlineLevel="0" collapsed="false">
      <c r="A84" s="0" t="str">
        <f aca="false">HYPERLINK("https://lindat.mff.cuni.cz/services/PDT-Vallex4.5/PDT-Vallex4.5.html?verb=kručet", "kručet")</f>
        <v>kručet</v>
      </c>
      <c r="B84" s="0" t="str">
        <f aca="false">HYPERLINK("https://lindat.mff.cuni.cz/services/PDT-Vallex4.5/PDT-Vallex4.5.html?verb=kručet#v41bvoB", "v41bvoB")</f>
        <v>v41bvoB</v>
      </c>
      <c r="E84" s="0" t="n">
        <v>64</v>
      </c>
      <c r="F84" s="0" t="n">
        <v>0.06583</v>
      </c>
      <c r="G84" s="1" t="n">
        <v>0</v>
      </c>
      <c r="I84" s="1" t="s">
        <v>57</v>
      </c>
      <c r="K84" s="0" t="str">
        <f aca="false">HYPERLINK("https://lindat.mff.cuni.cz/services/SynSemClass55/SynSemClass55.html?veclass=vec01110", "vec01110 / sípat (v41koqA)")</f>
        <v>vec01110 / sípat (v41koqA)</v>
      </c>
      <c r="L84" s="0" t="n">
        <v>0.06583</v>
      </c>
      <c r="M84" s="5" t="s">
        <v>30</v>
      </c>
      <c r="P84" s="0" t="str">
        <f aca="false">HYPERLINK("https://lindat.mff.cuni.cz/services/SynSemClass55/SynSemClass55.html?veclass=vec01645", "vec01645 / mrznout (v41cjwA)")</f>
        <v>vec01645 / mrznout (v41cjwA)</v>
      </c>
      <c r="Q84" s="0" t="n">
        <v>0.0446</v>
      </c>
      <c r="R84" s="5" t="s">
        <v>30</v>
      </c>
      <c r="U84" s="0" t="str">
        <f aca="false">HYPERLINK("https://lindat.mff.cuni.cz/services/SynSemClass55/SynSemClass55.html?veclass=vec00937", "vec00937 / třást se (v41mdgB)")</f>
        <v>vec00937 / třást se (v41mdgB)</v>
      </c>
      <c r="V84" s="0" t="n">
        <v>0.0386</v>
      </c>
      <c r="W84" s="5" t="s">
        <v>30</v>
      </c>
      <c r="Z84" s="0" t="str">
        <f aca="false">HYPERLINK("https://lindat.mff.cuni.cz/services/SynSemClass55/SynSemClass55.html?veclass=vec01531", "vec01531 / tepat (v41lxvB)")</f>
        <v>vec01531 / tepat (v41lxvB)</v>
      </c>
      <c r="AA84" s="0" t="n">
        <v>0.03757</v>
      </c>
      <c r="AB84" s="5" t="s">
        <v>30</v>
      </c>
      <c r="AE84" s="0" t="str">
        <f aca="false">HYPERLINK("https://lindat.mff.cuni.cz/services/SynSemClass55/SynSemClass55.html?veclass=vec00875", "vec00875 / potácet se (v41gpyA)")</f>
        <v>vec00875 / potácet se (v41gpyA)</v>
      </c>
      <c r="AF84" s="0" t="n">
        <v>0.03084</v>
      </c>
      <c r="AG84" s="5" t="s">
        <v>30</v>
      </c>
    </row>
    <row r="86" customFormat="false" ht="12.75" hidden="false" customHeight="false" outlineLevel="0" collapsed="false">
      <c r="A86" s="0" t="str">
        <f aca="false">HYPERLINK("https://lindat.mff.cuni.cz/services/PDT-Vallex4.5/PDT-Vallex4.5.html?verb=krvácet", "krvácet")</f>
        <v>krvácet</v>
      </c>
      <c r="B86" s="0" t="str">
        <f aca="false">HYPERLINK("https://lindat.mff.cuni.cz/services/PDT-Vallex4.5/PDT-Vallex4.5.html?verb=krvácet#v41bvqA", "v41bvqA")</f>
        <v>v41bvqA</v>
      </c>
      <c r="E86" s="0" t="n">
        <v>624</v>
      </c>
      <c r="F86" s="0" t="n">
        <v>0.89639</v>
      </c>
      <c r="G86" s="1" t="n">
        <v>0</v>
      </c>
      <c r="I86" s="1" t="s">
        <v>58</v>
      </c>
      <c r="K86" s="0" t="str">
        <f aca="false">HYPERLINK("https://lindat.mff.cuni.cz/services/SynSemClass55/SynSemClass55.html?veclass=vec00625", "vec00625 / krvácet (v41bvqB)")</f>
        <v>vec00625 / krvácet (v41bvqB)</v>
      </c>
      <c r="L86" s="0" t="n">
        <v>0.89639</v>
      </c>
      <c r="M86" s="5" t="s">
        <v>30</v>
      </c>
      <c r="P86" s="0" t="str">
        <f aca="false">HYPERLINK("https://lindat.mff.cuni.cz/services/SynSemClass55/SynSemClass55.html?veclass=vec01533", "vec01533 / ukapávat (v41mliA)")</f>
        <v>vec01533 / ukapávat (v41mliA)</v>
      </c>
      <c r="Q86" s="0" t="n">
        <v>0.05554</v>
      </c>
      <c r="R86" s="5" t="s">
        <v>30</v>
      </c>
      <c r="U86" s="0" t="str">
        <f aca="false">HYPERLINK("https://lindat.mff.cuni.cz/services/SynSemClass55/SynSemClass55.html?veclass=vec00614", "vec00614 / chrlit (v41bbzA)")</f>
        <v>vec00614 / chrlit (v41bbzA)</v>
      </c>
      <c r="V86" s="0" t="n">
        <v>0.01559</v>
      </c>
      <c r="W86" s="5" t="s">
        <v>30</v>
      </c>
      <c r="Z86" s="0" t="str">
        <f aca="false">HYPERLINK("https://lindat.mff.cuni.cz/services/SynSemClass55/SynSemClass55.html?veclass=vec00390", "vec00390 / zotavit se (v41rrtA)")</f>
        <v>vec00390 / zotavit se (v41rrtA)</v>
      </c>
      <c r="AA86" s="0" t="n">
        <v>0.01503</v>
      </c>
      <c r="AB86" s="5" t="s">
        <v>30</v>
      </c>
      <c r="AE86" s="0" t="str">
        <f aca="false">HYPERLINK("https://lindat.mff.cuni.cz/services/SynSemClass55/SynSemClass55.html?veclass=vec00419", "vec00419 / chybět (v41bcpB)")</f>
        <v>vec00419 / chybět (v41bcpB)</v>
      </c>
      <c r="AF86" s="0" t="n">
        <v>0.0127</v>
      </c>
      <c r="AG86" s="5" t="s">
        <v>30</v>
      </c>
    </row>
    <row r="88" customFormat="false" ht="12.75" hidden="false" customHeight="false" outlineLevel="0" collapsed="false">
      <c r="A88" s="0" t="str">
        <f aca="false">HYPERLINK("https://lindat.mff.cuni.cz/services/PDT-Vallex4.5/PDT-Vallex4.5.html?verb=kývat se", "kývat se")</f>
        <v>kývat se</v>
      </c>
      <c r="B88" s="0" t="str">
        <f aca="false">HYPERLINK("https://lindat.mff.cuni.cz/services/PDT-Vallex4.5/PDT-Vallex4.5.html?verb=kývat se#v41bxsA", "v41bxsA")</f>
        <v>v41bxsA</v>
      </c>
      <c r="E88" s="0" t="n">
        <v>498</v>
      </c>
      <c r="F88" s="0" t="n">
        <v>0.18088</v>
      </c>
      <c r="G88" s="1" t="s">
        <v>31</v>
      </c>
      <c r="K88" s="0" t="str">
        <f aca="false">HYPERLINK("https://lindat.mff.cuni.cz/services/SynSemClass55/SynSemClass55.html?veclass=vec00991", "vec00991 / zavrtět (v41qubA)")</f>
        <v>vec00991 / zavrtět (v41qubA)</v>
      </c>
      <c r="L88" s="0" t="n">
        <v>0.18088</v>
      </c>
      <c r="M88" s="5" t="s">
        <v>30</v>
      </c>
      <c r="P88" s="0" t="str">
        <f aca="false">HYPERLINK("https://lindat.mff.cuni.cz/services/SynSemClass55/SynSemClass55.html?veclass=vec00631", "vec00631 / mávat (v41cetA)")</f>
        <v>vec00631 / mávat (v41cetA)</v>
      </c>
      <c r="Q88" s="0" t="n">
        <v>0.08826</v>
      </c>
      <c r="R88" s="5" t="s">
        <v>30</v>
      </c>
      <c r="U88" s="0" t="str">
        <f aca="false">HYPERLINK("https://lindat.mff.cuni.cz/services/SynSemClass55/SynSemClass55.html?veclass=vec00637", "vec00637 / naklonit se (v41csfB)")</f>
        <v>vec00637 / naklonit se (v41csfB)</v>
      </c>
      <c r="V88" s="0" t="n">
        <v>0.04281</v>
      </c>
      <c r="W88" s="5" t="s">
        <v>30</v>
      </c>
      <c r="Z88" s="0" t="str">
        <f aca="false">HYPERLINK("https://lindat.mff.cuni.cz/services/SynSemClass55/SynSemClass55.html?veclass=vec00995", "vec00995 / zmítat (v41rlcA)")</f>
        <v>vec00995 / zmítat (v41rlcA)</v>
      </c>
      <c r="AA88" s="0" t="n">
        <v>0.04188</v>
      </c>
      <c r="AB88" s="5" t="s">
        <v>30</v>
      </c>
      <c r="AE88" s="0" t="str">
        <f aca="false">HYPERLINK("https://lindat.mff.cuni.cz/services/SynSemClass55/SynSemClass55.html?veclass=vec00626", "vec00626 / kymácet se (v41bxpA)")</f>
        <v>vec00626 / kymácet se (v41bxpA)</v>
      </c>
      <c r="AF88" s="0" t="n">
        <v>0.03917</v>
      </c>
      <c r="AG88" s="5" t="s">
        <v>33</v>
      </c>
    </row>
    <row r="90" customFormat="false" ht="12.75" hidden="false" customHeight="false" outlineLevel="0" collapsed="false">
      <c r="A90" s="0" t="str">
        <f aca="false">HYPERLINK("https://lindat.mff.cuni.cz/services/PDT-Vallex4.5/PDT-Vallex4.5.html?verb=laškovat", "laškovat")</f>
        <v>laškovat</v>
      </c>
      <c r="B90" s="0" t="str">
        <f aca="false">HYPERLINK("https://lindat.mff.cuni.cz/services/PDT-Vallex4.5/PDT-Vallex4.5.html?verb=laškovat#v41bylA", "v41bylA")</f>
        <v>v41bylA</v>
      </c>
      <c r="E90" s="0" t="n">
        <v>48</v>
      </c>
      <c r="F90" s="0" t="n">
        <v>0.20064</v>
      </c>
      <c r="G90" s="1" t="n">
        <v>0</v>
      </c>
      <c r="I90" s="1" t="s">
        <v>46</v>
      </c>
      <c r="K90" s="0" t="str">
        <f aca="false">HYPERLINK("https://lindat.mff.cuni.cz/services/SynSemClass55/SynSemClass55.html?veclass=vec00817", "vec00817 / flirtovat (v41aqwB)")</f>
        <v>vec00817 / flirtovat (v41aqwB)</v>
      </c>
      <c r="L90" s="0" t="n">
        <v>0.20064</v>
      </c>
      <c r="M90" s="5" t="s">
        <v>30</v>
      </c>
      <c r="P90" s="0" t="str">
        <f aca="false">HYPERLINK("https://lindat.mff.cuni.cz/services/SynSemClass55/SynSemClass55.html?veclass=vec00922", "vec00922 / skotačit (v41kriA)")</f>
        <v>vec00922 / skotačit (v41kriA)</v>
      </c>
      <c r="Q90" s="0" t="n">
        <v>0.09852</v>
      </c>
      <c r="R90" s="5" t="s">
        <v>30</v>
      </c>
      <c r="U90" s="0" t="str">
        <f aca="false">HYPERLINK("https://lindat.mff.cuni.cz/services/SynSemClass55/SynSemClass55.html?veclass=vec01653", "vec01653 / pomilovat se (v41gegA)")</f>
        <v>vec01653 / pomilovat se (v41gegA)</v>
      </c>
      <c r="V90" s="0" t="n">
        <v>0.08365</v>
      </c>
      <c r="W90" s="5" t="s">
        <v>30</v>
      </c>
      <c r="Z90" s="0" t="str">
        <f aca="false">HYPERLINK("https://lindat.mff.cuni.cz/services/SynSemClass55/SynSemClass55.html?veclass=vec01216", "vec01216 / hrabat se (v41aygA)")</f>
        <v>vec01216 / hrabat se (v41aygA)</v>
      </c>
      <c r="AA90" s="0" t="n">
        <v>0.05107</v>
      </c>
      <c r="AB90" s="5" t="s">
        <v>30</v>
      </c>
      <c r="AE90" s="0" t="str">
        <f aca="false">HYPERLINK("https://lindat.mff.cuni.cz/services/SynSemClass55/SynSemClass55.html?veclass=vec00886", "vec00886 / promrhat (v41hikA)")</f>
        <v>vec00886 / promrhat (v41hikA)</v>
      </c>
      <c r="AF90" s="0" t="n">
        <v>0.03997</v>
      </c>
      <c r="AG90" s="5" t="s">
        <v>30</v>
      </c>
    </row>
    <row r="92" customFormat="false" ht="12.75" hidden="false" customHeight="false" outlineLevel="0" collapsed="false">
      <c r="A92" s="0" t="str">
        <f aca="false">HYPERLINK("https://lindat.mff.cuni.cz/services/PDT-Vallex4.5/PDT-Vallex4.5.html?verb=lhát", "lhát")</f>
        <v>lhát</v>
      </c>
      <c r="B92" s="0" t="str">
        <f aca="false">HYPERLINK("https://lindat.mff.cuni.cz/services/PDT-Vallex4.5/PDT-Vallex4.5.html?verb=lhát#v41cafB", "v41cafB")</f>
        <v>v41cafB</v>
      </c>
      <c r="E92" s="0" t="n">
        <v>2979</v>
      </c>
      <c r="F92" s="0" t="n">
        <v>0.74805</v>
      </c>
      <c r="G92" s="1" t="s">
        <v>31</v>
      </c>
      <c r="K92" s="0" t="str">
        <f aca="false">HYPERLINK("https://lindat.mff.cuni.cz/services/SynSemClass55/SynSemClass55.html?veclass=vec00832", "vec00832 / lhát (v41cafA)")</f>
        <v>vec00832 / lhát (v41cafA)</v>
      </c>
      <c r="L92" s="0" t="n">
        <v>0.74805</v>
      </c>
      <c r="M92" s="5" t="s">
        <v>33</v>
      </c>
      <c r="P92" s="0" t="str">
        <f aca="false">HYPERLINK("https://lindat.mff.cuni.cz/services/SynSemClass55/SynSemClass55.html?veclass=vec00671", "vec00671 / podvést (v41fwbB)")</f>
        <v>vec00671 / podvést (v41fwbB)</v>
      </c>
      <c r="Q92" s="0" t="n">
        <v>0.0425</v>
      </c>
      <c r="R92" s="5" t="s">
        <v>30</v>
      </c>
      <c r="U92" s="0" t="str">
        <f aca="false">HYPERLINK("https://lindat.mff.cuni.cz/services/SynSemClass55/SynSemClass55.html?veclass=vec00589", "vec00589 / zmást (v41rjtA)")</f>
        <v>vec00589 / zmást (v41rjtA)</v>
      </c>
      <c r="V92" s="0" t="n">
        <v>0.03319</v>
      </c>
      <c r="W92" s="5" t="s">
        <v>30</v>
      </c>
      <c r="Z92" s="0" t="str">
        <f aca="false">HYPERLINK("https://lindat.mff.cuni.cz/services/SynSemClass55/SynSemClass55.html?veclass=vec00958", "vec00958 / vyčinit (v41nvxA)")</f>
        <v>vec00958 / vyčinit (v41nvxA)</v>
      </c>
      <c r="AA92" s="0" t="n">
        <v>0.01832</v>
      </c>
      <c r="AB92" s="5" t="s">
        <v>30</v>
      </c>
      <c r="AE92" s="0" t="str">
        <f aca="false">HYPERLINK("https://lindat.mff.cuni.cz/services/SynSemClass55/SynSemClass55.html?veclass=vec00633", "vec00633 / nadávat (v41cnkB)")</f>
        <v>vec00633 / nadávat (v41cnkB)</v>
      </c>
      <c r="AF92" s="0" t="n">
        <v>0.0146</v>
      </c>
      <c r="AG92" s="5" t="s">
        <v>30</v>
      </c>
    </row>
    <row r="94" customFormat="false" ht="12.75" hidden="false" customHeight="false" outlineLevel="0" collapsed="false">
      <c r="A94" s="0" t="str">
        <f aca="false">HYPERLINK("https://lindat.mff.cuni.cz/services/PDT-Vallex4.5/PDT-Vallex4.5.html?verb=líčit", "líčit")</f>
        <v>líčit</v>
      </c>
      <c r="B94" s="0" t="str">
        <f aca="false">HYPERLINK("https://lindat.mff.cuni.cz/services/PDT-Vallex4.5/PDT-Vallex4.5.html?verb=líčit#v41casB", "v41casB")</f>
        <v>v41casB</v>
      </c>
      <c r="E94" s="0" t="n">
        <v>927</v>
      </c>
      <c r="F94" s="0" t="n">
        <v>0.62938</v>
      </c>
      <c r="G94" s="1" t="n">
        <v>0</v>
      </c>
      <c r="I94" s="1" t="s">
        <v>59</v>
      </c>
      <c r="K94" s="0" t="str">
        <f aca="false">HYPERLINK("https://lindat.mff.cuni.cz/services/SynSemClass55/SynSemClass55.html?veclass=vec01353", "vec01353 / vyprávět (v41orhA)")</f>
        <v>vec01353 / vyprávět (v41orhA)</v>
      </c>
      <c r="L94" s="0" t="n">
        <v>0.62938</v>
      </c>
      <c r="M94" s="5" t="s">
        <v>30</v>
      </c>
      <c r="P94" s="0" t="str">
        <f aca="false">HYPERLINK("https://lindat.mff.cuni.cz/services/SynSemClass55/SynSemClass55.html?veclass=vec00417", "vec00417 / charakterizovat (v41barA)")</f>
        <v>vec00417 / charakterizovat (v41barA)</v>
      </c>
      <c r="Q94" s="0" t="n">
        <v>0.10907</v>
      </c>
      <c r="R94" s="5" t="s">
        <v>30</v>
      </c>
      <c r="U94" s="0" t="str">
        <f aca="false">HYPERLINK("https://lindat.mff.cuni.cz/services/SynSemClass55/SynSemClass55.html?veclass=vec00032", "vec00032 / myslet si (v41ckkA)")</f>
        <v>vec00032 / myslet si (v41ckkA)</v>
      </c>
      <c r="V94" s="0" t="n">
        <v>0.02622</v>
      </c>
      <c r="W94" s="5" t="s">
        <v>30</v>
      </c>
      <c r="Z94" s="0" t="str">
        <f aca="false">HYPERLINK("https://lindat.mff.cuni.cz/services/SynSemClass55/SynSemClass55.html?veclass=vec00031", "vec00031 / mluvit (v41chxD)")</f>
        <v>vec00031 / mluvit (v41chxD)</v>
      </c>
      <c r="AA94" s="0" t="n">
        <v>0.02069</v>
      </c>
      <c r="AB94" s="5" t="s">
        <v>30</v>
      </c>
      <c r="AE94" s="0" t="str">
        <f aca="false">HYPERLINK("https://lindat.mff.cuni.cz/services/SynSemClass55/SynSemClass55.html?veclass=vec00690", "vec00690 / předčítat (v41hvqA)")</f>
        <v>vec00690 / předčítat (v41hvqA)</v>
      </c>
      <c r="AF94" s="0" t="n">
        <v>0.02062</v>
      </c>
      <c r="AG94" s="5" t="s">
        <v>30</v>
      </c>
    </row>
    <row r="96" customFormat="false" ht="12.75" hidden="false" customHeight="false" outlineLevel="0" collapsed="false">
      <c r="A96" s="0" t="str">
        <f aca="false">HYPERLINK("https://lindat.mff.cuni.cz/services/PDT-Vallex4.5/PDT-Vallex4.5.html?verb=loupit", "loupit")</f>
        <v>loupit</v>
      </c>
      <c r="B96" s="0" t="str">
        <f aca="false">HYPERLINK("https://lindat.mff.cuni.cz/services/PDT-Vallex4.5/PDT-Vallex4.5.html?verb=loupit#v41cciA", "v41cciA")</f>
        <v>v41cciA</v>
      </c>
      <c r="E96" s="0" t="n">
        <v>110</v>
      </c>
      <c r="F96" s="0" t="n">
        <v>0.11922</v>
      </c>
      <c r="G96" s="1" t="s">
        <v>60</v>
      </c>
      <c r="K96" s="0" t="str">
        <f aca="false">HYPERLINK("https://lindat.mff.cuni.cz/services/SynSemClass55/SynSemClass55.html?veclass=vec01303", "vec01303 / rabovat (v41jemB)")</f>
        <v>vec01303 / rabovat (v41jemB)</v>
      </c>
      <c r="L96" s="0" t="n">
        <v>0.11922</v>
      </c>
      <c r="M96" s="5" t="s">
        <v>32</v>
      </c>
      <c r="P96" s="0" t="str">
        <f aca="false">HYPERLINK("https://lindat.mff.cuni.cz/services/SynSemClass55/SynSemClass55.html?veclass=vec00657", "vec00657 / okrást (v41eskA)")</f>
        <v>vec00657 / okrást (v41eskA)</v>
      </c>
      <c r="Q96" s="0" t="n">
        <v>0.10952</v>
      </c>
      <c r="R96" s="5" t="s">
        <v>30</v>
      </c>
      <c r="U96" s="0" t="str">
        <f aca="false">HYPERLINK("https://lindat.mff.cuni.cz/services/SynSemClass55/SynSemClass55.html?veclass=vec01727", "vec01727 / clít (v41lnA)")</f>
        <v>vec01727 / clít (v41lnA)</v>
      </c>
      <c r="V96" s="0" t="n">
        <v>0.06056</v>
      </c>
      <c r="W96" s="5" t="s">
        <v>30</v>
      </c>
      <c r="Z96" s="0" t="str">
        <f aca="false">HYPERLINK("https://lindat.mff.cuni.cz/services/SynSemClass55/SynSemClass55.html?veclass=vec01585", "vec01585 / oholit (v41eplA)")</f>
        <v>vec01585 / oholit (v41eplA)</v>
      </c>
      <c r="AA96" s="0" t="n">
        <v>0.04192</v>
      </c>
      <c r="AB96" s="5" t="s">
        <v>30</v>
      </c>
      <c r="AE96" s="0" t="str">
        <f aca="false">HYPERLINK("https://lindat.mff.cuni.cz/services/SynSemClass55/SynSemClass55.html?veclass=vec00704", "vec00704 / sebrat (v41khhA)")</f>
        <v>vec00704 / sebrat (v41khhA)</v>
      </c>
      <c r="AF96" s="0" t="n">
        <v>0.03146</v>
      </c>
      <c r="AG96" s="5" t="s">
        <v>30</v>
      </c>
    </row>
    <row r="98" customFormat="false" ht="12.75" hidden="false" customHeight="false" outlineLevel="0" collapsed="false">
      <c r="A98" s="0" t="str">
        <f aca="false">HYPERLINK("https://lindat.mff.cuni.cz/services/PDT-Vallex4.5/PDT-Vallex4.5.html?verb=lpět", "lpět")</f>
        <v>lpět</v>
      </c>
      <c r="B98" s="0" t="str">
        <f aca="false">HYPERLINK("https://lindat.mff.cuni.cz/services/PDT-Vallex4.5/PDT-Vallex4.5.html?verb=lpět#v41ccnB", "v41ccnB")</f>
        <v>v41ccnB</v>
      </c>
      <c r="E98" s="0" t="n">
        <v>329</v>
      </c>
      <c r="F98" s="0" t="n">
        <v>0.13723</v>
      </c>
      <c r="G98" s="1" t="n">
        <v>0</v>
      </c>
      <c r="I98" s="1" t="s">
        <v>61</v>
      </c>
      <c r="K98" s="0" t="str">
        <f aca="false">HYPERLINK("https://lindat.mff.cuni.cz/services/SynSemClass55/SynSemClass55.html?veclass=vec01040", "vec01040 / lpět (v41ccnA)")</f>
        <v>vec01040 / lpět (v41ccnA)</v>
      </c>
      <c r="L98" s="0" t="n">
        <v>0.13723</v>
      </c>
      <c r="M98" s="5" t="s">
        <v>30</v>
      </c>
      <c r="P98" s="0" t="str">
        <f aca="false">HYPERLINK("https://lindat.mff.cuni.cz/services/SynSemClass55/SynSemClass55.html?veclass=vec00742", "vec00742 / užívat si (v41nfrA)")</f>
        <v>vec00742 / užívat si (v41nfrA)</v>
      </c>
      <c r="Q98" s="0" t="n">
        <v>0.04178</v>
      </c>
      <c r="R98" s="5" t="s">
        <v>30</v>
      </c>
      <c r="U98" s="0" t="str">
        <f aca="false">HYPERLINK("https://lindat.mff.cuni.cz/services/SynSemClass55/SynSemClass55.html?veclass=vec01200", "vec01200 / žebrat (v41seaA)")</f>
        <v>vec01200 / žebrat (v41seaA)</v>
      </c>
      <c r="V98" s="0" t="n">
        <v>0.04124</v>
      </c>
      <c r="W98" s="5" t="s">
        <v>30</v>
      </c>
      <c r="Z98" s="0" t="str">
        <f aca="false">HYPERLINK("https://lindat.mff.cuni.cz/services/SynSemClass55/SynSemClass55.html?veclass=vec00520", "vec00520 / spoléhat (v41ldnA)")</f>
        <v>vec00520 / spoléhat (v41ldnA)</v>
      </c>
      <c r="AA98" s="0" t="n">
        <v>0.03966</v>
      </c>
      <c r="AB98" s="5" t="s">
        <v>30</v>
      </c>
      <c r="AE98" s="0" t="str">
        <f aca="false">HYPERLINK("https://lindat.mff.cuni.cz/services/SynSemClass55/SynSemClass55.html?veclass=vec00877", "vec00877 / prahnout (v41gydA)")</f>
        <v>vec00877 / prahnout (v41gydA)</v>
      </c>
      <c r="AF98" s="0" t="n">
        <v>0.03622</v>
      </c>
      <c r="AG98" s="5" t="s">
        <v>30</v>
      </c>
    </row>
    <row r="100" customFormat="false" ht="12.75" hidden="false" customHeight="false" outlineLevel="0" collapsed="false">
      <c r="A100" s="0" t="str">
        <f aca="false">HYPERLINK("https://lindat.mff.cuni.cz/services/PDT-Vallex4.5/PDT-Vallex4.5.html?verb=migrovat", "migrovat")</f>
        <v>migrovat</v>
      </c>
      <c r="B100" s="0" t="str">
        <f aca="false">HYPERLINK("https://lindat.mff.cuni.cz/services/PDT-Vallex4.5/PDT-Vallex4.5.html?verb=migrovat#v41cgaB", "v41cgaB")</f>
        <v>v41cgaB</v>
      </c>
      <c r="E100" s="0" t="n">
        <v>5</v>
      </c>
      <c r="F100" s="0" t="n">
        <v>0.12668</v>
      </c>
      <c r="G100" s="1" t="s">
        <v>31</v>
      </c>
      <c r="K100" s="0" t="str">
        <f aca="false">HYPERLINK("https://lindat.mff.cuni.cz/services/SynSemClass55/SynSemClass55.html?veclass=vec00048", "vec00048 / odejít (v41dyrA)")</f>
        <v>vec00048 / odejít (v41dyrA)</v>
      </c>
      <c r="L100" s="0" t="n">
        <v>0.12668</v>
      </c>
      <c r="M100" s="5" t="s">
        <v>33</v>
      </c>
      <c r="P100" s="0" t="str">
        <f aca="false">HYPERLINK("https://lindat.mff.cuni.cz/services/SynSemClass55/SynSemClass55.html?veclass=vec00218", "vec00218 / dostat se (v41afyI)")</f>
        <v>vec00218 / dostat se (v41afyI)</v>
      </c>
      <c r="Q100" s="0" t="n">
        <v>0.11897</v>
      </c>
      <c r="R100" s="5" t="s">
        <v>30</v>
      </c>
      <c r="U100" s="0" t="str">
        <f aca="false">HYPERLINK("https://lindat.mff.cuni.cz/services/SynSemClass55/SynSemClass55.html?veclass=vec00685", "vec00685 / projít (v41hfiF)")</f>
        <v>vec00685 / projít (v41hfiF)</v>
      </c>
      <c r="V100" s="0" t="n">
        <v>0.10142</v>
      </c>
      <c r="W100" s="5" t="s">
        <v>30</v>
      </c>
      <c r="Z100" s="0" t="str">
        <f aca="false">HYPERLINK("https://lindat.mff.cuni.cz/services/SynSemClass55/SynSemClass55.html?veclass=vec00022", "vec00022 / hnout se (v41awhA)")</f>
        <v>vec00022 / hnout se (v41awhA)</v>
      </c>
      <c r="AA100" s="0" t="n">
        <v>0.05942</v>
      </c>
      <c r="AB100" s="5" t="s">
        <v>30</v>
      </c>
      <c r="AE100" s="0" t="str">
        <f aca="false">HYPERLINK("https://lindat.mff.cuni.cz/services/SynSemClass55/SynSemClass55.html?veclass=vec00665", "vec00665 / plazit se (v41fnbA)")</f>
        <v>vec00665 / plazit se (v41fnbA)</v>
      </c>
      <c r="AF100" s="0" t="n">
        <v>0.05417</v>
      </c>
      <c r="AG100" s="5" t="s">
        <v>30</v>
      </c>
    </row>
    <row r="102" customFormat="false" ht="12.75" hidden="false" customHeight="false" outlineLevel="0" collapsed="false">
      <c r="A102" s="0" t="str">
        <f aca="false">HYPERLINK("https://lindat.mff.cuni.cz/services/PDT-Vallex4.5/PDT-Vallex4.5.html?verb=mizet", "mizet")</f>
        <v>mizet</v>
      </c>
      <c r="B102" s="0" t="str">
        <f aca="false">HYPERLINK("https://lindat.mff.cuni.cz/services/PDT-Vallex4.5/PDT-Vallex4.5.html?verb=mizet#v41chpA", "v41chpA")</f>
        <v>v41chpA</v>
      </c>
      <c r="E102" s="0" t="n">
        <v>1590</v>
      </c>
      <c r="F102" s="0" t="n">
        <v>0.47025</v>
      </c>
      <c r="G102" s="1" t="n">
        <v>0</v>
      </c>
      <c r="I102" s="1" t="s">
        <v>62</v>
      </c>
      <c r="K102" s="0" t="str">
        <f aca="false">HYPERLINK("https://lindat.mff.cuni.cz/services/SynSemClass55/SynSemClass55.html?veclass=vec00755", "vec00755 / vymizet (v41okoA)")</f>
        <v>vec00755 / vymizet (v41okoA)</v>
      </c>
      <c r="L102" s="0" t="n">
        <v>0.47025</v>
      </c>
      <c r="M102" s="5" t="s">
        <v>30</v>
      </c>
      <c r="P102" s="0" t="str">
        <f aca="false">HYPERLINK("https://lindat.mff.cuni.cz/services/SynSemClass55/SynSemClass55.html?veclass=vec01885", "vec01885 / slehnout se (v41ksoA)")</f>
        <v>vec01885 / slehnout se (v41ksoA)</v>
      </c>
      <c r="Q102" s="0" t="n">
        <v>0.34313</v>
      </c>
      <c r="R102" s="5" t="s">
        <v>30</v>
      </c>
      <c r="U102" s="0" t="str">
        <f aca="false">HYPERLINK("https://lindat.mff.cuni.cz/services/SynSemClass55/SynSemClass55.html?veclass=vec00873", "vec00873 / pominout (v41gehB)")</f>
        <v>vec00873 / pominout (v41gehB)</v>
      </c>
      <c r="V102" s="0" t="n">
        <v>0.03502</v>
      </c>
      <c r="W102" s="5" t="s">
        <v>30</v>
      </c>
      <c r="Z102" s="0" t="str">
        <f aca="false">HYPERLINK("https://lindat.mff.cuni.cz/services/SynSemClass55/SynSemClass55.html?veclass=vec01623", "vec01623 / zabloudit (v41ppiA)")</f>
        <v>vec01623 / zabloudit (v41ppiA)</v>
      </c>
      <c r="AA102" s="0" t="n">
        <v>0.02374</v>
      </c>
      <c r="AB102" s="5" t="s">
        <v>30</v>
      </c>
      <c r="AE102" s="0" t="str">
        <f aca="false">HYPERLINK("https://lindat.mff.cuni.cz/services/SynSemClass55/SynSemClass55.html?veclass=vec00467", "vec00467 / padat (v41fhgG)")</f>
        <v>vec00467 / padat (v41fhgG)</v>
      </c>
      <c r="AF102" s="0" t="n">
        <v>0.01439</v>
      </c>
      <c r="AG102" s="5" t="s">
        <v>30</v>
      </c>
    </row>
    <row r="104" customFormat="false" ht="12.75" hidden="false" customHeight="false" outlineLevel="0" collapsed="false">
      <c r="A104" s="0" t="str">
        <f aca="false">HYPERLINK("https://lindat.mff.cuni.cz/services/PDT-Vallex4.5/PDT-Vallex4.5.html?verb=mobilizovat", "mobilizovat")</f>
        <v>mobilizovat</v>
      </c>
      <c r="B104" s="0" t="str">
        <f aca="false">HYPERLINK("https://lindat.mff.cuni.cz/services/PDT-Vallex4.5/PDT-Vallex4.5.html?verb=mobilizovat#v41cidA", "v41cidA")</f>
        <v>v41cidA</v>
      </c>
      <c r="E104" s="0" t="n">
        <v>54</v>
      </c>
      <c r="F104" s="0" t="n">
        <v>0.78045</v>
      </c>
      <c r="G104" s="1" t="n">
        <v>0</v>
      </c>
      <c r="I104" s="1" t="s">
        <v>63</v>
      </c>
      <c r="K104" s="0" t="str">
        <f aca="false">HYPERLINK("https://lindat.mff.cuni.cz/services/SynSemClass55/SynSemClass55.html?veclass=vec01765", "vec01765 / mobilizovat (v41cidB)")</f>
        <v>vec01765 / mobilizovat (v41cidB)</v>
      </c>
      <c r="L104" s="0" t="n">
        <v>0.78045</v>
      </c>
      <c r="M104" s="5" t="s">
        <v>30</v>
      </c>
      <c r="P104" s="0" t="str">
        <f aca="false">HYPERLINK("https://lindat.mff.cuni.cz/services/SynSemClass55/SynSemClass55.html?veclass=vec00443", "vec00443 / nashromáždit (v41dbbA)")</f>
        <v>vec00443 / nashromáždit (v41dbbA)</v>
      </c>
      <c r="Q104" s="0" t="n">
        <v>0.05026</v>
      </c>
      <c r="R104" s="5" t="s">
        <v>30</v>
      </c>
      <c r="U104" s="0" t="str">
        <f aca="false">HYPERLINK("https://lindat.mff.cuni.cz/services/SynSemClass55/SynSemClass55.html?veclass=vec00038", "vec00038 / nastartovat (v41dcfA)")</f>
        <v>vec00038 / nastartovat (v41dcfA)</v>
      </c>
      <c r="V104" s="0" t="n">
        <v>0.02274</v>
      </c>
      <c r="W104" s="5" t="s">
        <v>30</v>
      </c>
      <c r="Z104" s="0" t="str">
        <f aca="false">HYPERLINK("https://lindat.mff.cuni.cz/services/SynSemClass55/SynSemClass55.html?veclass=vec00659", "vec00659 / opětovat (v41eviA)")</f>
        <v>vec00659 / opětovat (v41eviA)</v>
      </c>
      <c r="AA104" s="0" t="n">
        <v>0.01714</v>
      </c>
      <c r="AB104" s="5" t="s">
        <v>30</v>
      </c>
      <c r="AE104" s="0" t="str">
        <f aca="false">HYPERLINK("https://lindat.mff.cuni.cz/services/SynSemClass55/SynSemClass55.html?veclass=vec00485", "vec00485 / povolat (v41guiA)")</f>
        <v>vec00485 / povolat (v41guiA)</v>
      </c>
      <c r="AF104" s="0" t="n">
        <v>0.01688</v>
      </c>
      <c r="AG104" s="5" t="s">
        <v>30</v>
      </c>
    </row>
    <row r="106" customFormat="false" ht="12.75" hidden="false" customHeight="false" outlineLevel="0" collapsed="false">
      <c r="A106" s="0" t="str">
        <f aca="false">HYPERLINK("https://lindat.mff.cuni.cz/services/PDT-Vallex4.5/PDT-Vallex4.5.html?verb=modulovat", "modulovat")</f>
        <v>modulovat</v>
      </c>
      <c r="B106" s="0" t="str">
        <f aca="false">HYPERLINK("https://lindat.mff.cuni.cz/services/PDT-Vallex4.5/PDT-Vallex4.5.html?verb=modulovat#v41ciuA", "v41ciuA")</f>
        <v>v41ciuA</v>
      </c>
      <c r="E106" s="0" t="n">
        <v>17</v>
      </c>
      <c r="F106" s="0" t="n">
        <v>0.4447</v>
      </c>
      <c r="G106" s="1" t="s">
        <v>31</v>
      </c>
      <c r="K106" s="0" t="str">
        <f aca="false">HYPERLINK("https://lindat.mff.cuni.cz/services/SynSemClass55/SynSemClass55.html?veclass=vec00095", "vec00095 / přeměnit (v41iecA)")</f>
        <v>vec00095 / přeměnit (v41iecA)</v>
      </c>
      <c r="L106" s="0" t="n">
        <v>0.4447</v>
      </c>
      <c r="M106" s="5" t="s">
        <v>33</v>
      </c>
      <c r="P106" s="0" t="str">
        <f aca="false">HYPERLINK("https://lindat.mff.cuni.cz/services/SynSemClass55/SynSemClass55.html?veclass=vec01714", "vec01714 / zkřivit (v41rhlA)")</f>
        <v>vec01714 / zkřivit (v41rhlA)</v>
      </c>
      <c r="Q106" s="0" t="n">
        <v>0.07312</v>
      </c>
      <c r="R106" s="5" t="s">
        <v>30</v>
      </c>
      <c r="U106" s="0" t="str">
        <f aca="false">HYPERLINK("https://lindat.mff.cuni.cz/services/SynSemClass55/SynSemClass55.html?veclass=vec00254", "vec00254 / ovlivnit (v41ffeA)")</f>
        <v>vec00254 / ovlivnit (v41ffeA)</v>
      </c>
      <c r="V106" s="0" t="n">
        <v>0.03866</v>
      </c>
      <c r="W106" s="5" t="s">
        <v>30</v>
      </c>
      <c r="Z106" s="0" t="str">
        <f aca="false">HYPERLINK("https://lindat.mff.cuni.cz/services/SynSemClass55/SynSemClass55.html?veclass=vec00944", "vec00944 / utvářet (v41nbtA)")</f>
        <v>vec00944 / utvářet (v41nbtA)</v>
      </c>
      <c r="AA106" s="0" t="n">
        <v>0.03833</v>
      </c>
      <c r="AB106" s="5" t="s">
        <v>30</v>
      </c>
      <c r="AE106" s="0" t="str">
        <f aca="false">HYPERLINK("https://lindat.mff.cuni.cz/services/SynSemClass55/SynSemClass55.html?veclass=vec01788", "vec01788 / nastavit (v41dckD)")</f>
        <v>vec01788 / nastavit (v41dckD)</v>
      </c>
      <c r="AF106" s="0" t="n">
        <v>0.02948</v>
      </c>
      <c r="AG106" s="5" t="s">
        <v>34</v>
      </c>
    </row>
    <row r="108" customFormat="false" ht="12.75" hidden="false" customHeight="false" outlineLevel="0" collapsed="false">
      <c r="A108" s="0" t="str">
        <f aca="false">HYPERLINK("https://lindat.mff.cuni.cz/services/PDT-Vallex4.5/PDT-Vallex4.5.html?verb=nachmelit se", "nachmelit se")</f>
        <v>nachmelit se</v>
      </c>
      <c r="B108" s="0" t="str">
        <f aca="false">HYPERLINK("https://lindat.mff.cuni.cz/services/PDT-Vallex4.5/PDT-Vallex4.5.html?verb=nachmelit se#v41cqqA", "v41cqqA")</f>
        <v>v41cqqA</v>
      </c>
      <c r="E108" s="0" t="n">
        <v>1</v>
      </c>
      <c r="F108" s="0" t="n">
        <v>0.10714</v>
      </c>
      <c r="G108" s="1" t="n">
        <v>0</v>
      </c>
      <c r="I108" s="1" t="s">
        <v>64</v>
      </c>
      <c r="K108" s="0" t="str">
        <f aca="false">HYPERLINK("https://lindat.mff.cuni.cz/services/SynSemClass55/SynSemClass55.html?veclass=vec01219", "vec01219 / klouzat (v41bmaA)")</f>
        <v>vec01219 / klouzat (v41bmaA)</v>
      </c>
      <c r="L108" s="0" t="n">
        <v>0.10714</v>
      </c>
      <c r="M108" s="5" t="s">
        <v>30</v>
      </c>
      <c r="P108" s="0" t="str">
        <f aca="false">HYPERLINK("https://lindat.mff.cuni.cz/services/SynSemClass55/SynSemClass55.html?veclass=vec01813", "vec01813 / otipovat (v41fdhA)")</f>
        <v>vec01813 / otipovat (v41fdhA)</v>
      </c>
      <c r="Q108" s="0" t="n">
        <v>0.10311</v>
      </c>
      <c r="R108" s="5" t="s">
        <v>30</v>
      </c>
      <c r="U108" s="0" t="str">
        <f aca="false">HYPERLINK("https://lindat.mff.cuni.cz/services/SynSemClass55/SynSemClass55.html?veclass=vec01043", "vec01043 / mračit se (v41cjoA)")</f>
        <v>vec01043 / mračit se (v41cjoA)</v>
      </c>
      <c r="V108" s="0" t="n">
        <v>0.07836</v>
      </c>
      <c r="W108" s="5" t="s">
        <v>30</v>
      </c>
      <c r="Z108" s="0" t="str">
        <f aca="false">HYPERLINK("https://lindat.mff.cuni.cz/services/SynSemClass55/SynSemClass55.html?veclass=vec01301", "vec01301 / přitvrdit (v41javA)")</f>
        <v>vec01301 / přitvrdit (v41javA)</v>
      </c>
      <c r="AA108" s="0" t="n">
        <v>0.06206</v>
      </c>
      <c r="AB108" s="5" t="s">
        <v>30</v>
      </c>
      <c r="AE108" s="0" t="str">
        <f aca="false">HYPERLINK("https://lindat.mff.cuni.cz/services/SynSemClass55/SynSemClass55.html?veclass=vec01584", "vec01584 / oholit (v41eplB)")</f>
        <v>vec01584 / oholit (v41eplB)</v>
      </c>
      <c r="AF108" s="0" t="n">
        <v>0.06189</v>
      </c>
      <c r="AG108" s="5" t="s">
        <v>30</v>
      </c>
    </row>
    <row r="110" customFormat="false" ht="12.75" hidden="false" customHeight="false" outlineLevel="0" collapsed="false">
      <c r="A110" s="0" t="str">
        <f aca="false">HYPERLINK("https://lindat.mff.cuni.cz/services/PDT-Vallex4.5/PDT-Vallex4.5.html?verb=nalíčit", "nalíčit")</f>
        <v>nalíčit</v>
      </c>
      <c r="B110" s="0" t="str">
        <f aca="false">HYPERLINK("https://lindat.mff.cuni.cz/services/PDT-Vallex4.5/PDT-Vallex4.5.html?verb=nalíčit#v41cuaA", "v41cuaA")</f>
        <v>v41cuaA</v>
      </c>
      <c r="E110" s="0" t="n">
        <v>111</v>
      </c>
      <c r="F110" s="0" t="n">
        <v>0.08958</v>
      </c>
      <c r="G110" s="1" t="s">
        <v>51</v>
      </c>
      <c r="K110" s="0" t="str">
        <f aca="false">HYPERLINK("https://lindat.mff.cuni.cz/services/SynSemClass55/SynSemClass55.html?veclass=vec00684", "vec00684 / pročesávat (v41hbdA)")</f>
        <v>vec00684 / pročesávat (v41hbdA)</v>
      </c>
      <c r="L110" s="0" t="n">
        <v>0.08958</v>
      </c>
      <c r="M110" s="5" t="s">
        <v>30</v>
      </c>
      <c r="P110" s="0" t="str">
        <f aca="false">HYPERLINK("https://lindat.mff.cuni.cz/services/SynSemClass55/SynSemClass55.html?veclass=vec00638", "vec00638 / namalovat (v41cutB)")</f>
        <v>vec00638 / namalovat (v41cutB)</v>
      </c>
      <c r="Q110" s="0" t="n">
        <v>0.08816</v>
      </c>
      <c r="R110" s="5" t="s">
        <v>30</v>
      </c>
      <c r="U110" s="0" t="str">
        <f aca="false">HYPERLINK("https://lindat.mff.cuni.cz/services/SynSemClass55/SynSemClass55.html?veclass=vec01584", "vec01584 / oholit (v41eplB)")</f>
        <v>vec01584 / oholit (v41eplB)</v>
      </c>
      <c r="V110" s="0" t="n">
        <v>0.05301</v>
      </c>
      <c r="W110" s="5" t="s">
        <v>30</v>
      </c>
      <c r="Z110" s="0" t="str">
        <f aca="false">HYPERLINK("https://lindat.mff.cuni.cz/services/SynSemClass55/SynSemClass55.html?veclass=vec01250", "vec01250 / opracovávat (v41ewzA)")</f>
        <v>vec01250 / opracovávat (v41ewzA)</v>
      </c>
      <c r="AA110" s="0" t="n">
        <v>0.04182</v>
      </c>
      <c r="AB110" s="5" t="s">
        <v>30</v>
      </c>
      <c r="AE110" s="0" t="str">
        <f aca="false">HYPERLINK("https://lindat.mff.cuni.cz/services/SynSemClass55/SynSemClass55.html?veclass=vec00899", "vec00899 / připevnit (v41ivdA)")</f>
        <v>vec00899 / připevnit (v41ivdA)</v>
      </c>
      <c r="AF110" s="0" t="n">
        <v>0.03589</v>
      </c>
      <c r="AG110" s="5" t="s">
        <v>30</v>
      </c>
    </row>
    <row r="112" customFormat="false" ht="12.75" hidden="false" customHeight="false" outlineLevel="0" collapsed="false">
      <c r="A112" s="0" t="str">
        <f aca="false">HYPERLINK("https://lindat.mff.cuni.cz/services/PDT-Vallex4.5/PDT-Vallex4.5.html?verb=nařizovat", "nařizovat")</f>
        <v>nařizovat</v>
      </c>
      <c r="B112" s="0" t="str">
        <f aca="false">HYPERLINK("https://lindat.mff.cuni.cz/services/PDT-Vallex4.5/PDT-Vallex4.5.html?verb=nařizovat#v41daiB", "v41daiB")</f>
        <v>v41daiB</v>
      </c>
      <c r="E112" s="0" t="n">
        <v>310</v>
      </c>
      <c r="F112" s="0" t="n">
        <v>0.78763</v>
      </c>
      <c r="G112" s="1" t="s">
        <v>65</v>
      </c>
      <c r="K112" s="0" t="str">
        <f aca="false">HYPERLINK("https://lindat.mff.cuni.cz/services/SynSemClass55/SynSemClass55.html?veclass=vec01013", "vec01013 / diktovat (v41tyB)")</f>
        <v>vec01013 / diktovat (v41tyB)</v>
      </c>
      <c r="L112" s="0" t="n">
        <v>0.78763</v>
      </c>
      <c r="M112" s="5" t="s">
        <v>30</v>
      </c>
      <c r="P112" s="0" t="str">
        <f aca="false">HYPERLINK("https://lindat.mff.cuni.cz/services/SynSemClass55/SynSemClass55.html?veclass=vec01407", "vec01407 / nakládat (v41crzA)")</f>
        <v>vec01407 / nakládat (v41crzA)</v>
      </c>
      <c r="Q112" s="0" t="n">
        <v>0.03098</v>
      </c>
      <c r="R112" s="5" t="s">
        <v>30</v>
      </c>
      <c r="U112" s="0" t="str">
        <f aca="false">HYPERLINK("https://lindat.mff.cuni.cz/services/SynSemClass55/SynSemClass55.html?veclass=vec00571", "vec00571 / zadat (v41prmA)")</f>
        <v>vec00571 / zadat (v41prmA)</v>
      </c>
      <c r="V112" s="0" t="n">
        <v>0.02486</v>
      </c>
      <c r="W112" s="5" t="s">
        <v>30</v>
      </c>
      <c r="Z112" s="0" t="str">
        <f aca="false">HYPERLINK("https://lindat.mff.cuni.cz/services/SynSemClass55/SynSemClass55.html?veclass=vec00302", "vec00302 / řídit (v41kegA)")</f>
        <v>vec00302 / řídit (v41kegA)</v>
      </c>
      <c r="AA112" s="0" t="n">
        <v>0.0203</v>
      </c>
      <c r="AB112" s="5" t="s">
        <v>30</v>
      </c>
      <c r="AE112" s="0" t="str">
        <f aca="false">HYPERLINK("https://lindat.mff.cuni.cz/services/SynSemClass55/SynSemClass55.html?veclass=vec00827", "vec00827 / instruovat (v41bfuA)")</f>
        <v>vec00827 / instruovat (v41bfuA)</v>
      </c>
      <c r="AF112" s="0" t="n">
        <v>0.01552</v>
      </c>
      <c r="AG112" s="5" t="s">
        <v>30</v>
      </c>
    </row>
    <row r="114" customFormat="false" ht="12.75" hidden="false" customHeight="false" outlineLevel="0" collapsed="false">
      <c r="A114" s="0" t="str">
        <f aca="false">HYPERLINK("https://lindat.mff.cuni.cz/services/PDT-Vallex4.5/PDT-Vallex4.5.html?verb=natěsnat se", "natěsnat se")</f>
        <v>natěsnat se</v>
      </c>
      <c r="B114" s="0" t="str">
        <f aca="false">HYPERLINK("https://lindat.mff.cuni.cz/services/PDT-Vallex4.5/PDT-Vallex4.5.html?verb=natěsnat se#v41deqB", "v41deqB")</f>
        <v>v41deqB</v>
      </c>
      <c r="E114" s="0" t="n">
        <v>21</v>
      </c>
      <c r="F114" s="0" t="n">
        <v>0.37621</v>
      </c>
      <c r="G114" s="1" t="s">
        <v>31</v>
      </c>
      <c r="K114" s="0" t="str">
        <f aca="false">HYPERLINK("https://lindat.mff.cuni.cz/services/SynSemClass55/SynSemClass55.html?veclass=vec00833", "vec00833 / mačkat se (v41cdaA)")</f>
        <v>vec00833 / mačkat se (v41cdaA)</v>
      </c>
      <c r="L114" s="0" t="n">
        <v>0.37621</v>
      </c>
      <c r="M114" s="5" t="s">
        <v>33</v>
      </c>
      <c r="P114" s="0" t="str">
        <f aca="false">HYPERLINK("https://lindat.mff.cuni.cz/services/SynSemClass55/SynSemClass55.html?veclass=vec00899", "vec00899 / připevnit (v41ivdA)")</f>
        <v>vec00899 / připevnit (v41ivdA)</v>
      </c>
      <c r="Q114" s="0" t="n">
        <v>0.24609</v>
      </c>
      <c r="R114" s="5" t="s">
        <v>30</v>
      </c>
      <c r="U114" s="0" t="str">
        <f aca="false">HYPERLINK("https://lindat.mff.cuni.cz/services/SynSemClass55/SynSemClass55.html?veclass=vec00735", "vec00735 / umístit (v41motA)")</f>
        <v>vec00735 / umístit (v41motA)</v>
      </c>
      <c r="V114" s="0" t="n">
        <v>0.06383</v>
      </c>
      <c r="W114" s="5" t="s">
        <v>30</v>
      </c>
      <c r="Z114" s="0" t="str">
        <f aca="false">HYPERLINK("https://lindat.mff.cuni.cz/services/SynSemClass55/SynSemClass55.html?veclass=vec00841", "vec00841 / nacpat (v41cmpB)")</f>
        <v>vec00841 / nacpat (v41cmpB)</v>
      </c>
      <c r="AA114" s="0" t="n">
        <v>0.05343</v>
      </c>
      <c r="AB114" s="5" t="s">
        <v>30</v>
      </c>
      <c r="AE114" s="0" t="str">
        <f aca="false">HYPERLINK("https://lindat.mff.cuni.cz/services/SynSemClass55/SynSemClass55.html?veclass=vec00603", "vec00603 / balit (v41dsA)")</f>
        <v>vec00603 / balit (v41dsA)</v>
      </c>
      <c r="AF114" s="0" t="n">
        <v>0.02677</v>
      </c>
      <c r="AG114" s="5" t="s">
        <v>30</v>
      </c>
    </row>
    <row r="116" customFormat="false" ht="12.75" hidden="false" customHeight="false" outlineLevel="0" collapsed="false">
      <c r="A116" s="0" t="str">
        <f aca="false">HYPERLINK("https://lindat.mff.cuni.cz/services/PDT-Vallex4.5/PDT-Vallex4.5.html?verb=navádět", "navádět")</f>
        <v>navádět</v>
      </c>
      <c r="B116" s="0" t="str">
        <f aca="false">HYPERLINK("https://lindat.mff.cuni.cz/services/PDT-Vallex4.5/PDT-Vallex4.5.html?verb=navádět#v41dfmA", "v41dfmA")</f>
        <v>v41dfmA</v>
      </c>
      <c r="E116" s="0" t="n">
        <v>138</v>
      </c>
      <c r="F116" s="0" t="n">
        <v>0.37084</v>
      </c>
      <c r="G116" s="1" t="n">
        <v>0</v>
      </c>
      <c r="I116" s="1" t="s">
        <v>66</v>
      </c>
      <c r="K116" s="0" t="str">
        <f aca="false">HYPERLINK("https://lindat.mff.cuni.cz/services/SynSemClass55/SynSemClass55.html?veclass=vec01646", "vec01646 / nabádat (v41ckzA)")</f>
        <v>vec01646 / nabádat (v41ckzA)</v>
      </c>
      <c r="L116" s="0" t="n">
        <v>0.37084</v>
      </c>
      <c r="M116" s="5" t="s">
        <v>30</v>
      </c>
      <c r="P116" s="0" t="str">
        <f aca="false">HYPERLINK("https://lindat.mff.cuni.cz/services/SynSemClass55/SynSemClass55.html?veclass=vec00098", "vec00098 / přimět (v41iubA)")</f>
        <v>vec00098 / přimět (v41iubA)</v>
      </c>
      <c r="Q116" s="0" t="n">
        <v>0.09884</v>
      </c>
      <c r="R116" s="5" t="s">
        <v>30</v>
      </c>
      <c r="U116" s="0" t="str">
        <f aca="false">HYPERLINK("https://lindat.mff.cuni.cz/services/SynSemClass55/SynSemClass55.html?veclass=vec00080", "vec00080 / povzbudit (v41gvfA)")</f>
        <v>vec00080 / povzbudit (v41gvfA)</v>
      </c>
      <c r="V116" s="0" t="n">
        <v>0.07787</v>
      </c>
      <c r="W116" s="5" t="s">
        <v>30</v>
      </c>
      <c r="Z116" s="0" t="str">
        <f aca="false">HYPERLINK("https://lindat.mff.cuni.cz/services/SynSemClass55/SynSemClass55.html?veclass=vec00812", "vec00812 / dovést (v41aikC)")</f>
        <v>vec00812 / dovést (v41aikC)</v>
      </c>
      <c r="AA116" s="0" t="n">
        <v>0.06372</v>
      </c>
      <c r="AB116" s="5" t="s">
        <v>30</v>
      </c>
      <c r="AE116" s="0" t="str">
        <f aca="false">HYPERLINK("https://lindat.mff.cuni.cz/services/SynSemClass55/SynSemClass55.html?veclass=vec01015", "vec01015 / dohánět (v41xrA)")</f>
        <v>vec01015 / dohánět (v41xrA)</v>
      </c>
      <c r="AF116" s="0" t="n">
        <v>0.06056</v>
      </c>
      <c r="AG116" s="5" t="s">
        <v>30</v>
      </c>
    </row>
    <row r="118" customFormat="false" ht="12.75" hidden="false" customHeight="false" outlineLevel="0" collapsed="false">
      <c r="A118" s="0" t="str">
        <f aca="false">HYPERLINK("https://lindat.mff.cuni.cz/services/PDT-Vallex4.5/PDT-Vallex4.5.html?verb=nažrat", "nažrat")</f>
        <v>nažrat</v>
      </c>
      <c r="B118" s="0" t="str">
        <f aca="false">HYPERLINK("https://lindat.mff.cuni.cz/services/PDT-Vallex4.5/PDT-Vallex4.5.html?verb=nažrat#v41dioA", "v41dioA")</f>
        <v>v41dioA</v>
      </c>
      <c r="E118" s="0" t="n">
        <v>103</v>
      </c>
      <c r="F118" s="0" t="n">
        <v>0.87751</v>
      </c>
      <c r="G118" s="1" t="s">
        <v>67</v>
      </c>
      <c r="K118" s="0" t="str">
        <f aca="false">HYPERLINK("https://lindat.mff.cuni.cz/services/SynSemClass55/SynSemClass55.html?veclass=vec00828", "vec00828 / jíst (v41bifB)")</f>
        <v>vec00828 / jíst (v41bifB)</v>
      </c>
      <c r="L118" s="0" t="n">
        <v>0.87751</v>
      </c>
      <c r="M118" s="5" t="s">
        <v>30</v>
      </c>
      <c r="P118" s="0" t="str">
        <f aca="false">HYPERLINK("https://lindat.mff.cuni.cz/services/SynSemClass55/SynSemClass55.html?veclass=vec01514", "vec01514 / předávkovat (v41hvjA)")</f>
        <v>vec01514 / předávkovat (v41hvjA)</v>
      </c>
      <c r="Q118" s="0" t="n">
        <v>0.05734</v>
      </c>
      <c r="R118" s="5" t="s">
        <v>30</v>
      </c>
      <c r="U118" s="0" t="str">
        <f aca="false">HYPERLINK("https://lindat.mff.cuni.cz/services/SynSemClass55/SynSemClass55.html?veclass=vec00624", "vec00624 / krmit (v41bvfA)")</f>
        <v>vec00624 / krmit (v41bvfA)</v>
      </c>
      <c r="V118" s="0" t="n">
        <v>0.02206</v>
      </c>
      <c r="W118" s="5" t="s">
        <v>30</v>
      </c>
      <c r="Z118" s="0" t="str">
        <f aca="false">HYPERLINK("https://lindat.mff.cuni.cz/services/SynSemClass55/SynSemClass55.html?veclass=vec00785", "vec00785 / zhoršit (v41rcrA)")</f>
        <v>vec00785 / zhoršit (v41rcrA)</v>
      </c>
      <c r="AA118" s="0" t="n">
        <v>0.01676</v>
      </c>
      <c r="AB118" s="5" t="s">
        <v>30</v>
      </c>
      <c r="AE118" s="0" t="str">
        <f aca="false">HYPERLINK("https://lindat.mff.cuni.cz/services/SynSemClass55/SynSemClass55.html?veclass=vec01491", "vec01491 / fasovat (v41appA)")</f>
        <v>vec01491 / fasovat (v41appA)</v>
      </c>
      <c r="AF118" s="0" t="n">
        <v>0.01456</v>
      </c>
      <c r="AG118" s="5" t="s">
        <v>30</v>
      </c>
    </row>
    <row r="120" customFormat="false" ht="12.75" hidden="false" customHeight="false" outlineLevel="0" collapsed="false">
      <c r="A120" s="0" t="str">
        <f aca="false">HYPERLINK("https://lindat.mff.cuni.cz/services/PDT-Vallex4.5/PDT-Vallex4.5.html?verb=nechat si", "nechat si")</f>
        <v>nechat si</v>
      </c>
      <c r="B120" s="0" t="str">
        <f aca="false">HYPERLINK("https://lindat.mff.cuni.cz/services/PDT-Vallex4.5/PDT-Vallex4.5.html?verb=nechat si#v41djdA", "v41djdA")</f>
        <v>v41djdA</v>
      </c>
      <c r="E120" s="0" t="n">
        <v>5000</v>
      </c>
      <c r="F120" s="0" t="n">
        <v>0.39972</v>
      </c>
      <c r="G120" s="1" t="s">
        <v>68</v>
      </c>
      <c r="K120" s="0" t="str">
        <f aca="false">HYPERLINK("https://lindat.mff.cuni.cz/services/SynSemClass55/SynSemClass55.html?veclass=vec01206", "vec01206 / dát (v41plY)")</f>
        <v>vec01206 / dát (v41plY)</v>
      </c>
      <c r="L120" s="0" t="n">
        <v>0.39972</v>
      </c>
      <c r="M120" s="5" t="s">
        <v>30</v>
      </c>
      <c r="P120" s="0" t="str">
        <f aca="false">HYPERLINK("https://lindat.mff.cuni.cz/services/SynSemClass55/SynSemClass55.html?veclass=vec00575", "vec00575 / zanechat (v41qdeC)")</f>
        <v>vec00575 / zanechat (v41qdeC)</v>
      </c>
      <c r="Q120" s="0" t="n">
        <v>0.19423</v>
      </c>
      <c r="R120" s="5" t="s">
        <v>30</v>
      </c>
      <c r="U120" s="0" t="str">
        <f aca="false">HYPERLINK("https://lindat.mff.cuni.cz/services/SynSemClass55/SynSemClass55.html?veclass=vec00012", "vec00012 / dovolit (v41aiqA)")</f>
        <v>vec00012 / dovolit (v41aiqA)</v>
      </c>
      <c r="V120" s="0" t="n">
        <v>0.19056</v>
      </c>
      <c r="W120" s="5" t="s">
        <v>30</v>
      </c>
      <c r="Z120" s="0" t="str">
        <f aca="false">HYPERLINK("https://lindat.mff.cuni.cz/services/SynSemClass55/SynSemClass55.html?veclass=vec00072", "vec00072 / ponechat (v41gfhC)")</f>
        <v>vec00072 / ponechat (v41gfhC)</v>
      </c>
      <c r="AA120" s="0" t="n">
        <v>0.05177</v>
      </c>
      <c r="AB120" s="5" t="s">
        <v>30</v>
      </c>
      <c r="AE120" s="0" t="str">
        <f aca="false">HYPERLINK("https://lindat.mff.cuni.cz/services/SynSemClass55/SynSemClass55.html?veclass=vec01639", "vec01639 / dopustit (v41aedA)")</f>
        <v>vec01639 / dopustit (v41aedA)</v>
      </c>
      <c r="AF120" s="0" t="n">
        <v>0.02242</v>
      </c>
      <c r="AG120" s="5" t="s">
        <v>30</v>
      </c>
    </row>
    <row r="122" customFormat="false" ht="12.75" hidden="false" customHeight="false" outlineLevel="0" collapsed="false">
      <c r="A122" s="0" t="str">
        <f aca="false">HYPERLINK("https://lindat.mff.cuni.cz/services/PDT-Vallex4.5/PDT-Vallex4.5.html?verb=nutit", "nutit")</f>
        <v>nutit</v>
      </c>
      <c r="B122" s="0" t="str">
        <f aca="false">HYPERLINK("https://lindat.mff.cuni.cz/services/PDT-Vallex4.5/PDT-Vallex4.5.html?verb=nutit#v41dmgA", "v41dmgA")</f>
        <v>v41dmgA</v>
      </c>
      <c r="E122" s="0" t="n">
        <v>2915</v>
      </c>
      <c r="F122" s="0" t="n">
        <v>0.58836</v>
      </c>
      <c r="G122" s="1" t="s">
        <v>31</v>
      </c>
      <c r="K122" s="0" t="str">
        <f aca="false">HYPERLINK("https://lindat.mff.cuni.cz/services/SynSemClass55/SynSemClass55.html?veclass=vec00098", "vec00098 / přimět (v41iubA)")</f>
        <v>vec00098 / přimět (v41iubA)</v>
      </c>
      <c r="L122" s="0" t="n">
        <v>0.58836</v>
      </c>
      <c r="M122" s="5" t="s">
        <v>30</v>
      </c>
      <c r="P122" s="0" t="str">
        <f aca="false">HYPERLINK("https://lindat.mff.cuni.cz/services/SynSemClass55/SynSemClass55.html?veclass=vec01013", "vec01013 / diktovat (v41tyB)")</f>
        <v>vec01013 / diktovat (v41tyB)</v>
      </c>
      <c r="Q122" s="0" t="n">
        <v>0.14544</v>
      </c>
      <c r="R122" s="5" t="s">
        <v>30</v>
      </c>
      <c r="U122" s="0" t="str">
        <f aca="false">HYPERLINK("https://lindat.mff.cuni.cz/services/SynSemClass55/SynSemClass55.html?veclass=vec00743", "vec00743 / vnutit (v41nokA)")</f>
        <v>vec00743 / vnutit (v41nokA)</v>
      </c>
      <c r="V122" s="0" t="n">
        <v>0.09762</v>
      </c>
      <c r="W122" s="5" t="s">
        <v>33</v>
      </c>
      <c r="Z122" s="0" t="str">
        <f aca="false">HYPERLINK("https://lindat.mff.cuni.cz/services/SynSemClass55/SynSemClass55.html?veclass=vec00272", "vec00272 / požadovat (v41gxnA)")</f>
        <v>vec00272 / požadovat (v41gxnA)</v>
      </c>
      <c r="AA122" s="0" t="n">
        <v>0.02797</v>
      </c>
      <c r="AB122" s="5" t="s">
        <v>30</v>
      </c>
      <c r="AE122" s="0" t="str">
        <f aca="false">HYPERLINK("https://lindat.mff.cuni.cz/services/SynSemClass55/SynSemClass55.html?veclass=vec01015", "vec01015 / dohánět (v41xrA)")</f>
        <v>vec01015 / dohánět (v41xrA)</v>
      </c>
      <c r="AF122" s="0" t="n">
        <v>0.02078</v>
      </c>
      <c r="AG122" s="5" t="s">
        <v>30</v>
      </c>
    </row>
    <row r="124" customFormat="false" ht="12.75" hidden="false" customHeight="false" outlineLevel="0" collapsed="false">
      <c r="A124" s="0" t="str">
        <f aca="false">HYPERLINK("https://lindat.mff.cuni.cz/services/PDT-Vallex4.5/PDT-Vallex4.5.html?verb=obíhat", "obíhat")</f>
        <v>obíhat</v>
      </c>
      <c r="B124" s="0" t="str">
        <f aca="false">HYPERLINK("https://lindat.mff.cuni.cz/services/PDT-Vallex4.5/PDT-Vallex4.5.html?verb=obíhat#v41dpdA", "v41dpdA")</f>
        <v>v41dpdA</v>
      </c>
      <c r="E124" s="0" t="n">
        <v>152</v>
      </c>
      <c r="F124" s="0" t="n">
        <v>0.10001</v>
      </c>
      <c r="G124" s="1" t="s">
        <v>31</v>
      </c>
      <c r="K124" s="0" t="str">
        <f aca="false">HYPERLINK("https://lindat.mff.cuni.cz/services/SynSemClass55/SynSemClass55.html?veclass=vec00831", "vec00831 / kroužit (v41bvnA)")</f>
        <v>vec00831 / kroužit (v41bvnA)</v>
      </c>
      <c r="L124" s="0" t="n">
        <v>0.10001</v>
      </c>
      <c r="M124" s="5" t="s">
        <v>34</v>
      </c>
      <c r="P124" s="0" t="str">
        <f aca="false">HYPERLINK("https://lindat.mff.cuni.cz/services/SynSemClass55/SynSemClass55.html?veclass=vec00922", "vec00922 / skotačit (v41kriA)")</f>
        <v>vec00922 / skotačit (v41kriA)</v>
      </c>
      <c r="Q124" s="0" t="n">
        <v>0.06172</v>
      </c>
      <c r="R124" s="5" t="s">
        <v>30</v>
      </c>
      <c r="U124" s="0" t="str">
        <f aca="false">HYPERLINK("https://lindat.mff.cuni.cz/services/SynSemClass55/SynSemClass55.html?veclass=vec00882", "vec00882 / projet (v41hfaE)")</f>
        <v>vec00882 / projet (v41hfaE)</v>
      </c>
      <c r="V124" s="0" t="n">
        <v>0.05914</v>
      </c>
      <c r="W124" s="5" t="s">
        <v>30</v>
      </c>
      <c r="Z124" s="0" t="str">
        <f aca="false">HYPERLINK("https://lindat.mff.cuni.cz/services/SynSemClass55/SynSemClass55.html?veclass=vec01567", "vec01567 / míjet (v41cggB)")</f>
        <v>vec01567 / míjet (v41cggB)</v>
      </c>
      <c r="AA124" s="0" t="n">
        <v>0.04588</v>
      </c>
      <c r="AB124" s="5" t="s">
        <v>30</v>
      </c>
      <c r="AE124" s="0" t="str">
        <f aca="false">HYPERLINK("https://lindat.mff.cuni.cz/services/SynSemClass55/SynSemClass55.html?veclass=vec01566", "vec01566 / míhat se (v41cgbA)")</f>
        <v>vec01566 / míhat se (v41cgbA)</v>
      </c>
      <c r="AF124" s="0" t="n">
        <v>0.0445</v>
      </c>
      <c r="AG124" s="5" t="s">
        <v>30</v>
      </c>
    </row>
    <row r="126" customFormat="false" ht="12.75" hidden="false" customHeight="false" outlineLevel="0" collapsed="false">
      <c r="A126" s="0" t="str">
        <f aca="false">HYPERLINK("https://lindat.mff.cuni.cz/services/PDT-Vallex4.5/PDT-Vallex4.5.html?verb=objednat", "objednat")</f>
        <v>objednat</v>
      </c>
      <c r="B126" s="0" t="str">
        <f aca="false">HYPERLINK("https://lindat.mff.cuni.cz/services/PDT-Vallex4.5/PDT-Vallex4.5.html?verb=objednat#v41dpjB", "v41dpjB")</f>
        <v>v41dpjB</v>
      </c>
      <c r="E126" s="0" t="n">
        <v>1847</v>
      </c>
      <c r="F126" s="0" t="n">
        <v>0.67653</v>
      </c>
      <c r="G126" s="1" t="n">
        <v>0</v>
      </c>
      <c r="I126" s="1" t="s">
        <v>46</v>
      </c>
      <c r="K126" s="0" t="str">
        <f aca="false">HYPERLINK("https://lindat.mff.cuni.cz/services/SynSemClass55/SynSemClass55.html?veclass=vec00451", "vec00451 / objednat (v41dpjA)")</f>
        <v>vec00451 / objednat (v41dpjA)</v>
      </c>
      <c r="L126" s="0" t="n">
        <v>0.67653</v>
      </c>
      <c r="M126" s="5" t="s">
        <v>30</v>
      </c>
      <c r="P126" s="0" t="str">
        <f aca="false">HYPERLINK("https://lindat.mff.cuni.cz/services/SynSemClass55/SynSemClass55.html?veclass=vec00178", "vec00178 / zajistit (v41pvyA)")</f>
        <v>vec00178 / zajistit (v41pvyA)</v>
      </c>
      <c r="Q126" s="0" t="n">
        <v>0.21149</v>
      </c>
      <c r="R126" s="5" t="s">
        <v>30</v>
      </c>
      <c r="U126" s="0" t="str">
        <f aca="false">HYPERLINK("https://lindat.mff.cuni.cz/services/SynSemClass55/SynSemClass55.html?veclass=vec00532", "vec00532 / účtovat si (v41mhjB)")</f>
        <v>vec00532 / účtovat si (v41mhjB)</v>
      </c>
      <c r="V126" s="0" t="n">
        <v>0.02245</v>
      </c>
      <c r="W126" s="5" t="s">
        <v>30</v>
      </c>
      <c r="Z126" s="0" t="str">
        <f aca="false">HYPERLINK("https://lindat.mff.cuni.cz/services/SynSemClass55/SynSemClass55.html?veclass=vec00778", "vec00778 / zaúčtovat (v41qrdA)")</f>
        <v>vec00778 / zaúčtovat (v41qrdA)</v>
      </c>
      <c r="AA126" s="0" t="n">
        <v>0.01685</v>
      </c>
      <c r="AB126" s="5" t="s">
        <v>30</v>
      </c>
      <c r="AE126" s="0" t="str">
        <f aca="false">HYPERLINK("https://lindat.mff.cuni.cz/services/SynSemClass55/SynSemClass55.html?veclass=vec01013", "vec01013 / diktovat (v41tyB)")</f>
        <v>vec01013 / diktovat (v41tyB)</v>
      </c>
      <c r="AF126" s="0" t="n">
        <v>0.01606</v>
      </c>
      <c r="AG126" s="5" t="s">
        <v>30</v>
      </c>
    </row>
    <row r="128" customFormat="false" ht="12.75" hidden="false" customHeight="false" outlineLevel="0" collapsed="false">
      <c r="A128" s="0" t="str">
        <f aca="false">HYPERLINK("https://lindat.mff.cuni.cz/services/PDT-Vallex4.5/PDT-Vallex4.5.html?verb=obnosit", "obnosit")</f>
        <v>obnosit</v>
      </c>
      <c r="B128" s="0" t="str">
        <f aca="false">HYPERLINK("https://lindat.mff.cuni.cz/services/PDT-Vallex4.5/PDT-Vallex4.5.html?verb=obnosit#v41drfA", "v41drfA")</f>
        <v>v41drfA</v>
      </c>
      <c r="E128" s="0" t="n">
        <v>8</v>
      </c>
      <c r="F128" s="0" t="n">
        <v>0.0796</v>
      </c>
      <c r="G128" s="1" t="n">
        <v>0</v>
      </c>
      <c r="I128" s="1" t="s">
        <v>69</v>
      </c>
      <c r="K128" s="0" t="str">
        <f aca="false">HYPERLINK("https://lindat.mff.cuni.cz/services/SynSemClass55/SynSemClass55.html?veclass=vec00011", "vec00011 / dovézt (v41ailB)")</f>
        <v>vec00011 / dovézt (v41ailB)</v>
      </c>
      <c r="L128" s="0" t="n">
        <v>0.0796</v>
      </c>
      <c r="M128" s="5" t="s">
        <v>30</v>
      </c>
      <c r="P128" s="0" t="str">
        <f aca="false">HYPERLINK("https://lindat.mff.cuni.cz/services/SynSemClass55/SynSemClass55.html?veclass=vec00380", "vec00380 / zbavit se (v41qvrA)")</f>
        <v>vec00380 / zbavit se (v41qvrA)</v>
      </c>
      <c r="Q128" s="0" t="n">
        <v>0.07578</v>
      </c>
      <c r="R128" s="5" t="s">
        <v>30</v>
      </c>
      <c r="U128" s="0" t="str">
        <f aca="false">HYPERLINK("https://lindat.mff.cuni.cz/services/SynSemClass55/SynSemClass55.html?veclass=vec00790", "vec00790 / zkazit se (v41rfkA)")</f>
        <v>vec00790 / zkazit se (v41rfkA)</v>
      </c>
      <c r="V128" s="0" t="n">
        <v>0.06022</v>
      </c>
      <c r="W128" s="5" t="s">
        <v>30</v>
      </c>
      <c r="Z128" s="0" t="str">
        <f aca="false">HYPERLINK("https://lindat.mff.cuni.cz/services/SynSemClass55/SynSemClass55.html?veclass=vec01517", "vec01517 / rozhořet se (v41jquA)")</f>
        <v>vec01517 / rozhořet se (v41jquA)</v>
      </c>
      <c r="AA128" s="0" t="n">
        <v>0.04733</v>
      </c>
      <c r="AB128" s="5" t="s">
        <v>30</v>
      </c>
      <c r="AE128" s="0" t="str">
        <f aca="false">HYPERLINK("https://lindat.mff.cuni.cz/services/SynSemClass55/SynSemClass55.html?veclass=vec01146", "vec01146 / vléci (v41nmzA)")</f>
        <v>vec01146 / vléci (v41nmzA)</v>
      </c>
      <c r="AF128" s="0" t="n">
        <v>0.04576</v>
      </c>
      <c r="AG128" s="5" t="s">
        <v>30</v>
      </c>
    </row>
    <row r="130" customFormat="false" ht="12.75" hidden="false" customHeight="false" outlineLevel="0" collapsed="false">
      <c r="A130" s="0" t="str">
        <f aca="false">HYPERLINK("https://lindat.mff.cuni.cz/services/PDT-Vallex4.5/PDT-Vallex4.5.html?verb=obrnit si", "obrnit si")</f>
        <v>obrnit si</v>
      </c>
      <c r="B130" s="0" t="str">
        <f aca="false">HYPERLINK("https://lindat.mff.cuni.cz/services/PDT-Vallex4.5/PDT-Vallex4.5.html?verb=obrnit si#v41dsjA", "v41dsjA")</f>
        <v>v41dsjA</v>
      </c>
      <c r="E130" s="0" t="n">
        <v>118</v>
      </c>
      <c r="F130" s="0" t="n">
        <v>0.09697</v>
      </c>
      <c r="G130" s="1" t="s">
        <v>70</v>
      </c>
      <c r="H130" s="1" t="s">
        <v>71</v>
      </c>
      <c r="K130" s="0" t="str">
        <f aca="false">HYPERLINK("https://lindat.mff.cuni.cz/services/SynSemClass55/SynSemClass55.html?veclass=vec01415", "vec01415 / odzbrojit (v41eobB)")</f>
        <v>vec01415 / odzbrojit (v41eobB)</v>
      </c>
      <c r="L130" s="0" t="n">
        <v>0.09697</v>
      </c>
      <c r="M130" s="5" t="s">
        <v>30</v>
      </c>
      <c r="P130" s="0" t="str">
        <f aca="false">HYPERLINK("https://lindat.mff.cuni.cz/services/SynSemClass55/SynSemClass55.html?veclass=vec00024", "vec00024 / chránit (v41bbwA)")</f>
        <v>vec00024 / chránit (v41bbwA)</v>
      </c>
      <c r="Q130" s="0" t="n">
        <v>0.06566</v>
      </c>
      <c r="R130" s="5" t="s">
        <v>30</v>
      </c>
      <c r="U130" s="0" t="str">
        <f aca="false">HYPERLINK("https://lindat.mff.cuni.cz/services/SynSemClass55/SynSemClass55.html?veclass=vec00752", "vec00752 / vybavit (v41ntgA)")</f>
        <v>vec00752 / vybavit (v41ntgA)</v>
      </c>
      <c r="V130" s="0" t="n">
        <v>0.0408</v>
      </c>
      <c r="W130" s="5" t="s">
        <v>30</v>
      </c>
      <c r="Z130" s="0" t="str">
        <f aca="false">HYPERLINK("https://lindat.mff.cuni.cz/services/SynSemClass55/SynSemClass55.html?veclass=vec00178", "vec00178 / zajistit (v41pvyA)")</f>
        <v>vec00178 / zajistit (v41pvyA)</v>
      </c>
      <c r="AA130" s="0" t="n">
        <v>0.02869</v>
      </c>
      <c r="AB130" s="5" t="s">
        <v>30</v>
      </c>
      <c r="AE130" s="0" t="str">
        <f aca="false">HYPERLINK("https://lindat.mff.cuni.cz/services/SynSemClass55/SynSemClass55.html?veclass=vec01500", "vec01500 / obouvat (v41drsA)")</f>
        <v>vec01500 / obouvat (v41drsA)</v>
      </c>
      <c r="AF130" s="0" t="n">
        <v>0.02848</v>
      </c>
      <c r="AG130" s="5" t="s">
        <v>30</v>
      </c>
    </row>
    <row r="132" customFormat="false" ht="12.75" hidden="false" customHeight="false" outlineLevel="0" collapsed="false">
      <c r="A132" s="0" t="str">
        <f aca="false">HYPERLINK("https://lindat.mff.cuni.cz/services/PDT-Vallex4.5/PDT-Vallex4.5.html?verb=obrůstat", "obrůstat")</f>
        <v>obrůstat</v>
      </c>
      <c r="B132" s="0" t="str">
        <f aca="false">HYPERLINK("https://lindat.mff.cuni.cz/services/PDT-Vallex4.5/PDT-Vallex4.5.html?verb=obrůstat#v41dspA", "v41dspA")</f>
        <v>v41dspA</v>
      </c>
      <c r="E132" s="0" t="n">
        <v>57</v>
      </c>
      <c r="F132" s="0" t="n">
        <v>0.08029</v>
      </c>
      <c r="G132" s="1" t="s">
        <v>31</v>
      </c>
      <c r="K132" s="0" t="str">
        <f aca="false">HYPERLINK("https://lindat.mff.cuni.cz/services/SynSemClass55/SynSemClass55.html?veclass=vec01968", "vec01968 / zarůstat (v41qivA)")</f>
        <v>vec01968 / zarůstat (v41qivA)</v>
      </c>
      <c r="L132" s="0" t="n">
        <v>0.08029</v>
      </c>
      <c r="M132" s="5" t="s">
        <v>33</v>
      </c>
      <c r="P132" s="0" t="str">
        <f aca="false">HYPERLINK("https://lindat.mff.cuni.cz/services/SynSemClass55/SynSemClass55.html?veclass=vec00660", "vec00660 / oplodnit (v41ewdA)")</f>
        <v>vec00660 / oplodnit (v41ewdA)</v>
      </c>
      <c r="Q132" s="0" t="n">
        <v>0.06016</v>
      </c>
      <c r="R132" s="5" t="s">
        <v>30</v>
      </c>
      <c r="U132" s="0" t="str">
        <f aca="false">HYPERLINK("https://lindat.mff.cuni.cz/services/SynSemClass55/SynSemClass55.html?veclass=vec00984", "vec00984 / zalidnit (v41pzvA)")</f>
        <v>vec00984 / zalidnit (v41pzvA)</v>
      </c>
      <c r="V132" s="0" t="n">
        <v>0.04373</v>
      </c>
      <c r="W132" s="5" t="s">
        <v>30</v>
      </c>
      <c r="Z132" s="0" t="str">
        <f aca="false">HYPERLINK("https://lindat.mff.cuni.cz/services/SynSemClass55/SynSemClass55.html?veclass=vec00836", "vec00836 / množit se (v41cicA)")</f>
        <v>vec00836 / množit se (v41cicA)</v>
      </c>
      <c r="AA132" s="0" t="n">
        <v>0.03574</v>
      </c>
      <c r="AB132" s="5" t="s">
        <v>30</v>
      </c>
      <c r="AE132" s="0" t="str">
        <f aca="false">HYPERLINK("https://lindat.mff.cuni.cz/services/SynSemClass55/SynSemClass55.html?veclass=vec00872", "vec00872 / pokrýt (v41gbrC)")</f>
        <v>vec00872 / pokrýt (v41gbrC)</v>
      </c>
      <c r="AF132" s="0" t="n">
        <v>0.03428</v>
      </c>
      <c r="AG132" s="5" t="s">
        <v>32</v>
      </c>
    </row>
    <row r="134" customFormat="false" ht="12.75" hidden="false" customHeight="false" outlineLevel="0" collapsed="false">
      <c r="A134" s="0" t="str">
        <f aca="false">HYPERLINK("https://lindat.mff.cuni.cz/services/PDT-Vallex4.5/PDT-Vallex4.5.html?verb=obstarávat", "obstarávat")</f>
        <v>obstarávat</v>
      </c>
      <c r="B134" s="0" t="str">
        <f aca="false">HYPERLINK("https://lindat.mff.cuni.cz/services/PDT-Vallex4.5/PDT-Vallex4.5.html?verb=obstarávat#v41dthA", "v41dthA")</f>
        <v>v41dthA</v>
      </c>
      <c r="E134" s="0" t="n">
        <v>186</v>
      </c>
      <c r="F134" s="0" t="n">
        <v>0.88607</v>
      </c>
      <c r="G134" s="1" t="s">
        <v>72</v>
      </c>
      <c r="K134" s="0" t="str">
        <f aca="false">HYPERLINK("https://lindat.mff.cuni.cz/services/SynSemClass55/SynSemClass55.html?veclass=vec00178", "vec00178 / zajistit (v41pvyA)")</f>
        <v>vec00178 / zajistit (v41pvyA)</v>
      </c>
      <c r="L134" s="0" t="n">
        <v>0.88607</v>
      </c>
      <c r="M134" s="5" t="s">
        <v>30</v>
      </c>
      <c r="P134" s="0" t="str">
        <f aca="false">HYPERLINK("https://lindat.mff.cuni.cz/services/SynSemClass55/SynSemClass55.html?veclass=vec00752", "vec00752 / vybavit (v41ntgA)")</f>
        <v>vec00752 / vybavit (v41ntgA)</v>
      </c>
      <c r="Q134" s="0" t="n">
        <v>0.11122</v>
      </c>
      <c r="R134" s="5" t="s">
        <v>30</v>
      </c>
      <c r="U134" s="0" t="str">
        <f aca="false">HYPERLINK("https://lindat.mff.cuni.cz/services/SynSemClass55/SynSemClass55.html?veclass=vec00024", "vec00024 / chránit (v41bbwA)")</f>
        <v>vec00024 / chránit (v41bbwA)</v>
      </c>
      <c r="V134" s="0" t="n">
        <v>0.01673</v>
      </c>
      <c r="W134" s="5" t="s">
        <v>30</v>
      </c>
      <c r="Z134" s="0" t="str">
        <f aca="false">HYPERLINK("https://lindat.mff.cuni.cz/services/SynSemClass55/SynSemClass55.html?veclass=vec00272", "vec00272 / požadovat (v41gxnA)")</f>
        <v>vec00272 / požadovat (v41gxnA)</v>
      </c>
      <c r="AA134" s="0" t="n">
        <v>0.01513</v>
      </c>
      <c r="AB134" s="5" t="s">
        <v>30</v>
      </c>
      <c r="AE134" s="0" t="str">
        <f aca="false">HYPERLINK("https://lindat.mff.cuni.cz/services/SynSemClass55/SynSemClass55.html?veclass=vec00735", "vec00735 / umístit (v41motA)")</f>
        <v>vec00735 / umístit (v41motA)</v>
      </c>
      <c r="AF134" s="0" t="n">
        <v>0.01507</v>
      </c>
      <c r="AG134" s="5" t="s">
        <v>30</v>
      </c>
    </row>
    <row r="136" customFormat="false" ht="12.75" hidden="false" customHeight="false" outlineLevel="0" collapsed="false">
      <c r="A136" s="0" t="str">
        <f aca="false">HYPERLINK("https://lindat.mff.cuni.cz/services/PDT-Vallex4.5/PDT-Vallex4.5.html?verb=očarovávat", "očarovávat")</f>
        <v>očarovávat</v>
      </c>
      <c r="B136" s="0" t="str">
        <f aca="false">HYPERLINK("https://lindat.mff.cuni.cz/services/PDT-Vallex4.5/PDT-Vallex4.5.html?verb=očarovávat#v41dvaA", "v41dvaA")</f>
        <v>v41dvaA</v>
      </c>
      <c r="E136" s="0" t="n">
        <v>8</v>
      </c>
      <c r="F136" s="0" t="n">
        <v>0.7607</v>
      </c>
      <c r="G136" s="1" t="s">
        <v>31</v>
      </c>
      <c r="K136" s="0" t="str">
        <f aca="false">HYPERLINK("https://lindat.mff.cuni.cz/services/SynSemClass55/SynSemClass55.html?veclass=vec00609", "vec00609 / fascinovat (v41apoA)")</f>
        <v>vec00609 / fascinovat (v41apoA)</v>
      </c>
      <c r="L136" s="0" t="n">
        <v>0.7607</v>
      </c>
      <c r="M136" s="5" t="s">
        <v>30</v>
      </c>
      <c r="P136" s="0" t="str">
        <f aca="false">HYPERLINK("https://lindat.mff.cuni.cz/services/SynSemClass55/SynSemClass55.html?veclass=vec00188", "vec00188 / získat (v41reiD)")</f>
        <v>vec00188 / získat (v41reiD)</v>
      </c>
      <c r="Q136" s="0" t="n">
        <v>0.06724</v>
      </c>
      <c r="R136" s="5" t="s">
        <v>30</v>
      </c>
      <c r="U136" s="0" t="str">
        <f aca="false">HYPERLINK("https://lindat.mff.cuni.cz/services/SynSemClass55/SynSemClass55.html?veclass=vec00860", "vec00860 / ošálit (v41fbsA)")</f>
        <v>vec00860 / ošálit (v41fbsA)</v>
      </c>
      <c r="V136" s="0" t="n">
        <v>0.03196</v>
      </c>
      <c r="W136" s="5" t="s">
        <v>33</v>
      </c>
      <c r="Z136" s="0" t="str">
        <f aca="false">HYPERLINK("https://lindat.mff.cuni.cz/services/SynSemClass55/SynSemClass55.html?veclass=vec00773", "vec00773 / zapůsobit (v41qhzA)")</f>
        <v>vec00773 / zapůsobit (v41qhzA)</v>
      </c>
      <c r="AA136" s="0" t="n">
        <v>0.01453</v>
      </c>
      <c r="AB136" s="5" t="s">
        <v>30</v>
      </c>
      <c r="AE136" s="0" t="str">
        <f aca="false">HYPERLINK("https://lindat.mff.cuni.cz/services/SynSemClass55/SynSemClass55.html?veclass=vec00671", "vec00671 / podvést (v41fwbB)")</f>
        <v>vec00671 / podvést (v41fwbB)</v>
      </c>
      <c r="AF136" s="0" t="n">
        <v>0.01414</v>
      </c>
      <c r="AG136" s="5" t="s">
        <v>34</v>
      </c>
    </row>
    <row r="138" customFormat="false" ht="12.75" hidden="false" customHeight="false" outlineLevel="0" collapsed="false">
      <c r="A138" s="0" t="str">
        <f aca="false">HYPERLINK("https://lindat.mff.cuni.cz/services/PDT-Vallex4.5/PDT-Vallex4.5.html?verb=odcizit", "odcizit")</f>
        <v>odcizit</v>
      </c>
      <c r="B138" s="0" t="str">
        <f aca="false">HYPERLINK("https://lindat.mff.cuni.cz/services/PDT-Vallex4.5/PDT-Vallex4.5.html?verb=odcizit#v41dwrB", "v41dwrB")</f>
        <v>v41dwrB</v>
      </c>
      <c r="E138" s="0" t="n">
        <v>157</v>
      </c>
      <c r="F138" s="0" t="n">
        <v>0.15074</v>
      </c>
      <c r="G138" s="1" t="n">
        <v>0</v>
      </c>
      <c r="I138" s="1" t="s">
        <v>73</v>
      </c>
      <c r="K138" s="0" t="str">
        <f aca="false">HYPERLINK("https://lindat.mff.cuni.cz/services/SynSemClass55/SynSemClass55.html?veclass=vec00047", "vec00047 / oddělit (v41dxvA)")</f>
        <v>vec00047 / oddělit (v41dxvA)</v>
      </c>
      <c r="L138" s="0" t="n">
        <v>0.15074</v>
      </c>
      <c r="M138" s="5" t="s">
        <v>30</v>
      </c>
      <c r="P138" s="0" t="str">
        <f aca="false">HYPERLINK("https://lindat.mff.cuni.cz/services/SynSemClass55/SynSemClass55.html?veclass=vec00905", "vec00905 / rozejít se (v41joqA)")</f>
        <v>vec00905 / rozejít se (v41joqA)</v>
      </c>
      <c r="Q138" s="0" t="n">
        <v>0.08975</v>
      </c>
      <c r="R138" s="5" t="s">
        <v>30</v>
      </c>
      <c r="U138" s="0" t="str">
        <f aca="false">HYPERLINK("https://lindat.mff.cuni.cz/services/SynSemClass55/SynSemClass55.html?veclass=vec01538", "vec01538 / vyloupnout (v41ojcA)")</f>
        <v>vec01538 / vyloupnout (v41ojcA)</v>
      </c>
      <c r="V138" s="0" t="n">
        <v>0.07006</v>
      </c>
      <c r="W138" s="5" t="s">
        <v>30</v>
      </c>
      <c r="Z138" s="0" t="str">
        <f aca="false">HYPERLINK("https://lindat.mff.cuni.cz/services/SynSemClass55/SynSemClass55.html?veclass=vec00569", "vec00569 / zabavit (v41pohA)")</f>
        <v>vec00569 / zabavit (v41pohA)</v>
      </c>
      <c r="AA138" s="0" t="n">
        <v>0.05264</v>
      </c>
      <c r="AB138" s="5" t="s">
        <v>30</v>
      </c>
      <c r="AE138" s="0" t="str">
        <f aca="false">HYPERLINK("https://lindat.mff.cuni.cz/services/SynSemClass55/SynSemClass55.html?veclass=vec00321", "vec00321 / stáhnout (v41lhjD)")</f>
        <v>vec00321 / stáhnout (v41lhjD)</v>
      </c>
      <c r="AF138" s="0" t="n">
        <v>0.04629</v>
      </c>
      <c r="AG138" s="5" t="s">
        <v>30</v>
      </c>
    </row>
    <row r="140" customFormat="false" ht="12.75" hidden="false" customHeight="false" outlineLevel="0" collapsed="false">
      <c r="A140" s="0" t="str">
        <f aca="false">HYPERLINK("https://lindat.mff.cuni.cz/services/PDT-Vallex4.5/PDT-Vallex4.5.html?verb=oddálit", "oddálit")</f>
        <v>oddálit</v>
      </c>
      <c r="B140" s="0" t="str">
        <f aca="false">HYPERLINK("https://lindat.mff.cuni.cz/services/PDT-Vallex4.5/PDT-Vallex4.5.html?verb=oddálit#v41dxgA", "v41dxgA")</f>
        <v>v41dxgA</v>
      </c>
      <c r="E140" s="0" t="n">
        <v>181</v>
      </c>
      <c r="F140" s="0" t="n">
        <v>0.54413</v>
      </c>
      <c r="G140" s="1" t="n">
        <v>0</v>
      </c>
      <c r="I140" s="1" t="s">
        <v>74</v>
      </c>
      <c r="K140" s="0" t="str">
        <f aca="false">HYPERLINK("https://lindat.mff.cuni.cz/services/SynSemClass55/SynSemClass55.html?veclass=vec01284", "vec01284 / přeložit (v41idwC)")</f>
        <v>vec01284 / přeložit (v41idwC)</v>
      </c>
      <c r="L140" s="0" t="n">
        <v>0.54413</v>
      </c>
      <c r="M140" s="5" t="s">
        <v>30</v>
      </c>
      <c r="P140" s="0" t="str">
        <f aca="false">HYPERLINK("https://lindat.mff.cuni.cz/services/SynSemClass55/SynSemClass55.html?veclass=vec01668", "vec01668 / přisunout (v41izrA)")</f>
        <v>vec01668 / přisunout (v41izrA)</v>
      </c>
      <c r="Q140" s="0" t="n">
        <v>0.05964</v>
      </c>
      <c r="R140" s="5" t="s">
        <v>30</v>
      </c>
      <c r="U140" s="0" t="str">
        <f aca="false">HYPERLINK("https://lindat.mff.cuni.cz/services/SynSemClass55/SynSemClass55.html?veclass=vec00854", "vec00854 / odvést (v41emsC)")</f>
        <v>vec00854 / odvést (v41emsC)</v>
      </c>
      <c r="V140" s="0" t="n">
        <v>0.04106</v>
      </c>
      <c r="W140" s="5" t="s">
        <v>30</v>
      </c>
      <c r="Z140" s="0" t="str">
        <f aca="false">HYPERLINK("https://lindat.mff.cuni.cz/services/SynSemClass55/SynSemClass55.html?veclass=vec00283", "vec00283 / převést (v41imqC)")</f>
        <v>vec00283 / převést (v41imqC)</v>
      </c>
      <c r="AA140" s="0" t="n">
        <v>0.03496</v>
      </c>
      <c r="AB140" s="5" t="s">
        <v>30</v>
      </c>
      <c r="AE140" s="0" t="str">
        <f aca="false">HYPERLINK("https://lindat.mff.cuni.cz/services/SynSemClass55/SynSemClass55.html?veclass=vec00849", "vec00849 / odchýlit se (v41easA)")</f>
        <v>vec00849 / odchýlit se (v41easA)</v>
      </c>
      <c r="AF140" s="0" t="n">
        <v>0.03205</v>
      </c>
      <c r="AG140" s="5" t="s">
        <v>30</v>
      </c>
    </row>
    <row r="142" customFormat="false" ht="12.75" hidden="false" customHeight="false" outlineLevel="0" collapsed="false">
      <c r="A142" s="0" t="str">
        <f aca="false">HYPERLINK("https://lindat.mff.cuni.cz/services/PDT-Vallex4.5/PDT-Vallex4.5.html?verb=oddálit se", "oddálit se")</f>
        <v>oddálit se</v>
      </c>
      <c r="B142" s="0" t="str">
        <f aca="false">HYPERLINK("https://lindat.mff.cuni.cz/services/PDT-Vallex4.5/PDT-Vallex4.5.html?verb=oddálit se#v41dxhA", "v41dxhA")</f>
        <v>v41dxhA</v>
      </c>
      <c r="E142" s="0" t="n">
        <v>116</v>
      </c>
      <c r="F142" s="0" t="n">
        <v>0.54099</v>
      </c>
      <c r="G142" s="1" t="n">
        <v>0</v>
      </c>
      <c r="I142" s="1" t="s">
        <v>74</v>
      </c>
      <c r="K142" s="0" t="str">
        <f aca="false">HYPERLINK("https://lindat.mff.cuni.cz/services/SynSemClass55/SynSemClass55.html?veclass=vec01284", "vec01284 / přeložit (v41idwC)")</f>
        <v>vec01284 / přeložit (v41idwC)</v>
      </c>
      <c r="L142" s="0" t="n">
        <v>0.54099</v>
      </c>
      <c r="M142" s="5" t="s">
        <v>30</v>
      </c>
      <c r="P142" s="0" t="str">
        <f aca="false">HYPERLINK("https://lindat.mff.cuni.cz/services/SynSemClass55/SynSemClass55.html?veclass=vec01668", "vec01668 / přisunout (v41izrA)")</f>
        <v>vec01668 / přisunout (v41izrA)</v>
      </c>
      <c r="Q142" s="0" t="n">
        <v>0.06309</v>
      </c>
      <c r="R142" s="5" t="s">
        <v>30</v>
      </c>
      <c r="U142" s="0" t="str">
        <f aca="false">HYPERLINK("https://lindat.mff.cuni.cz/services/SynSemClass55/SynSemClass55.html?veclass=vec00849", "vec00849 / odchýlit se (v41easA)")</f>
        <v>vec00849 / odchýlit se (v41easA)</v>
      </c>
      <c r="V142" s="0" t="n">
        <v>0.04126</v>
      </c>
      <c r="W142" s="5" t="s">
        <v>30</v>
      </c>
      <c r="Z142" s="0" t="str">
        <f aca="false">HYPERLINK("https://lindat.mff.cuni.cz/services/SynSemClass55/SynSemClass55.html?veclass=vec00854", "vec00854 / odvést (v41emsC)")</f>
        <v>vec00854 / odvést (v41emsC)</v>
      </c>
      <c r="AA142" s="0" t="n">
        <v>0.0376</v>
      </c>
      <c r="AB142" s="5" t="s">
        <v>30</v>
      </c>
      <c r="AE142" s="0" t="str">
        <f aca="false">HYPERLINK("https://lindat.mff.cuni.cz/services/SynSemClass55/SynSemClass55.html?veclass=vec00283", "vec00283 / převést (v41imqC)")</f>
        <v>vec00283 / převést (v41imqC)</v>
      </c>
      <c r="AF142" s="0" t="n">
        <v>0.03084</v>
      </c>
      <c r="AG142" s="5" t="s">
        <v>30</v>
      </c>
    </row>
    <row r="144" customFormat="false" ht="12.75" hidden="false" customHeight="false" outlineLevel="0" collapsed="false">
      <c r="A144" s="0" t="str">
        <f aca="false">HYPERLINK("https://lindat.mff.cuni.cz/services/PDT-Vallex4.5/PDT-Vallex4.5.html?verb=oddalovat", "oddalovat")</f>
        <v>oddalovat</v>
      </c>
      <c r="B144" s="0" t="str">
        <f aca="false">HYPERLINK("https://lindat.mff.cuni.cz/services/PDT-Vallex4.5/PDT-Vallex4.5.html?verb=oddalovat#v41dxjA", "v41dxjA")</f>
        <v>v41dxjA</v>
      </c>
      <c r="E144" s="0" t="n">
        <v>89</v>
      </c>
      <c r="F144" s="0" t="n">
        <v>0.68457</v>
      </c>
      <c r="G144" s="1" t="n">
        <v>0</v>
      </c>
      <c r="I144" s="1" t="s">
        <v>74</v>
      </c>
      <c r="K144" s="0" t="str">
        <f aca="false">HYPERLINK("https://lindat.mff.cuni.cz/services/SynSemClass55/SynSemClass55.html?veclass=vec01284", "vec01284 / přeložit (v41idwC)")</f>
        <v>vec01284 / přeložit (v41idwC)</v>
      </c>
      <c r="L144" s="0" t="n">
        <v>0.68457</v>
      </c>
      <c r="M144" s="5" t="s">
        <v>30</v>
      </c>
      <c r="P144" s="0" t="str">
        <f aca="false">HYPERLINK("https://lindat.mff.cuni.cz/services/SynSemClass55/SynSemClass55.html?veclass=vec00283", "vec00283 / převést (v41imqC)")</f>
        <v>vec00283 / převést (v41imqC)</v>
      </c>
      <c r="Q144" s="0" t="n">
        <v>0.04061</v>
      </c>
      <c r="R144" s="5" t="s">
        <v>30</v>
      </c>
      <c r="U144" s="0" t="str">
        <f aca="false">HYPERLINK("https://lindat.mff.cuni.cz/services/SynSemClass55/SynSemClass55.html?veclass=vec00849", "vec00849 / odchýlit se (v41easA)")</f>
        <v>vec00849 / odchýlit se (v41easA)</v>
      </c>
      <c r="V144" s="0" t="n">
        <v>0.04018</v>
      </c>
      <c r="W144" s="5" t="s">
        <v>30</v>
      </c>
      <c r="Z144" s="0" t="str">
        <f aca="false">HYPERLINK("https://lindat.mff.cuni.cz/services/SynSemClass55/SynSemClass55.html?veclass=vec00486", "vec00486 / pozdržet (v41gwdA)")</f>
        <v>vec00486 / pozdržet (v41gwdA)</v>
      </c>
      <c r="AA144" s="0" t="n">
        <v>0.03188</v>
      </c>
      <c r="AB144" s="5" t="s">
        <v>30</v>
      </c>
      <c r="AE144" s="0" t="str">
        <f aca="false">HYPERLINK("https://lindat.mff.cuni.cz/services/SynSemClass55/SynSemClass55.html?veclass=vec00854", "vec00854 / odvést (v41emsC)")</f>
        <v>vec00854 / odvést (v41emsC)</v>
      </c>
      <c r="AF144" s="0" t="n">
        <v>0.02315</v>
      </c>
      <c r="AG144" s="5" t="s">
        <v>30</v>
      </c>
    </row>
    <row r="146" customFormat="false" ht="12.75" hidden="false" customHeight="false" outlineLevel="0" collapsed="false">
      <c r="A146" s="0" t="str">
        <f aca="false">HYPERLINK("https://lindat.mff.cuni.cz/services/PDT-Vallex4.5/PDT-Vallex4.5.html?verb=oddychovat", "oddychovat")</f>
        <v>oddychovat</v>
      </c>
      <c r="B146" s="0" t="str">
        <f aca="false">HYPERLINK("https://lindat.mff.cuni.cz/services/PDT-Vallex4.5/PDT-Vallex4.5.html?verb=oddychovat#v41dycA", "v41dycA")</f>
        <v>v41dycA</v>
      </c>
      <c r="E146" s="0" t="n">
        <v>384</v>
      </c>
      <c r="F146" s="0" t="n">
        <v>0.23485</v>
      </c>
      <c r="G146" s="1" t="s">
        <v>31</v>
      </c>
      <c r="K146" s="0" t="str">
        <f aca="false">HYPERLINK("https://lindat.mff.cuni.cz/services/SynSemClass55/SynSemClass55.html?veclass=vec00959", "vec00959 / vydechnout si (v41nxeA)")</f>
        <v>vec00959 / vydechnout si (v41nxeA)</v>
      </c>
      <c r="L146" s="0" t="n">
        <v>0.23485</v>
      </c>
      <c r="M146" s="5" t="s">
        <v>34</v>
      </c>
      <c r="P146" s="0" t="str">
        <f aca="false">HYPERLINK("https://lindat.mff.cuni.cz/services/SynSemClass55/SynSemClass55.html?veclass=vec01371", "vec01371 / zalapat (v41pzfA)")</f>
        <v>vec01371 / zalapat (v41pzfA)</v>
      </c>
      <c r="Q146" s="0" t="n">
        <v>0.1957</v>
      </c>
      <c r="R146" s="5" t="s">
        <v>30</v>
      </c>
      <c r="U146" s="0" t="str">
        <f aca="false">HYPERLINK("https://lindat.mff.cuni.cz/services/SynSemClass55/SynSemClass55.html?veclass=vec01704", "vec01704 / vzdychat (v41plpA)")</f>
        <v>vec01704 / vzdychat (v41plpA)</v>
      </c>
      <c r="V146" s="0" t="n">
        <v>0.07154</v>
      </c>
      <c r="W146" s="5" t="s">
        <v>30</v>
      </c>
      <c r="Z146" s="0" t="str">
        <f aca="false">HYPERLINK("https://lindat.mff.cuni.cz/services/SynSemClass55/SynSemClass55.html?veclass=vec00390", "vec00390 / zotavit se (v41rrtA)")</f>
        <v>vec00390 / zotavit se (v41rrtA)</v>
      </c>
      <c r="AA146" s="0" t="n">
        <v>0.04861</v>
      </c>
      <c r="AB146" s="5" t="s">
        <v>30</v>
      </c>
      <c r="AE146" s="0" t="str">
        <f aca="false">HYPERLINK("https://lindat.mff.cuni.cz/services/SynSemClass55/SynSemClass55.html?veclass=vec01863", "vec01863 / relaxovat (v41jidA)")</f>
        <v>vec01863 / relaxovat (v41jidA)</v>
      </c>
      <c r="AF146" s="0" t="n">
        <v>0.04245</v>
      </c>
      <c r="AG146" s="5" t="s">
        <v>33</v>
      </c>
    </row>
    <row r="148" customFormat="false" ht="12.75" hidden="false" customHeight="false" outlineLevel="0" collapsed="false">
      <c r="A148" s="0" t="str">
        <f aca="false">HYPERLINK("https://lindat.mff.cuni.cz/services/PDT-Vallex4.5/PDT-Vallex4.5.html?verb=odhalovat", "odhalovat")</f>
        <v>odhalovat</v>
      </c>
      <c r="B148" s="0" t="str">
        <f aca="false">HYPERLINK("https://lindat.mff.cuni.cz/services/PDT-Vallex4.5/PDT-Vallex4.5.html?verb=odhalovat#v41dzuA", "v41dzuA")</f>
        <v>v41dzuA</v>
      </c>
      <c r="E148" s="0" t="n">
        <v>492</v>
      </c>
      <c r="F148" s="0" t="n">
        <v>0.15283</v>
      </c>
      <c r="G148" s="1" t="n">
        <v>0</v>
      </c>
      <c r="I148" s="1" t="s">
        <v>75</v>
      </c>
      <c r="K148" s="0" t="str">
        <f aca="false">HYPERLINK("https://lindat.mff.cuni.cz/services/SynSemClass55/SynSemClass55.html?veclass=vec01545", "vec01545 / zavětřit (v41qsrA)")</f>
        <v>vec01545 / zavětřit (v41qsrA)</v>
      </c>
      <c r="L148" s="0" t="n">
        <v>0.15283</v>
      </c>
      <c r="M148" s="5" t="s">
        <v>30</v>
      </c>
      <c r="P148" s="0" t="str">
        <f aca="false">HYPERLINK("https://lindat.mff.cuni.cz/services/SynSemClass55/SynSemClass55.html?veclass=vec00060", "vec00060 / oznámit (v41fgeD)")</f>
        <v>vec00060 / oznámit (v41fgeD)</v>
      </c>
      <c r="Q148" s="0" t="n">
        <v>0.108</v>
      </c>
      <c r="R148" s="5" t="s">
        <v>30</v>
      </c>
      <c r="U148" s="0" t="str">
        <f aca="false">HYPERLINK("https://lindat.mff.cuni.cz/services/SynSemClass55/SynSemClass55.html?veclass=vec01466", "vec01466 / vylévat si (v41oicA)")</f>
        <v>vec01466 / vylévat si (v41oicA)</v>
      </c>
      <c r="V148" s="0" t="n">
        <v>0.09011</v>
      </c>
      <c r="W148" s="5" t="s">
        <v>30</v>
      </c>
      <c r="Z148" s="0" t="str">
        <f aca="false">HYPERLINK("https://lindat.mff.cuni.cz/services/SynSemClass55/SynSemClass55.html?veclass=vec00330", "vec00330 / ukázat (v41mlkB)")</f>
        <v>vec00330 / ukázat (v41mlkB)</v>
      </c>
      <c r="AA148" s="0" t="n">
        <v>0.086</v>
      </c>
      <c r="AB148" s="5" t="s">
        <v>30</v>
      </c>
      <c r="AE148" s="0" t="str">
        <f aca="false">HYPERLINK("https://lindat.mff.cuni.cz/services/SynSemClass55/SynSemClass55.html?veclass=vec01386", "vec01386 / zpřístupnit (v41rvmA)")</f>
        <v>vec01386 / zpřístupnit (v41rvmA)</v>
      </c>
      <c r="AF148" s="0" t="n">
        <v>0.08522</v>
      </c>
      <c r="AG148" s="5" t="s">
        <v>32</v>
      </c>
    </row>
    <row r="150" customFormat="false" ht="12.75" hidden="false" customHeight="false" outlineLevel="0" collapsed="false">
      <c r="A150" s="0" t="str">
        <f aca="false">HYPERLINK("https://lindat.mff.cuni.cz/services/PDT-Vallex4.5/PDT-Vallex4.5.html?verb=odhlížet", "odhlížet")</f>
        <v>odhlížet</v>
      </c>
      <c r="B150" s="0" t="str">
        <f aca="false">HYPERLINK("https://lindat.mff.cuni.cz/services/PDT-Vallex4.5/PDT-Vallex4.5.html?verb=odhlížet#v41eadA", "v41eadA")</f>
        <v>v41eadA</v>
      </c>
      <c r="E150" s="0" t="n">
        <v>2</v>
      </c>
      <c r="F150" s="0" t="n">
        <v>0.12702</v>
      </c>
      <c r="G150" s="1" t="s">
        <v>76</v>
      </c>
      <c r="K150" s="0" t="str">
        <f aca="false">HYPERLINK("https://lindat.mff.cuni.cz/services/SynSemClass55/SynSemClass55.html?veclass=vec00942", "vec00942 / ustoupit (v41myhC)")</f>
        <v>vec00942 / ustoupit (v41myhC)</v>
      </c>
      <c r="L150" s="0" t="n">
        <v>0.12702</v>
      </c>
      <c r="M150" s="5" t="s">
        <v>30</v>
      </c>
      <c r="P150" s="0" t="str">
        <f aca="false">HYPERLINK("https://lindat.mff.cuni.cz/services/SynSemClass55/SynSemClass55.html?veclass=vec00783", "vec00783 / zdržet se (v41qzjA)")</f>
        <v>vec00783 / zdržet se (v41qzjA)</v>
      </c>
      <c r="Q150" s="0" t="n">
        <v>0.11726</v>
      </c>
      <c r="R150" s="5" t="s">
        <v>30</v>
      </c>
      <c r="U150" s="0" t="str">
        <f aca="false">HYPERLINK("https://lindat.mff.cuni.cz/services/SynSemClass55/SynSemClass55.html?veclass=vec00045", "vec00045 / obejít (v41dnqC)")</f>
        <v>vec00045 / obejít (v41dnqC)</v>
      </c>
      <c r="V150" s="0" t="n">
        <v>0.08441</v>
      </c>
      <c r="W150" s="5" t="s">
        <v>30</v>
      </c>
      <c r="Z150" s="0" t="str">
        <f aca="false">HYPERLINK("https://lindat.mff.cuni.cz/services/SynSemClass55/SynSemClass55.html?veclass=vec00558", "vec00558 / vyloučit (v41oizC)")</f>
        <v>vec00558 / vyloučit (v41oizC)</v>
      </c>
      <c r="AA150" s="0" t="n">
        <v>0.05568</v>
      </c>
      <c r="AB150" s="5" t="s">
        <v>30</v>
      </c>
      <c r="AE150" s="0" t="str">
        <f aca="false">HYPERLINK("https://lindat.mff.cuni.cz/services/SynSemClass55/SynSemClass55.html?veclass=vec00251", "vec00251 / odradit (v41ehrA)")</f>
        <v>vec00251 / odradit (v41ehrA)</v>
      </c>
      <c r="AF150" s="0" t="n">
        <v>0.05094</v>
      </c>
      <c r="AG150" s="5" t="s">
        <v>30</v>
      </c>
    </row>
    <row r="152" customFormat="false" ht="12.75" hidden="false" customHeight="false" outlineLevel="0" collapsed="false">
      <c r="A152" s="0" t="str">
        <f aca="false">HYPERLINK("https://lindat.mff.cuni.cz/services/PDT-Vallex4.5/PDT-Vallex4.5.html?verb=odchytit", "odchytit")</f>
        <v>odchytit</v>
      </c>
      <c r="B152" s="0" t="str">
        <f aca="false">HYPERLINK("https://lindat.mff.cuni.cz/services/PDT-Vallex4.5/PDT-Vallex4.5.html?verb=odchytit#v41eawA", "v41eawA")</f>
        <v>v41eawA</v>
      </c>
      <c r="E152" s="0" t="n">
        <v>29</v>
      </c>
      <c r="F152" s="0" t="n">
        <v>0.3126</v>
      </c>
      <c r="G152" s="1" t="s">
        <v>31</v>
      </c>
      <c r="K152" s="0" t="str">
        <f aca="false">HYPERLINK("https://lindat.mff.cuni.cz/services/SynSemClass55/SynSemClass55.html?veclass=vec00126", "vec00126 / spoutat (v41lfhA)")</f>
        <v>vec00126 / spoutat (v41lfhA)</v>
      </c>
      <c r="L152" s="0" t="n">
        <v>0.3126</v>
      </c>
      <c r="M152" s="5" t="s">
        <v>30</v>
      </c>
      <c r="P152" s="0" t="str">
        <f aca="false">HYPERLINK("https://lindat.mff.cuni.cz/services/SynSemClass55/SynSemClass55.html?veclass=vec00615", "vec00615 / chytit (v41bczB)")</f>
        <v>vec00615 / chytit (v41bczB)</v>
      </c>
      <c r="Q152" s="0" t="n">
        <v>0.29951</v>
      </c>
      <c r="R152" s="5" t="s">
        <v>34</v>
      </c>
      <c r="U152" s="0" t="str">
        <f aca="false">HYPERLINK("https://lindat.mff.cuni.cz/services/SynSemClass55/SynSemClass55.html?veclass=vec00374", "vec00374 / zastihnout (v41qmkB)")</f>
        <v>vec00374 / zastihnout (v41qmkB)</v>
      </c>
      <c r="V152" s="0" t="n">
        <v>0.21987</v>
      </c>
      <c r="W152" s="5" t="s">
        <v>30</v>
      </c>
      <c r="Z152" s="0" t="str">
        <f aca="false">HYPERLINK("https://lindat.mff.cuni.cz/services/SynSemClass55/SynSemClass55.html?veclass=vec00185", "vec00185 / zatknout (v41qpuA)")</f>
        <v>vec00185 / zatknout (v41qpuA)</v>
      </c>
      <c r="AA152" s="0" t="n">
        <v>0.10555</v>
      </c>
      <c r="AB152" s="5" t="s">
        <v>30</v>
      </c>
      <c r="AE152" s="0" t="str">
        <f aca="false">HYPERLINK("https://lindat.mff.cuni.cz/services/SynSemClass55/SynSemClass55.html?veclass=vec00233", "vec00233 / najít (v41croB)")</f>
        <v>vec00233 / najít (v41croB)</v>
      </c>
      <c r="AF152" s="0" t="n">
        <v>0.03084</v>
      </c>
      <c r="AG152" s="5" t="s">
        <v>30</v>
      </c>
    </row>
    <row r="154" customFormat="false" ht="12.75" hidden="false" customHeight="false" outlineLevel="0" collapsed="false">
      <c r="A154" s="0" t="str">
        <f aca="false">HYPERLINK("https://lindat.mff.cuni.cz/services/PDT-Vallex4.5/PDT-Vallex4.5.html?verb=odkopnout", "odkopnout")</f>
        <v>odkopnout</v>
      </c>
      <c r="B154" s="0" t="str">
        <f aca="false">HYPERLINK("https://lindat.mff.cuni.cz/services/PDT-Vallex4.5/PDT-Vallex4.5.html?verb=odkopnout#v41ecaA", "v41ecaA")</f>
        <v>v41ecaA</v>
      </c>
      <c r="E154" s="0" t="n">
        <v>229</v>
      </c>
      <c r="F154" s="0" t="n">
        <v>0.10988</v>
      </c>
      <c r="G154" s="1" t="s">
        <v>77</v>
      </c>
      <c r="K154" s="0" t="str">
        <f aca="false">HYPERLINK("https://lindat.mff.cuni.cz/services/SynSemClass55/SynSemClass55.html?veclass=vec01106", "vec01106 / shazovat (v41kmeA)")</f>
        <v>vec01106 / shazovat (v41kmeA)</v>
      </c>
      <c r="L154" s="0" t="n">
        <v>0.10988</v>
      </c>
      <c r="M154" s="5" t="s">
        <v>30</v>
      </c>
      <c r="P154" s="0" t="str">
        <f aca="false">HYPERLINK("https://lindat.mff.cuni.cz/services/SynSemClass55/SynSemClass55.html?veclass=vec01678", "vec01678 / smeknout (v41kuuA)")</f>
        <v>vec01678 / smeknout (v41kuuA)</v>
      </c>
      <c r="Q154" s="0" t="n">
        <v>0.0822</v>
      </c>
      <c r="R154" s="5" t="s">
        <v>30</v>
      </c>
      <c r="U154" s="0" t="str">
        <f aca="false">HYPERLINK("https://lindat.mff.cuni.cz/services/SynSemClass55/SynSemClass55.html?veclass=vec00555", "vec00555 / vyhodit (v41oaaA)")</f>
        <v>vec00555 / vyhodit (v41oaaA)</v>
      </c>
      <c r="V154" s="0" t="n">
        <v>0.07422</v>
      </c>
      <c r="W154" s="5" t="s">
        <v>30</v>
      </c>
      <c r="Z154" s="0" t="str">
        <f aca="false">HYPERLINK("https://lindat.mff.cuni.cz/services/SynSemClass55/SynSemClass55.html?veclass=vec00924", "vec00924 / smést (v41kvgB)")</f>
        <v>vec00924 / smést (v41kvgB)</v>
      </c>
      <c r="AA154" s="0" t="n">
        <v>0.04844</v>
      </c>
      <c r="AB154" s="5" t="s">
        <v>30</v>
      </c>
      <c r="AE154" s="0" t="str">
        <f aca="false">HYPERLINK("https://lindat.mff.cuni.cz/services/SynSemClass55/SynSemClass55.html?veclass=vec01413", "vec01413 / odtrhnout se (v41eltB)")</f>
        <v>vec01413 / odtrhnout se (v41eltB)</v>
      </c>
      <c r="AF154" s="0" t="n">
        <v>0.04206</v>
      </c>
      <c r="AG154" s="5" t="s">
        <v>30</v>
      </c>
    </row>
    <row r="156" customFormat="false" ht="12.75" hidden="false" customHeight="false" outlineLevel="0" collapsed="false">
      <c r="A156" s="0" t="str">
        <f aca="false">HYPERLINK("https://lindat.mff.cuni.cz/services/PDT-Vallex4.5/PDT-Vallex4.5.html?verb=odplynout", "odplynout")</f>
        <v>odplynout</v>
      </c>
      <c r="B156" s="0" t="str">
        <f aca="false">HYPERLINK("https://lindat.mff.cuni.cz/services/PDT-Vallex4.5/PDT-Vallex4.5.html?verb=odplynout#v41eftA", "v41eftA")</f>
        <v>v41eftA</v>
      </c>
      <c r="E156" s="0" t="n">
        <v>28</v>
      </c>
      <c r="F156" s="0" t="n">
        <v>0.15505</v>
      </c>
      <c r="G156" s="1" t="s">
        <v>31</v>
      </c>
      <c r="K156" s="0" t="str">
        <f aca="false">HYPERLINK("https://lindat.mff.cuni.cz/services/SynSemClass55/SynSemClass55.html?veclass=vec01568", "vec01568 / míjet (v41cggC)")</f>
        <v>vec01568 / míjet (v41cggC)</v>
      </c>
      <c r="L156" s="0" t="n">
        <v>0.15505</v>
      </c>
      <c r="M156" s="5" t="s">
        <v>33</v>
      </c>
      <c r="P156" s="0" t="str">
        <f aca="false">HYPERLINK("https://lindat.mff.cuni.cz/services/SynSemClass55/SynSemClass55.html?veclass=vec01885", "vec01885 / slehnout se (v41ksoA)")</f>
        <v>vec01885 / slehnout se (v41ksoA)</v>
      </c>
      <c r="Q156" s="0" t="n">
        <v>0.15054</v>
      </c>
      <c r="R156" s="5" t="s">
        <v>34</v>
      </c>
      <c r="U156" s="0" t="str">
        <f aca="false">HYPERLINK("https://lindat.mff.cuni.cz/services/SynSemClass55/SynSemClass55.html?veclass=vec00113", "vec00113 / skončit (v41krfH)")</f>
        <v>vec00113 / skončit (v41krfH)</v>
      </c>
      <c r="V156" s="0" t="n">
        <v>0.11787</v>
      </c>
      <c r="W156" s="5" t="s">
        <v>32</v>
      </c>
      <c r="Z156" s="0" t="str">
        <f aca="false">HYPERLINK("https://lindat.mff.cuni.cz/services/SynSemClass55/SynSemClass55.html?veclass=vec00755", "vec00755 / vymizet (v41okoA)")</f>
        <v>vec00755 / vymizet (v41okoA)</v>
      </c>
      <c r="AA156" s="0" t="n">
        <v>0.09711</v>
      </c>
      <c r="AB156" s="5" t="s">
        <v>32</v>
      </c>
      <c r="AE156" s="0" t="str">
        <f aca="false">HYPERLINK("https://lindat.mff.cuni.cz/services/SynSemClass55/SynSemClass55.html?veclass=vec00873", "vec00873 / pominout (v41gehB)")</f>
        <v>vec00873 / pominout (v41gehB)</v>
      </c>
      <c r="AF156" s="0" t="n">
        <v>0.04779</v>
      </c>
      <c r="AG156" s="5" t="s">
        <v>33</v>
      </c>
    </row>
    <row r="158" customFormat="false" ht="12.75" hidden="false" customHeight="false" outlineLevel="0" collapsed="false">
      <c r="A158" s="0" t="str">
        <f aca="false">HYPERLINK("https://lindat.mff.cuni.cz/services/PDT-Vallex4.5/PDT-Vallex4.5.html?verb=odpočítávat", "odpočítávat")</f>
        <v>odpočítávat</v>
      </c>
      <c r="B158" s="0" t="str">
        <f aca="false">HYPERLINK("https://lindat.mff.cuni.cz/services/PDT-Vallex4.5/PDT-Vallex4.5.html?verb=odpočítávat#v41efxB", "v41efxB")</f>
        <v>v41efxB</v>
      </c>
      <c r="E158" s="0" t="n">
        <v>139</v>
      </c>
      <c r="F158" s="0" t="n">
        <v>0.47478</v>
      </c>
      <c r="G158" s="1" t="n">
        <v>0</v>
      </c>
      <c r="I158" s="1" t="s">
        <v>78</v>
      </c>
      <c r="K158" s="0" t="str">
        <f aca="false">HYPERLINK("https://lindat.mff.cuni.cz/services/SynSemClass55/SynSemClass55.html?veclass=vec00166", "vec00166 / vypočítávat (v41opsB)")</f>
        <v>vec00166 / vypočítávat (v41opsB)</v>
      </c>
      <c r="L158" s="0" t="n">
        <v>0.47478</v>
      </c>
      <c r="M158" s="5" t="s">
        <v>30</v>
      </c>
      <c r="P158" s="0" t="str">
        <f aca="false">HYPERLINK("https://lindat.mff.cuni.cz/services/SynSemClass55/SynSemClass55.html?veclass=vec00649", "vec00649 / odečíst (v41dyjA)")</f>
        <v>vec00649 / odečíst (v41dyjA)</v>
      </c>
      <c r="Q158" s="0" t="n">
        <v>0.10291</v>
      </c>
      <c r="R158" s="5" t="s">
        <v>30</v>
      </c>
      <c r="U158" s="0" t="str">
        <f aca="false">HYPERLINK("https://lindat.mff.cuni.cz/services/SynSemClass55/SynSemClass55.html?veclass=vec01356", "vec01356 / vysázet (v41ovmA)")</f>
        <v>vec01356 / vysázet (v41ovmA)</v>
      </c>
      <c r="V158" s="0" t="n">
        <v>0.03309</v>
      </c>
      <c r="W158" s="5" t="s">
        <v>30</v>
      </c>
      <c r="Z158" s="0" t="str">
        <f aca="false">HYPERLINK("https://lindat.mff.cuni.cz/services/SynSemClass55/SynSemClass55.html?veclass=vec00919", "vec00919 / sčítat (v41kggA)")</f>
        <v>vec00919 / sčítat (v41kggA)</v>
      </c>
      <c r="AA158" s="0" t="n">
        <v>0.03222</v>
      </c>
      <c r="AB158" s="5" t="s">
        <v>30</v>
      </c>
      <c r="AE158" s="0" t="str">
        <f aca="false">HYPERLINK("https://lindat.mff.cuni.cz/services/SynSemClass55/SynSemClass55.html?veclass=vec00772", "vec00772 / započítat (v41qgdA)")</f>
        <v>vec00772 / započítat (v41qgdA)</v>
      </c>
      <c r="AF158" s="0" t="n">
        <v>0.02215</v>
      </c>
      <c r="AG158" s="5" t="s">
        <v>30</v>
      </c>
    </row>
    <row r="160" customFormat="false" ht="12.75" hidden="false" customHeight="false" outlineLevel="0" collapsed="false">
      <c r="A160" s="0" t="str">
        <f aca="false">HYPERLINK("https://lindat.mff.cuni.cz/services/PDT-Vallex4.5/PDT-Vallex4.5.html?verb=odpudit", "odpudit")</f>
        <v>odpudit</v>
      </c>
      <c r="B160" s="0" t="str">
        <f aca="false">HYPERLINK("https://lindat.mff.cuni.cz/services/PDT-Vallex4.5/PDT-Vallex4.5.html?verb=odpudit#v41ehjA", "v41ehjA")</f>
        <v>v41ehjA</v>
      </c>
      <c r="E160" s="0" t="n">
        <v>10</v>
      </c>
      <c r="F160" s="0" t="n">
        <v>0.34354</v>
      </c>
      <c r="G160" s="1" t="s">
        <v>79</v>
      </c>
      <c r="K160" s="0" t="str">
        <f aca="false">HYPERLINK("https://lindat.mff.cuni.cz/services/SynSemClass55/SynSemClass55.html?veclass=vec00251", "vec00251 / odradit (v41ehrA)")</f>
        <v>vec00251 / odradit (v41ehrA)</v>
      </c>
      <c r="L160" s="0" t="n">
        <v>0.34354</v>
      </c>
      <c r="M160" s="5" t="s">
        <v>32</v>
      </c>
      <c r="P160" s="0" t="str">
        <f aca="false">HYPERLINK("https://lindat.mff.cuni.cz/services/SynSemClass55/SynSemClass55.html?veclass=vec00854", "vec00854 / odvést (v41emsC)")</f>
        <v>vec00854 / odvést (v41emsC)</v>
      </c>
      <c r="Q160" s="0" t="n">
        <v>0.14779</v>
      </c>
      <c r="R160" s="5" t="s">
        <v>30</v>
      </c>
      <c r="U160" s="0" t="str">
        <f aca="false">HYPERLINK("https://lindat.mff.cuni.cz/services/SynSemClass55/SynSemClass55.html?veclass=vec00049", "vec00049 / odklonit (v41ebvC)")</f>
        <v>vec00049 / odklonit (v41ebvC)</v>
      </c>
      <c r="V160" s="0" t="n">
        <v>0.14261</v>
      </c>
      <c r="W160" s="5" t="s">
        <v>30</v>
      </c>
      <c r="Z160" s="0" t="str">
        <f aca="false">HYPERLINK("https://lindat.mff.cuni.cz/services/SynSemClass55/SynSemClass55.html?veclass=vec00555", "vec00555 / vyhodit (v41oaaA)")</f>
        <v>vec00555 / vyhodit (v41oaaA)</v>
      </c>
      <c r="AA160" s="0" t="n">
        <v>0.08839</v>
      </c>
      <c r="AB160" s="5" t="s">
        <v>30</v>
      </c>
      <c r="AE160" s="0" t="str">
        <f aca="false">HYPERLINK("https://lindat.mff.cuni.cz/services/SynSemClass55/SynSemClass55.html?veclass=vec00456", "vec00456 / odrazit (v41ehtB)")</f>
        <v>vec00456 / odrazit (v41ehtB)</v>
      </c>
      <c r="AF160" s="0" t="n">
        <v>0.06701</v>
      </c>
      <c r="AG160" s="5" t="s">
        <v>30</v>
      </c>
    </row>
    <row r="162" customFormat="false" ht="12.75" hidden="false" customHeight="false" outlineLevel="0" collapsed="false">
      <c r="A162" s="0" t="str">
        <f aca="false">HYPERLINK("https://lindat.mff.cuni.cz/services/PDT-Vallex4.5/PDT-Vallex4.5.html?verb=odpustit", "odpustit")</f>
        <v>odpustit</v>
      </c>
      <c r="B162" s="0" t="str">
        <f aca="false">HYPERLINK("https://lindat.mff.cuni.cz/services/PDT-Vallex4.5/PDT-Vallex4.5.html?verb=odpustit#v41ehlB", "v41ehlB")</f>
        <v>v41ehlB</v>
      </c>
      <c r="E162" s="0" t="n">
        <v>2582</v>
      </c>
      <c r="F162" s="0" t="n">
        <v>0.58643</v>
      </c>
      <c r="G162" s="1" t="n">
        <v>0</v>
      </c>
      <c r="I162" s="1" t="s">
        <v>59</v>
      </c>
      <c r="K162" s="0" t="str">
        <f aca="false">HYPERLINK("https://lindat.mff.cuni.cz/services/SynSemClass55/SynSemClass55.html?veclass=vec01058", "vec01058 / odpustit (v41ehlA)")</f>
        <v>vec01058 / odpustit (v41ehlA)</v>
      </c>
      <c r="L162" s="0" t="n">
        <v>0.58643</v>
      </c>
      <c r="M162" s="5" t="s">
        <v>30</v>
      </c>
      <c r="P162" s="0" t="str">
        <f aca="false">HYPERLINK("https://lindat.mff.cuni.cz/services/SynSemClass55/SynSemClass55.html?veclass=vec01639", "vec01639 / dopustit (v41aedA)")</f>
        <v>vec01639 / dopustit (v41aedA)</v>
      </c>
      <c r="Q162" s="0" t="n">
        <v>0.08207</v>
      </c>
      <c r="R162" s="5" t="s">
        <v>30</v>
      </c>
      <c r="U162" s="0" t="str">
        <f aca="false">HYPERLINK("https://lindat.mff.cuni.cz/services/SynSemClass55/SynSemClass55.html?veclass=vec01206", "vec01206 / dát (v41plY)")</f>
        <v>vec01206 / dát (v41plY)</v>
      </c>
      <c r="V162" s="0" t="n">
        <v>0.0548</v>
      </c>
      <c r="W162" s="5" t="s">
        <v>30</v>
      </c>
      <c r="Z162" s="0" t="str">
        <f aca="false">HYPERLINK("https://lindat.mff.cuni.cz/services/SynSemClass55/SynSemClass55.html?veclass=vec00739", "vec00739 / ustoupit (v41myhB)")</f>
        <v>vec00739 / ustoupit (v41myhB)</v>
      </c>
      <c r="AA162" s="0" t="n">
        <v>0.05286</v>
      </c>
      <c r="AB162" s="5" t="s">
        <v>30</v>
      </c>
      <c r="AE162" s="0" t="str">
        <f aca="false">HYPERLINK("https://lindat.mff.cuni.cz/services/SynSemClass55/SynSemClass55.html?veclass=vec01248", "vec01248 / omluvit (v41etuB)")</f>
        <v>vec01248 / omluvit (v41etuB)</v>
      </c>
      <c r="AF162" s="0" t="n">
        <v>0.04717</v>
      </c>
      <c r="AG162" s="5" t="s">
        <v>30</v>
      </c>
    </row>
    <row r="164" customFormat="false" ht="12.75" hidden="false" customHeight="false" outlineLevel="0" collapsed="false">
      <c r="A164" s="0" t="str">
        <f aca="false">HYPERLINK("https://lindat.mff.cuni.cz/services/PDT-Vallex4.5/PDT-Vallex4.5.html?verb=odrůst", "odrůst")</f>
        <v>odrůst</v>
      </c>
      <c r="B164" s="0" t="str">
        <f aca="false">HYPERLINK("https://lindat.mff.cuni.cz/services/PDT-Vallex4.5/PDT-Vallex4.5.html?verb=odrůst#v41eigA", "v41eigA")</f>
        <v>v41eigA</v>
      </c>
      <c r="E164" s="0" t="n">
        <v>23</v>
      </c>
      <c r="F164" s="0" t="n">
        <v>0.15997</v>
      </c>
      <c r="G164" s="1" t="n">
        <v>0</v>
      </c>
      <c r="I164" s="1" t="s">
        <v>80</v>
      </c>
      <c r="K164" s="0" t="str">
        <f aca="false">HYPERLINK("https://lindat.mff.cuni.cz/services/SynSemClass55/SynSemClass55.html?veclass=vec00167", "vec00167 / vyrůst (v41ouiD)")</f>
        <v>vec00167 / vyrůst (v41ouiD)</v>
      </c>
      <c r="L164" s="0" t="n">
        <v>0.15997</v>
      </c>
      <c r="M164" s="5" t="s">
        <v>30</v>
      </c>
      <c r="P164" s="0" t="str">
        <f aca="false">HYPERLINK("https://lindat.mff.cuni.cz/services/SynSemClass55/SynSemClass55.html?veclass=vec01380", "vec01380 / zestárnout (v41rbcA)")</f>
        <v>vec01380 / zestárnout (v41rbcA)</v>
      </c>
      <c r="Q164" s="0" t="n">
        <v>0.07244</v>
      </c>
      <c r="R164" s="5" t="s">
        <v>30</v>
      </c>
      <c r="U164" s="0" t="str">
        <f aca="false">HYPERLINK("https://lindat.mff.cuni.cz/services/SynSemClass55/SynSemClass55.html?veclass=vec01018", "vec01018 / dozrávat (v41ajrA)")</f>
        <v>vec01018 / dozrávat (v41ajrA)</v>
      </c>
      <c r="V164" s="0" t="n">
        <v>0.06367</v>
      </c>
      <c r="W164" s="5" t="s">
        <v>30</v>
      </c>
      <c r="Z164" s="0" t="str">
        <f aca="false">HYPERLINK("https://lindat.mff.cuni.cz/services/SynSemClass55/SynSemClass55.html?veclass=vec00586", "vec00586 / získat (v41reiE)")</f>
        <v>vec00586 / získat (v41reiE)</v>
      </c>
      <c r="AA164" s="0" t="n">
        <v>0.03422</v>
      </c>
      <c r="AB164" s="5" t="s">
        <v>30</v>
      </c>
      <c r="AE164" s="0" t="str">
        <f aca="false">HYPERLINK("https://lindat.mff.cuni.cz/services/SynSemClass55/SynSemClass55.html?veclass=vec00468", "vec00468 / pěstovat (v41fkwB)")</f>
        <v>vec00468 / pěstovat (v41fkwB)</v>
      </c>
      <c r="AF164" s="0" t="n">
        <v>0.03055</v>
      </c>
      <c r="AG164" s="5" t="s">
        <v>30</v>
      </c>
    </row>
    <row r="166" customFormat="false" ht="12.75" hidden="false" customHeight="false" outlineLevel="0" collapsed="false">
      <c r="A166" s="0" t="str">
        <f aca="false">HYPERLINK("https://lindat.mff.cuni.cz/services/PDT-Vallex4.5/PDT-Vallex4.5.html?verb=odškrtávat", "odškrtávat")</f>
        <v>odškrtávat</v>
      </c>
      <c r="B166" s="0" t="str">
        <f aca="false">HYPERLINK("https://lindat.mff.cuni.cz/services/PDT-Vallex4.5/PDT-Vallex4.5.html?verb=odškrtávat#v41elbA", "v41elbA")</f>
        <v>v41elbA</v>
      </c>
      <c r="E166" s="0" t="n">
        <v>23</v>
      </c>
      <c r="F166" s="0" t="n">
        <v>0.08448</v>
      </c>
      <c r="G166" s="1" t="s">
        <v>81</v>
      </c>
      <c r="K166" s="0" t="str">
        <f aca="false">HYPERLINK("https://lindat.mff.cuni.cz/services/SynSemClass55/SynSemClass55.html?veclass=vec00962", "vec00962 / vymazat (v41ojwA)")</f>
        <v>vec00962 / vymazat (v41ojwA)</v>
      </c>
      <c r="L166" s="0" t="n">
        <v>0.08448</v>
      </c>
      <c r="M166" s="5" t="s">
        <v>30</v>
      </c>
      <c r="P166" s="0" t="str">
        <f aca="false">HYPERLINK("https://lindat.mff.cuni.cz/services/SynSemClass55/SynSemClass55.html?veclass=vec01224", "vec01224 / listovat (v41cbiA)")</f>
        <v>vec01224 / listovat (v41cbiA)</v>
      </c>
      <c r="Q166" s="0" t="n">
        <v>0.03452</v>
      </c>
      <c r="R166" s="5" t="s">
        <v>30</v>
      </c>
      <c r="U166" s="0" t="str">
        <f aca="false">HYPERLINK("https://lindat.mff.cuni.cz/services/SynSemClass55/SynSemClass55.html?veclass=vec01855", "vec01855 / přetisknout (v41ilfA)")</f>
        <v>vec01855 / přetisknout (v41ilfA)</v>
      </c>
      <c r="V166" s="0" t="n">
        <v>0.03391</v>
      </c>
      <c r="W166" s="5" t="s">
        <v>30</v>
      </c>
      <c r="Z166" s="0" t="str">
        <f aca="false">HYPERLINK("https://lindat.mff.cuni.cz/services/SynSemClass55/SynSemClass55.html?veclass=vec01345", "vec01345 / vepsat (v41njiA)")</f>
        <v>vec01345 / vepsat (v41njiA)</v>
      </c>
      <c r="AA166" s="0" t="n">
        <v>0.03147</v>
      </c>
      <c r="AB166" s="5" t="s">
        <v>30</v>
      </c>
      <c r="AE166" s="0" t="str">
        <f aca="false">HYPERLINK("https://lindat.mff.cuni.cz/services/SynSemClass55/SynSemClass55.html?veclass=vec00858", "vec00858 / orazítkovat (v41exyA)")</f>
        <v>vec00858 / orazítkovat (v41exyA)</v>
      </c>
      <c r="AF166" s="0" t="n">
        <v>0.02822</v>
      </c>
      <c r="AG166" s="5" t="s">
        <v>30</v>
      </c>
    </row>
    <row r="168" customFormat="false" ht="12.75" hidden="false" customHeight="false" outlineLevel="0" collapsed="false">
      <c r="A168" s="0" t="str">
        <f aca="false">HYPERLINK("https://lindat.mff.cuni.cz/services/PDT-Vallex4.5/PDT-Vallex4.5.html?verb=odtáhnout se", "odtáhnout se")</f>
        <v>odtáhnout se</v>
      </c>
      <c r="B168" s="0" t="str">
        <f aca="false">HYPERLINK("https://lindat.mff.cuni.cz/services/PDT-Vallex4.5/PDT-Vallex4.5.html?verb=odtáhnout se#v41eliA", "v41eliA")</f>
        <v>v41eliA</v>
      </c>
      <c r="E168" s="0" t="n">
        <v>994</v>
      </c>
      <c r="F168" s="0" t="n">
        <v>0.10008</v>
      </c>
      <c r="G168" s="1" t="s">
        <v>31</v>
      </c>
      <c r="K168" s="0" t="str">
        <f aca="false">HYPERLINK("https://lindat.mff.cuni.cz/services/SynSemClass55/SynSemClass55.html?veclass=vec00048", "vec00048 / odejít (v41dyrA)")</f>
        <v>vec00048 / odejít (v41dyrA)</v>
      </c>
      <c r="L168" s="0" t="n">
        <v>0.10008</v>
      </c>
      <c r="M168" s="5" t="s">
        <v>30</v>
      </c>
      <c r="P168" s="0" t="str">
        <f aca="false">HYPERLINK("https://lindat.mff.cuni.cz/services/SynSemClass55/SynSemClass55.html?veclass=vec00321", "vec00321 / stáhnout (v41lhjD)")</f>
        <v>vec00321 / stáhnout (v41lhjD)</v>
      </c>
      <c r="Q168" s="0" t="n">
        <v>0.07082</v>
      </c>
      <c r="R168" s="5" t="s">
        <v>30</v>
      </c>
      <c r="U168" s="0" t="str">
        <f aca="false">HYPERLINK("https://lindat.mff.cuni.cz/services/SynSemClass55/SynSemClass55.html?veclass=vec01214", "vec01214 / evakuovat (v41anpA)")</f>
        <v>vec01214 / evakuovat (v41anpA)</v>
      </c>
      <c r="V168" s="0" t="n">
        <v>0.0523</v>
      </c>
      <c r="W168" s="5" t="s">
        <v>30</v>
      </c>
      <c r="Z168" s="0" t="str">
        <f aca="false">HYPERLINK("https://lindat.mff.cuni.cz/services/SynSemClass55/SynSemClass55.html?veclass=vec00283", "vec00283 / převést (v41imqC)")</f>
        <v>vec00283 / převést (v41imqC)</v>
      </c>
      <c r="AA168" s="0" t="n">
        <v>0.05226</v>
      </c>
      <c r="AB168" s="5" t="s">
        <v>30</v>
      </c>
      <c r="AE168" s="0" t="str">
        <f aca="false">HYPERLINK("https://lindat.mff.cuni.cz/services/SynSemClass55/SynSemClass55.html?veclass=vec00942", "vec00942 / ustoupit (v41myhC)")</f>
        <v>vec00942 / ustoupit (v41myhC)</v>
      </c>
      <c r="AF168" s="0" t="n">
        <v>0.04789</v>
      </c>
      <c r="AG168" s="5" t="s">
        <v>33</v>
      </c>
    </row>
    <row r="170" customFormat="false" ht="12.75" hidden="false" customHeight="false" outlineLevel="0" collapsed="false">
      <c r="A170" s="0" t="str">
        <f aca="false">HYPERLINK("https://lindat.mff.cuni.cz/services/PDT-Vallex4.5/PDT-Vallex4.5.html?verb=odtrhávat se", "odtrhávat se")</f>
        <v>odtrhávat se</v>
      </c>
      <c r="B170" s="0" t="str">
        <f aca="false">HYPERLINK("https://lindat.mff.cuni.cz/services/PDT-Vallex4.5/PDT-Vallex4.5.html?verb=odtrhávat se#v41elrA", "v41elrA")</f>
        <v>v41elrA</v>
      </c>
      <c r="E170" s="0" t="n">
        <v>43</v>
      </c>
      <c r="F170" s="0" t="n">
        <v>0.13954</v>
      </c>
      <c r="G170" s="1" t="s">
        <v>82</v>
      </c>
      <c r="K170" s="0" t="str">
        <f aca="false">HYPERLINK("https://lindat.mff.cuni.cz/services/SynSemClass55/SynSemClass55.html?veclass=vec00905", "vec00905 / rozejít se (v41joqA)")</f>
        <v>vec00905 / rozejít se (v41joqA)</v>
      </c>
      <c r="L170" s="0" t="n">
        <v>0.13954</v>
      </c>
      <c r="M170" s="5" t="s">
        <v>30</v>
      </c>
      <c r="P170" s="0" t="str">
        <f aca="false">HYPERLINK("https://lindat.mff.cuni.cz/services/SynSemClass55/SynSemClass55.html?veclass=vec01456", "vec01456 / useknout (v41muvA)")</f>
        <v>vec01456 / useknout (v41muvA)</v>
      </c>
      <c r="Q170" s="0" t="n">
        <v>0.13155</v>
      </c>
      <c r="R170" s="5" t="s">
        <v>30</v>
      </c>
      <c r="U170" s="0" t="str">
        <f aca="false">HYPERLINK("https://lindat.mff.cuni.cz/services/SynSemClass55/SynSemClass55.html?veclass=vec00047", "vec00047 / oddělit (v41dxvA)")</f>
        <v>vec00047 / oddělit (v41dxvA)</v>
      </c>
      <c r="V170" s="0" t="n">
        <v>0.12578</v>
      </c>
      <c r="W170" s="5" t="s">
        <v>30</v>
      </c>
      <c r="Z170" s="0" t="str">
        <f aca="false">HYPERLINK("https://lindat.mff.cuni.cz/services/SynSemClass55/SynSemClass55.html?veclass=vec00764", "vec00764 / vytrhnout (v41pdrB)")</f>
        <v>vec00764 / vytrhnout (v41pdrB)</v>
      </c>
      <c r="AA170" s="0" t="n">
        <v>0.08021</v>
      </c>
      <c r="AB170" s="5" t="s">
        <v>30</v>
      </c>
      <c r="AE170" s="0" t="str">
        <f aca="false">HYPERLINK("https://lindat.mff.cuni.cz/services/SynSemClass55/SynSemClass55.html?veclass=vec01936", "vec01936 / vyčlenit se (v41nwmA)")</f>
        <v>vec01936 / vyčlenit se (v41nwmA)</v>
      </c>
      <c r="AF170" s="0" t="n">
        <v>0.04473</v>
      </c>
      <c r="AG170" s="5" t="s">
        <v>30</v>
      </c>
    </row>
    <row r="172" customFormat="false" ht="12.75" hidden="false" customHeight="false" outlineLevel="0" collapsed="false">
      <c r="A172" s="0" t="str">
        <f aca="false">HYPERLINK("https://lindat.mff.cuni.cz/services/PDT-Vallex4.5/PDT-Vallex4.5.html?verb=odtrhovat", "odtrhovat")</f>
        <v>odtrhovat</v>
      </c>
      <c r="B172" s="0" t="str">
        <f aca="false">HYPERLINK("https://lindat.mff.cuni.cz/services/PDT-Vallex4.5/PDT-Vallex4.5.html?verb=odtrhovat#v41eluA", "v41eluA")</f>
        <v>v41eluA</v>
      </c>
      <c r="E172" s="0" t="n">
        <v>34</v>
      </c>
      <c r="F172" s="0" t="n">
        <v>0.12392</v>
      </c>
      <c r="G172" s="1" t="s">
        <v>31</v>
      </c>
      <c r="K172" s="0" t="str">
        <f aca="false">HYPERLINK("https://lindat.mff.cuni.cz/services/SynSemClass55/SynSemClass55.html?veclass=vec00905", "vec00905 / rozejít se (v41joqA)")</f>
        <v>vec00905 / rozejít se (v41joqA)</v>
      </c>
      <c r="L172" s="0" t="n">
        <v>0.12392</v>
      </c>
      <c r="M172" s="5" t="s">
        <v>30</v>
      </c>
      <c r="P172" s="0" t="str">
        <f aca="false">HYPERLINK("https://lindat.mff.cuni.cz/services/SynSemClass55/SynSemClass55.html?veclass=vec00764", "vec00764 / vytrhnout (v41pdrB)")</f>
        <v>vec00764 / vytrhnout (v41pdrB)</v>
      </c>
      <c r="Q172" s="0" t="n">
        <v>0.08207</v>
      </c>
      <c r="R172" s="5" t="s">
        <v>30</v>
      </c>
      <c r="U172" s="0" t="str">
        <f aca="false">HYPERLINK("https://lindat.mff.cuni.cz/services/SynSemClass55/SynSemClass55.html?veclass=vec01456", "vec01456 / useknout (v41muvA)")</f>
        <v>vec01456 / useknout (v41muvA)</v>
      </c>
      <c r="V172" s="0" t="n">
        <v>0.07448</v>
      </c>
      <c r="W172" s="5" t="s">
        <v>30</v>
      </c>
      <c r="Z172" s="0" t="str">
        <f aca="false">HYPERLINK("https://lindat.mff.cuni.cz/services/SynSemClass55/SynSemClass55.html?veclass=vec00047", "vec00047 / oddělit (v41dxvA)")</f>
        <v>vec00047 / oddělit (v41dxvA)</v>
      </c>
      <c r="AA172" s="0" t="n">
        <v>0.07265</v>
      </c>
      <c r="AB172" s="5" t="s">
        <v>33</v>
      </c>
      <c r="AE172" s="0" t="str">
        <f aca="false">HYPERLINK("https://lindat.mff.cuni.cz/services/SynSemClass55/SynSemClass55.html?veclass=vec01413", "vec01413 / odtrhnout se (v41eltB)")</f>
        <v>vec01413 / odtrhnout se (v41eltB)</v>
      </c>
      <c r="AF172" s="0" t="n">
        <v>0.03096</v>
      </c>
      <c r="AG172" s="5" t="s">
        <v>30</v>
      </c>
    </row>
    <row r="174" customFormat="false" ht="12.75" hidden="false" customHeight="false" outlineLevel="0" collapsed="false">
      <c r="A174" s="0" t="str">
        <f aca="false">HYPERLINK("https://lindat.mff.cuni.cz/services/PDT-Vallex4.5/PDT-Vallex4.5.html?verb=ohlašovat", "ohlašovat")</f>
        <v>ohlašovat</v>
      </c>
      <c r="B174" s="0" t="str">
        <f aca="false">HYPERLINK("https://lindat.mff.cuni.cz/services/PDT-Vallex4.5/PDT-Vallex4.5.html?verb=ohlašovat#v41eoqB", "v41eoqB")</f>
        <v>v41eoqB</v>
      </c>
      <c r="E174" s="0" t="n">
        <v>265</v>
      </c>
      <c r="F174" s="0" t="n">
        <v>0.73582</v>
      </c>
      <c r="G174" s="1" t="s">
        <v>31</v>
      </c>
      <c r="K174" s="0" t="str">
        <f aca="false">HYPERLINK("https://lindat.mff.cuni.cz/services/SynSemClass55/SynSemClass55.html?veclass=vec00060", "vec00060 / oznámit (v41fgeD)")</f>
        <v>vec00060 / oznámit (v41fgeD)</v>
      </c>
      <c r="L174" s="0" t="n">
        <v>0.73582</v>
      </c>
      <c r="M174" s="5" t="s">
        <v>33</v>
      </c>
      <c r="P174" s="0" t="str">
        <f aca="false">HYPERLINK("https://lindat.mff.cuni.cz/services/SynSemClass55/SynSemClass55.html?veclass=vec01163", "vec01163 / vytrubovat (v41pdvA)")</f>
        <v>vec01163 / vytrubovat (v41pdvA)</v>
      </c>
      <c r="Q174" s="0" t="n">
        <v>0.03635</v>
      </c>
      <c r="R174" s="5" t="s">
        <v>30</v>
      </c>
      <c r="U174" s="0" t="str">
        <f aca="false">HYPERLINK("https://lindat.mff.cuni.cz/services/SynSemClass55/SynSemClass55.html?veclass=vec00488", "vec00488 / prohlásit (v41hddA)")</f>
        <v>vec00488 / prohlásit (v41hddA)</v>
      </c>
      <c r="V174" s="0" t="n">
        <v>0.03205</v>
      </c>
      <c r="W174" s="5" t="s">
        <v>30</v>
      </c>
      <c r="Z174" s="0" t="str">
        <f aca="false">HYPERLINK("https://lindat.mff.cuni.cz/services/SynSemClass55/SynSemClass55.html?veclass=vec01944", "vec01944 / vypisovat (v41ooeD)")</f>
        <v>vec01944 / vypisovat (v41ooeD)</v>
      </c>
      <c r="AA174" s="0" t="n">
        <v>0.02462</v>
      </c>
      <c r="AB174" s="5" t="s">
        <v>30</v>
      </c>
      <c r="AE174" s="0" t="str">
        <f aca="false">HYPERLINK("https://lindat.mff.cuni.cz/services/SynSemClass55/SynSemClass55.html?veclass=vec01700", "vec01700 / vykopat (v41ofuC)")</f>
        <v>vec01700 / vykopat (v41ofuC)</v>
      </c>
      <c r="AF174" s="0" t="n">
        <v>0.0167</v>
      </c>
      <c r="AG174" s="5" t="s">
        <v>30</v>
      </c>
    </row>
    <row r="176" customFormat="false" ht="12.75" hidden="false" customHeight="false" outlineLevel="0" collapsed="false">
      <c r="A176" s="0" t="str">
        <f aca="false">HYPERLINK("https://lindat.mff.cuni.cz/services/PDT-Vallex4.5/PDT-Vallex4.5.html?verb=ohlodat", "ohlodat")</f>
        <v>ohlodat</v>
      </c>
      <c r="B176" s="0" t="str">
        <f aca="false">HYPERLINK("https://lindat.mff.cuni.cz/services/PDT-Vallex4.5/PDT-Vallex4.5.html?verb=ohlodat#v41eozA", "v41eozA")</f>
        <v>v41eozA</v>
      </c>
      <c r="E176" s="0" t="n">
        <v>25</v>
      </c>
      <c r="F176" s="0" t="n">
        <v>0.05974</v>
      </c>
      <c r="G176" s="1" t="s">
        <v>83</v>
      </c>
      <c r="K176" s="0" t="str">
        <f aca="false">HYPERLINK("https://lindat.mff.cuni.cz/services/SynSemClass55/SynSemClass55.html?veclass=vec01250", "vec01250 / opracovávat (v41ewzA)")</f>
        <v>vec01250 / opracovávat (v41ewzA)</v>
      </c>
      <c r="L176" s="0" t="n">
        <v>0.05974</v>
      </c>
      <c r="M176" s="5" t="s">
        <v>30</v>
      </c>
      <c r="P176" s="0" t="str">
        <f aca="false">HYPERLINK("https://lindat.mff.cuni.cz/services/SynSemClass55/SynSemClass55.html?veclass=vec01699", "vec01699 / veslovat (v41njuA)")</f>
        <v>vec01699 / veslovat (v41njuA)</v>
      </c>
      <c r="Q176" s="0" t="n">
        <v>0.04888</v>
      </c>
      <c r="R176" s="5" t="s">
        <v>30</v>
      </c>
      <c r="U176" s="0" t="str">
        <f aca="false">HYPERLINK("https://lindat.mff.cuni.cz/services/SynSemClass55/SynSemClass55.html?veclass=vec01216", "vec01216 / hrabat se (v41aygA)")</f>
        <v>vec01216 / hrabat se (v41aygA)</v>
      </c>
      <c r="V176" s="0" t="n">
        <v>0.04395</v>
      </c>
      <c r="W176" s="5" t="s">
        <v>30</v>
      </c>
      <c r="Z176" s="0" t="str">
        <f aca="false">HYPERLINK("https://lindat.mff.cuni.cz/services/SynSemClass55/SynSemClass55.html?veclass=vec01810", "vec01810 / osahávat (v41eyrA)")</f>
        <v>vec01810 / osahávat (v41eyrA)</v>
      </c>
      <c r="AA176" s="0" t="n">
        <v>0.04308</v>
      </c>
      <c r="AB176" s="5" t="s">
        <v>30</v>
      </c>
      <c r="AE176" s="0" t="str">
        <f aca="false">HYPERLINK("https://lindat.mff.cuni.cz/services/SynSemClass55/SynSemClass55.html?veclass=vec00503", "vec00503 / přiznat se (v41jcjA)")</f>
        <v>vec00503 / přiznat se (v41jcjA)</v>
      </c>
      <c r="AF176" s="0" t="n">
        <v>0.04226</v>
      </c>
      <c r="AG176" s="5" t="s">
        <v>30</v>
      </c>
    </row>
    <row r="178" customFormat="false" ht="12.75" hidden="false" customHeight="false" outlineLevel="0" collapsed="false">
      <c r="A178" s="0" t="str">
        <f aca="false">HYPERLINK("https://lindat.mff.cuni.cz/services/PDT-Vallex4.5/PDT-Vallex4.5.html?verb=okusit", "okusit")</f>
        <v>okusit</v>
      </c>
      <c r="B178" s="0" t="str">
        <f aca="false">HYPERLINK("https://lindat.mff.cuni.cz/services/PDT-Vallex4.5/PDT-Vallex4.5.html?verb=okusit#v41esqA", "v41esqA")</f>
        <v>v41esqA</v>
      </c>
      <c r="E178" s="0" t="n">
        <v>245</v>
      </c>
      <c r="F178" s="0" t="n">
        <v>0.15802</v>
      </c>
      <c r="G178" s="1" t="s">
        <v>31</v>
      </c>
      <c r="H178" s="1" t="s">
        <v>84</v>
      </c>
      <c r="K178" s="0" t="str">
        <f aca="false">HYPERLINK("https://lindat.mff.cuni.cz/services/SynSemClass55/SynSemClass55.html?veclass=vec00058", "vec00058 / otestovat (v41fcyA)")</f>
        <v>vec00058 / otestovat (v41fcyA)</v>
      </c>
      <c r="L178" s="0" t="n">
        <v>0.15802</v>
      </c>
      <c r="M178" s="5" t="s">
        <v>33</v>
      </c>
      <c r="P178" s="0" t="str">
        <f aca="false">HYPERLINK("https://lindat.mff.cuni.cz/services/SynSemClass55/SynSemClass55.html?veclass=vec00379", "vec00379 / zažít (v41qvdA)")</f>
        <v>vec00379 / zažít (v41qvdA)</v>
      </c>
      <c r="Q178" s="0" t="n">
        <v>0.13316</v>
      </c>
      <c r="R178" s="5" t="s">
        <v>30</v>
      </c>
      <c r="U178" s="0" t="str">
        <f aca="false">HYPERLINK("https://lindat.mff.cuni.cz/services/SynSemClass55/SynSemClass55.html?veclass=vec00470", "vec00470 / pociťovat (v41fphB)")</f>
        <v>vec00470 / pociťovat (v41fphB)</v>
      </c>
      <c r="V178" s="0" t="n">
        <v>0.07897</v>
      </c>
      <c r="W178" s="5" t="s">
        <v>30</v>
      </c>
      <c r="Z178" s="0" t="str">
        <f aca="false">HYPERLINK("https://lindat.mff.cuni.cz/services/SynSemClass55/SynSemClass55.html?veclass=vec00203", "vec00203 / cítit (v41lbD)")</f>
        <v>vec00203 / cítit (v41lbD)</v>
      </c>
      <c r="AA178" s="0" t="n">
        <v>0.05823</v>
      </c>
      <c r="AB178" s="5" t="s">
        <v>30</v>
      </c>
      <c r="AE178" s="0" t="str">
        <f aca="false">HYPERLINK("https://lindat.mff.cuni.cz/services/SynSemClass55/SynSemClass55.html?veclass=vec01631", "vec01631 / zažít se (v41qvfA)")</f>
        <v>vec01631 / zažít se (v41qvfA)</v>
      </c>
      <c r="AF178" s="0" t="n">
        <v>0.03258</v>
      </c>
      <c r="AG178" s="5" t="s">
        <v>30</v>
      </c>
    </row>
    <row r="180" customFormat="false" ht="12.75" hidden="false" customHeight="false" outlineLevel="0" collapsed="false">
      <c r="A180" s="0" t="str">
        <f aca="false">HYPERLINK("https://lindat.mff.cuni.cz/services/PDT-Vallex4.5/PDT-Vallex4.5.html?verb=opíjet", "opíjet")</f>
        <v>opíjet</v>
      </c>
      <c r="B180" s="0" t="str">
        <f aca="false">HYPERLINK("https://lindat.mff.cuni.cz/services/PDT-Vallex4.5/PDT-Vallex4.5.html?verb=opíjet#v41evmA", "v41evmA")</f>
        <v>v41evmA</v>
      </c>
      <c r="E180" s="0" t="n">
        <v>155</v>
      </c>
      <c r="F180" s="0" t="n">
        <v>0.0826</v>
      </c>
      <c r="G180" s="1" t="s">
        <v>31</v>
      </c>
      <c r="H180" s="1" t="s">
        <v>85</v>
      </c>
      <c r="K180" s="0" t="str">
        <f aca="false">HYPERLINK("https://lindat.mff.cuni.cz/services/SynSemClass55/SynSemClass55.html?veclass=vec00866", "vec00866 / pít (v41fluA)")</f>
        <v>vec00866 / pít (v41fluA)</v>
      </c>
      <c r="L180" s="0" t="n">
        <v>0.0826</v>
      </c>
      <c r="M180" s="5" t="s">
        <v>30</v>
      </c>
      <c r="P180" s="0" t="str">
        <f aca="false">HYPERLINK("https://lindat.mff.cuni.cz/services/SynSemClass55/SynSemClass55.html?veclass=vec00830", "vec00830 / kouřit (v41bttA)")</f>
        <v>vec00830 / kouřit (v41bttA)</v>
      </c>
      <c r="Q180" s="0" t="n">
        <v>0.05044</v>
      </c>
      <c r="R180" s="5" t="s">
        <v>30</v>
      </c>
      <c r="U180" s="0" t="str">
        <f aca="false">HYPERLINK("https://lindat.mff.cuni.cz/services/SynSemClass55/SynSemClass55.html?veclass=vec01514", "vec01514 / předávkovat (v41hvjA)")</f>
        <v>vec01514 / předávkovat (v41hvjA)</v>
      </c>
      <c r="V180" s="0" t="n">
        <v>0.04913</v>
      </c>
      <c r="W180" s="5" t="s">
        <v>34</v>
      </c>
      <c r="Z180" s="0" t="str">
        <f aca="false">HYPERLINK("https://lindat.mff.cuni.cz/services/SynSemClass55/SynSemClass55.html?veclass=vec01584", "vec01584 / oholit (v41eplB)")</f>
        <v>vec01584 / oholit (v41eplB)</v>
      </c>
      <c r="AA180" s="0" t="n">
        <v>0.04128</v>
      </c>
      <c r="AB180" s="5" t="s">
        <v>30</v>
      </c>
      <c r="AE180" s="0" t="str">
        <f aca="false">HYPERLINK("https://lindat.mff.cuni.cz/services/SynSemClass55/SynSemClass55.html?veclass=vec01039", "vec01039 / kousnout si (v41btzA)")</f>
        <v>vec01039 / kousnout si (v41btzA)</v>
      </c>
      <c r="AF180" s="0" t="n">
        <v>0.03594</v>
      </c>
      <c r="AG180" s="5" t="s">
        <v>30</v>
      </c>
    </row>
    <row r="182" customFormat="false" ht="12.75" hidden="false" customHeight="false" outlineLevel="0" collapsed="false">
      <c r="A182" s="0" t="str">
        <f aca="false">HYPERLINK("https://lindat.mff.cuni.cz/services/PDT-Vallex4.5/PDT-Vallex4.5.html?verb=opotřebovat", "opotřebovat")</f>
        <v>opotřebovat</v>
      </c>
      <c r="B182" s="0" t="str">
        <f aca="false">HYPERLINK("https://lindat.mff.cuni.cz/services/PDT-Vallex4.5/PDT-Vallex4.5.html?verb=opotřebovat#v41ewqA", "v41ewqA")</f>
        <v>v41ewqA</v>
      </c>
      <c r="E182" s="0" t="n">
        <v>34</v>
      </c>
      <c r="F182" s="0" t="n">
        <v>0.09934</v>
      </c>
      <c r="G182" s="1" t="s">
        <v>86</v>
      </c>
      <c r="K182" s="0" t="str">
        <f aca="false">HYPERLINK("https://lindat.mff.cuni.cz/services/SynSemClass55/SynSemClass55.html?veclass=vec00790", "vec00790 / zkazit se (v41rfkA)")</f>
        <v>vec00790 / zkazit se (v41rfkA)</v>
      </c>
      <c r="L182" s="0" t="n">
        <v>0.09934</v>
      </c>
      <c r="M182" s="5" t="s">
        <v>30</v>
      </c>
      <c r="P182" s="0" t="str">
        <f aca="false">HYPERLINK("https://lindat.mff.cuni.cz/services/SynSemClass55/SynSemClass55.html?veclass=vec01613", "vec01613 / unavit (v41mqbA)")</f>
        <v>vec01613 / unavit (v41mqbA)</v>
      </c>
      <c r="Q182" s="0" t="n">
        <v>0.08923</v>
      </c>
      <c r="R182" s="5" t="s">
        <v>30</v>
      </c>
      <c r="U182" s="0" t="str">
        <f aca="false">HYPERLINK("https://lindat.mff.cuni.cz/services/SynSemClass55/SynSemClass55.html?veclass=vec00576", "vec00576 / zaplavit (v41qflC)")</f>
        <v>vec00576 / zaplavit (v41qflC)</v>
      </c>
      <c r="V182" s="0" t="n">
        <v>0.07029</v>
      </c>
      <c r="W182" s="5" t="s">
        <v>30</v>
      </c>
      <c r="Z182" s="0" t="str">
        <f aca="false">HYPERLINK("https://lindat.mff.cuni.cz/services/SynSemClass55/SynSemClass55.html?veclass=vec01988", "vec01988 / zúročit (v41saaA)")</f>
        <v>vec01988 / zúročit (v41saaA)</v>
      </c>
      <c r="AA182" s="0" t="n">
        <v>0.06659</v>
      </c>
      <c r="AB182" s="5" t="s">
        <v>30</v>
      </c>
      <c r="AE182" s="0" t="str">
        <f aca="false">HYPERLINK("https://lindat.mff.cuni.cz/services/SynSemClass55/SynSemClass55.html?veclass=vec00755", "vec00755 / vymizet (v41okoA)")</f>
        <v>vec00755 / vymizet (v41okoA)</v>
      </c>
      <c r="AF182" s="0" t="n">
        <v>0.06283</v>
      </c>
      <c r="AG182" s="5" t="s">
        <v>30</v>
      </c>
    </row>
    <row r="184" customFormat="false" ht="12.75" hidden="false" customHeight="false" outlineLevel="0" collapsed="false">
      <c r="A184" s="0" t="str">
        <f aca="false">HYPERLINK("https://lindat.mff.cuni.cz/services/PDT-Vallex4.5/PDT-Vallex4.5.html?verb=opsat", "opsat")</f>
        <v>opsat</v>
      </c>
      <c r="B184" s="0" t="str">
        <f aca="false">HYPERLINK("https://lindat.mff.cuni.cz/services/PDT-Vallex4.5/PDT-Vallex4.5.html?verb=opsat#v41expA", "v41expA")</f>
        <v>v41expA</v>
      </c>
      <c r="E184" s="0" t="n">
        <v>430</v>
      </c>
      <c r="F184" s="0" t="n">
        <v>0.32158</v>
      </c>
      <c r="G184" s="1" t="s">
        <v>31</v>
      </c>
      <c r="K184" s="0" t="str">
        <f aca="false">HYPERLINK("https://lindat.mff.cuni.cz/services/SynSemClass55/SynSemClass55.html?veclass=vec01249", "vec01249 / opisovat (v41evuA)")</f>
        <v>vec01249 / opisovat (v41evuA)</v>
      </c>
      <c r="L184" s="0" t="n">
        <v>0.32158</v>
      </c>
      <c r="M184" s="5" t="s">
        <v>30</v>
      </c>
      <c r="P184" s="0" t="str">
        <f aca="false">HYPERLINK("https://lindat.mff.cuni.cz/services/SynSemClass55/SynSemClass55.html?veclass=vec01855", "vec01855 / přetisknout (v41ilfA)")</f>
        <v>vec01855 / přetisknout (v41ilfA)</v>
      </c>
      <c r="Q184" s="0" t="n">
        <v>0.04317</v>
      </c>
      <c r="R184" s="5" t="s">
        <v>30</v>
      </c>
      <c r="U184" s="0" t="str">
        <f aca="false">HYPERLINK("https://lindat.mff.cuni.cz/services/SynSemClass55/SynSemClass55.html?veclass=vec00037", "vec00037 / napsat (v41cyqJ)")</f>
        <v>vec00037 / napsat (v41cyqJ)</v>
      </c>
      <c r="V184" s="0" t="n">
        <v>0.02874</v>
      </c>
      <c r="W184" s="5" t="s">
        <v>30</v>
      </c>
      <c r="Z184" s="0" t="str">
        <f aca="false">HYPERLINK("https://lindat.mff.cuni.cz/services/SynSemClass55/SynSemClass55.html?veclass=vec01804", "vec01804 / okoukat (v41esbA)")</f>
        <v>vec01804 / okoukat (v41esbA)</v>
      </c>
      <c r="AA184" s="0" t="n">
        <v>0.02756</v>
      </c>
      <c r="AB184" s="5" t="s">
        <v>34</v>
      </c>
      <c r="AE184" s="0" t="str">
        <f aca="false">HYPERLINK("https://lindat.mff.cuni.cz/services/SynSemClass55/SynSemClass55.html?veclass=vec01246", "vec01246 / okopírovat (v41erzB)")</f>
        <v>vec01246 / okopírovat (v41erzB)</v>
      </c>
      <c r="AF184" s="0" t="n">
        <v>0.02209</v>
      </c>
      <c r="AG184" s="5" t="s">
        <v>30</v>
      </c>
    </row>
    <row r="186" customFormat="false" ht="12.75" hidden="false" customHeight="false" outlineLevel="0" collapsed="false">
      <c r="A186" s="0" t="str">
        <f aca="false">HYPERLINK("https://lindat.mff.cuni.cz/services/PDT-Vallex4.5/PDT-Vallex4.5.html?verb=oteplit se", "oteplit se")</f>
        <v>oteplit se</v>
      </c>
      <c r="B186" s="0" t="str">
        <f aca="false">HYPERLINK("https://lindat.mff.cuni.cz/services/PDT-Vallex4.5/PDT-Vallex4.5.html?verb=oteplit se#v41fcuA", "v41fcuA")</f>
        <v>v41fcuA</v>
      </c>
      <c r="E186" s="0" t="n">
        <v>48</v>
      </c>
      <c r="F186" s="0" t="n">
        <v>0.40589</v>
      </c>
      <c r="G186" s="1" t="s">
        <v>31</v>
      </c>
      <c r="K186" s="0" t="str">
        <f aca="false">HYPERLINK("https://lindat.mff.cuni.cz/services/SynSemClass55/SynSemClass55.html?veclass=vec01064", "vec01064 / oteplovat se (v41fcwA)")</f>
        <v>vec01064 / oteplovat se (v41fcwA)</v>
      </c>
      <c r="L186" s="0" t="n">
        <v>0.40589</v>
      </c>
      <c r="M186" s="5" t="s">
        <v>33</v>
      </c>
      <c r="P186" s="0" t="str">
        <f aca="false">HYPERLINK("https://lindat.mff.cuni.cz/services/SynSemClass55/SynSemClass55.html?veclass=vec01644", "vec01644 / mrznout (v41cjwB)")</f>
        <v>vec01644 / mrznout (v41cjwB)</v>
      </c>
      <c r="Q186" s="0" t="n">
        <v>0.13163</v>
      </c>
      <c r="R186" s="5" t="s">
        <v>30</v>
      </c>
      <c r="U186" s="0" t="str">
        <f aca="false">HYPERLINK("https://lindat.mff.cuni.cz/services/SynSemClass55/SynSemClass55.html?veclass=vec00055", "vec00055 / oslabit (v41ezlC)")</f>
        <v>vec00055 / oslabit (v41ezlC)</v>
      </c>
      <c r="V186" s="0" t="n">
        <v>0.03088</v>
      </c>
      <c r="W186" s="5" t="s">
        <v>30</v>
      </c>
      <c r="Z186" s="0" t="str">
        <f aca="false">HYPERLINK("https://lindat.mff.cuni.cz/services/SynSemClass55/SynSemClass55.html?veclass=vec01553", "vec01553 / hřát (v41azjA)")</f>
        <v>vec01553 / hřát (v41azjA)</v>
      </c>
      <c r="AA186" s="0" t="n">
        <v>0.02688</v>
      </c>
      <c r="AB186" s="5" t="s">
        <v>30</v>
      </c>
      <c r="AE186" s="0" t="str">
        <f aca="false">HYPERLINK("https://lindat.mff.cuni.cz/services/SynSemClass55/SynSemClass55.html?veclass=vec01627", "vec01627 / zatáhnout se (v41qosB)")</f>
        <v>vec01627 / zatáhnout se (v41qosB)</v>
      </c>
      <c r="AF186" s="0" t="n">
        <v>0.02647</v>
      </c>
      <c r="AG186" s="5" t="s">
        <v>30</v>
      </c>
    </row>
    <row r="188" customFormat="false" ht="12.75" hidden="false" customHeight="false" outlineLevel="0" collapsed="false">
      <c r="A188" s="0" t="str">
        <f aca="false">HYPERLINK("https://lindat.mff.cuni.cz/services/PDT-Vallex4.5/PDT-Vallex4.5.html?verb=oteplovat", "oteplovat")</f>
        <v>oteplovat</v>
      </c>
      <c r="B188" s="0" t="str">
        <f aca="false">HYPERLINK("https://lindat.mff.cuni.cz/services/PDT-Vallex4.5/PDT-Vallex4.5.html?verb=oteplovat#v41fcvA", "v41fcvA")</f>
        <v>v41fcvA</v>
      </c>
      <c r="E188" s="0" t="n">
        <v>30</v>
      </c>
      <c r="F188" s="0" t="n">
        <v>0.57643</v>
      </c>
      <c r="G188" s="1" t="s">
        <v>31</v>
      </c>
      <c r="K188" s="0" t="str">
        <f aca="false">HYPERLINK("https://lindat.mff.cuni.cz/services/SynSemClass55/SynSemClass55.html?veclass=vec01064", "vec01064 / oteplovat se (v41fcwA)")</f>
        <v>vec01064 / oteplovat se (v41fcwA)</v>
      </c>
      <c r="L188" s="0" t="n">
        <v>0.57643</v>
      </c>
      <c r="M188" s="5" t="s">
        <v>30</v>
      </c>
      <c r="P188" s="0" t="str">
        <f aca="false">HYPERLINK("https://lindat.mff.cuni.cz/services/SynSemClass55/SynSemClass55.html?veclass=vec01644", "vec01644 / mrznout (v41cjwB)")</f>
        <v>vec01644 / mrznout (v41cjwB)</v>
      </c>
      <c r="Q188" s="0" t="n">
        <v>0.08782</v>
      </c>
      <c r="R188" s="5" t="s">
        <v>30</v>
      </c>
      <c r="U188" s="0" t="str">
        <f aca="false">HYPERLINK("https://lindat.mff.cuni.cz/services/SynSemClass55/SynSemClass55.html?veclass=vec01553", "vec01553 / hřát (v41azjA)")</f>
        <v>vec01553 / hřát (v41azjA)</v>
      </c>
      <c r="V188" s="0" t="n">
        <v>0.07181</v>
      </c>
      <c r="W188" s="5" t="s">
        <v>33</v>
      </c>
      <c r="Z188" s="0" t="str">
        <f aca="false">HYPERLINK("https://lindat.mff.cuni.cz/services/SynSemClass55/SynSemClass55.html?veclass=vec00055", "vec00055 / oslabit (v41ezlC)")</f>
        <v>vec00055 / oslabit (v41ezlC)</v>
      </c>
      <c r="AA188" s="0" t="n">
        <v>0.03643</v>
      </c>
      <c r="AB188" s="5" t="s">
        <v>30</v>
      </c>
      <c r="AE188" s="0" t="str">
        <f aca="false">HYPERLINK("https://lindat.mff.cuni.cz/services/SynSemClass55/SynSemClass55.html?veclass=vec01103", "vec01103 / roztavit se (v41jztA)")</f>
        <v>vec01103 / roztavit se (v41jztA)</v>
      </c>
      <c r="AF188" s="0" t="n">
        <v>0.02269</v>
      </c>
      <c r="AG188" s="5" t="s">
        <v>30</v>
      </c>
    </row>
    <row r="190" customFormat="false" ht="12.75" hidden="false" customHeight="false" outlineLevel="0" collapsed="false">
      <c r="A190" s="0" t="str">
        <f aca="false">HYPERLINK("https://lindat.mff.cuni.cz/services/PDT-Vallex4.5/PDT-Vallex4.5.html?verb=otisknout", "otisknout")</f>
        <v>otisknout</v>
      </c>
      <c r="B190" s="0" t="str">
        <f aca="false">HYPERLINK("https://lindat.mff.cuni.cz/services/PDT-Vallex4.5/PDT-Vallex4.5.html?verb=otisknout#v41fdiA", "v41fdiA")</f>
        <v>v41fdiA</v>
      </c>
      <c r="E190" s="0" t="n">
        <v>331</v>
      </c>
      <c r="F190" s="0" t="n">
        <v>0.43693</v>
      </c>
      <c r="G190" s="1" t="s">
        <v>31</v>
      </c>
      <c r="K190" s="0" t="str">
        <f aca="false">HYPERLINK("https://lindat.mff.cuni.cz/services/SynSemClass55/SynSemClass55.html?veclass=vec01855", "vec01855 / přetisknout (v41ilfA)")</f>
        <v>vec01855 / přetisknout (v41ilfA)</v>
      </c>
      <c r="L190" s="0" t="n">
        <v>0.43693</v>
      </c>
      <c r="M190" s="5" t="s">
        <v>33</v>
      </c>
      <c r="P190" s="0" t="str">
        <f aca="false">HYPERLINK("https://lindat.mff.cuni.cz/services/SynSemClass55/SynSemClass55.html?veclass=vec00528", "vec00528 / tisknout (v41lzaA)")</f>
        <v>vec00528 / tisknout (v41lzaA)</v>
      </c>
      <c r="Q190" s="0" t="n">
        <v>0.19935</v>
      </c>
      <c r="R190" s="5" t="s">
        <v>30</v>
      </c>
      <c r="U190" s="0" t="str">
        <f aca="false">HYPERLINK("https://lindat.mff.cuni.cz/services/SynSemClass55/SynSemClass55.html?veclass=vec01249", "vec01249 / opisovat (v41evuA)")</f>
        <v>vec01249 / opisovat (v41evuA)</v>
      </c>
      <c r="V190" s="0" t="n">
        <v>0.06246</v>
      </c>
      <c r="W190" s="5" t="s">
        <v>30</v>
      </c>
      <c r="Z190" s="0" t="str">
        <f aca="false">HYPERLINK("https://lindat.mff.cuni.cz/services/SynSemClass55/SynSemClass55.html?veclass=vec00638", "vec00638 / namalovat (v41cutB)")</f>
        <v>vec00638 / namalovat (v41cutB)</v>
      </c>
      <c r="AA190" s="0" t="n">
        <v>0.02908</v>
      </c>
      <c r="AB190" s="5" t="s">
        <v>30</v>
      </c>
      <c r="AE190" s="0" t="str">
        <f aca="false">HYPERLINK("https://lindat.mff.cuni.cz/services/SynSemClass55/SynSemClass55.html?veclass=vec01224", "vec01224 / listovat (v41cbiA)")</f>
        <v>vec01224 / listovat (v41cbiA)</v>
      </c>
      <c r="AF190" s="0" t="n">
        <v>0.0253</v>
      </c>
      <c r="AG190" s="5" t="s">
        <v>30</v>
      </c>
    </row>
    <row r="192" customFormat="false" ht="12.75" hidden="false" customHeight="false" outlineLevel="0" collapsed="false">
      <c r="A192" s="0" t="str">
        <f aca="false">HYPERLINK("https://lindat.mff.cuni.cz/services/PDT-Vallex4.5/PDT-Vallex4.5.html?verb=otiskovat", "otiskovat")</f>
        <v>otiskovat</v>
      </c>
      <c r="B192" s="0" t="str">
        <f aca="false">HYPERLINK("https://lindat.mff.cuni.cz/services/PDT-Vallex4.5/PDT-Vallex4.5.html?verb=otiskovat#v41fdjA", "v41fdjA")</f>
        <v>v41fdjA</v>
      </c>
      <c r="E192" s="0" t="n">
        <v>52</v>
      </c>
      <c r="F192" s="0" t="n">
        <v>0.3847</v>
      </c>
      <c r="G192" s="1" t="s">
        <v>31</v>
      </c>
      <c r="K192" s="0" t="str">
        <f aca="false">HYPERLINK("https://lindat.mff.cuni.cz/services/SynSemClass55/SynSemClass55.html?veclass=vec01855", "vec01855 / přetisknout (v41ilfA)")</f>
        <v>vec01855 / přetisknout (v41ilfA)</v>
      </c>
      <c r="L192" s="0" t="n">
        <v>0.3847</v>
      </c>
      <c r="M192" s="5" t="s">
        <v>33</v>
      </c>
      <c r="P192" s="0" t="str">
        <f aca="false">HYPERLINK("https://lindat.mff.cuni.cz/services/SynSemClass55/SynSemClass55.html?veclass=vec00528", "vec00528 / tisknout (v41lzaA)")</f>
        <v>vec00528 / tisknout (v41lzaA)</v>
      </c>
      <c r="Q192" s="0" t="n">
        <v>0.07217</v>
      </c>
      <c r="R192" s="5" t="s">
        <v>30</v>
      </c>
      <c r="U192" s="0" t="str">
        <f aca="false">HYPERLINK("https://lindat.mff.cuni.cz/services/SynSemClass55/SynSemClass55.html?veclass=vec01249", "vec01249 / opisovat (v41evuA)")</f>
        <v>vec01249 / opisovat (v41evuA)</v>
      </c>
      <c r="V192" s="0" t="n">
        <v>0.07212</v>
      </c>
      <c r="W192" s="5" t="s">
        <v>30</v>
      </c>
      <c r="Z192" s="0" t="str">
        <f aca="false">HYPERLINK("https://lindat.mff.cuni.cz/services/SynSemClass55/SynSemClass55.html?veclass=vec01673", "vec01673 / rýt (v41kdeA)")</f>
        <v>vec01673 / rýt (v41kdeA)</v>
      </c>
      <c r="AA192" s="0" t="n">
        <v>0.04369</v>
      </c>
      <c r="AB192" s="5" t="s">
        <v>30</v>
      </c>
      <c r="AE192" s="0" t="str">
        <f aca="false">HYPERLINK("https://lindat.mff.cuni.cz/services/SynSemClass55/SynSemClass55.html?veclass=vec01224", "vec01224 / listovat (v41cbiA)")</f>
        <v>vec01224 / listovat (v41cbiA)</v>
      </c>
      <c r="AF192" s="0" t="n">
        <v>0.03509</v>
      </c>
      <c r="AG192" s="5" t="s">
        <v>30</v>
      </c>
    </row>
    <row r="194" customFormat="false" ht="12.75" hidden="false" customHeight="false" outlineLevel="0" collapsed="false">
      <c r="A194" s="0" t="str">
        <f aca="false">HYPERLINK("https://lindat.mff.cuni.cz/services/PDT-Vallex4.5/PDT-Vallex4.5.html?verb=otužovat", "otužovat")</f>
        <v>otužovat</v>
      </c>
      <c r="B194" s="0" t="str">
        <f aca="false">HYPERLINK("https://lindat.mff.cuni.cz/services/PDT-Vallex4.5/PDT-Vallex4.5.html?verb=otužovat#v41fekA", "v41fekA")</f>
        <v>v41fekA</v>
      </c>
      <c r="E194" s="0" t="n">
        <v>11</v>
      </c>
      <c r="F194" s="0" t="n">
        <v>0.25944</v>
      </c>
      <c r="G194" s="1" t="n">
        <v>0</v>
      </c>
      <c r="I194" s="1" t="s">
        <v>87</v>
      </c>
      <c r="K194" s="0" t="str">
        <f aca="false">HYPERLINK("https://lindat.mff.cuni.cz/services/SynSemClass55/SynSemClass55.html?veclass=vec00536", "vec00536 / uklidnit (v41mmaA)")</f>
        <v>vec00536 / uklidnit (v41mmaA)</v>
      </c>
      <c r="L194" s="0" t="n">
        <v>0.25944</v>
      </c>
      <c r="M194" s="5" t="s">
        <v>30</v>
      </c>
      <c r="P194" s="0" t="str">
        <f aca="false">HYPERLINK("https://lindat.mff.cuni.cz/services/SynSemClass55/SynSemClass55.html?veclass=vec00055", "vec00055 / oslabit (v41ezlC)")</f>
        <v>vec00055 / oslabit (v41ezlC)</v>
      </c>
      <c r="Q194" s="0" t="n">
        <v>0.08394</v>
      </c>
      <c r="R194" s="5" t="s">
        <v>30</v>
      </c>
      <c r="U194" s="0" t="str">
        <f aca="false">HYPERLINK("https://lindat.mff.cuni.cz/services/SynSemClass55/SynSemClass55.html?veclass=vec00733", "vec00733 / uklidnit se (v41mmbA)")</f>
        <v>vec00733 / uklidnit se (v41mmbA)</v>
      </c>
      <c r="V194" s="0" t="n">
        <v>0.04742</v>
      </c>
      <c r="W194" s="5" t="s">
        <v>30</v>
      </c>
      <c r="Z194" s="0" t="str">
        <f aca="false">HYPERLINK("https://lindat.mff.cuni.cz/services/SynSemClass55/SynSemClass55.html?veclass=vec01549", "vec01549 / dusit se (v41alzA)")</f>
        <v>vec01549 / dusit se (v41alzA)</v>
      </c>
      <c r="AA194" s="0" t="n">
        <v>0.047</v>
      </c>
      <c r="AB194" s="5" t="s">
        <v>30</v>
      </c>
      <c r="AE194" s="0" t="str">
        <f aca="false">HYPERLINK("https://lindat.mff.cuni.cz/services/SynSemClass55/SynSemClass55.html?veclass=vec00958", "vec00958 / vyčinit (v41nvxA)")</f>
        <v>vec00958 / vyčinit (v41nvxA)</v>
      </c>
      <c r="AF194" s="0" t="n">
        <v>0.03961</v>
      </c>
      <c r="AG194" s="5" t="s">
        <v>30</v>
      </c>
    </row>
    <row r="196" customFormat="false" ht="12.75" hidden="false" customHeight="false" outlineLevel="0" collapsed="false">
      <c r="A196" s="0" t="str">
        <f aca="false">HYPERLINK("https://lindat.mff.cuni.cz/services/PDT-Vallex4.5/PDT-Vallex4.5.html?verb=ozářit", "ozářit")</f>
        <v>ozářit</v>
      </c>
      <c r="B196" s="0" t="str">
        <f aca="false">HYPERLINK("https://lindat.mff.cuni.cz/services/PDT-Vallex4.5/PDT-Vallex4.5.html?verb=ozářit#v41ffmB", "v41ffmB")</f>
        <v>v41ffmB</v>
      </c>
      <c r="E196" s="0" t="n">
        <v>323</v>
      </c>
      <c r="F196" s="0" t="n">
        <v>0.66102</v>
      </c>
      <c r="G196" s="1" t="n">
        <v>0</v>
      </c>
      <c r="I196" s="1" t="s">
        <v>88</v>
      </c>
      <c r="K196" s="0" t="str">
        <f aca="false">HYPERLINK("https://lindat.mff.cuni.cz/services/SynSemClass55/SynSemClass55.html?veclass=vec01417", "vec01417 / osvětlit (v41fbeB)")</f>
        <v>vec01417 / osvětlit (v41fbeB)</v>
      </c>
      <c r="L196" s="0" t="n">
        <v>0.66102</v>
      </c>
      <c r="M196" s="5" t="s">
        <v>30</v>
      </c>
      <c r="P196" s="0" t="str">
        <f aca="false">HYPERLINK("https://lindat.mff.cuni.cz/services/SynSemClass55/SynSemClass55.html?veclass=vec01173", "vec01173 / zářit (v41qjnB)")</f>
        <v>vec01173 / zářit (v41qjnB)</v>
      </c>
      <c r="Q196" s="0" t="n">
        <v>0.09054</v>
      </c>
      <c r="R196" s="5" t="s">
        <v>30</v>
      </c>
      <c r="U196" s="0" t="str">
        <f aca="false">HYPERLINK("https://lindat.mff.cuni.cz/services/SynSemClass55/SynSemClass55.html?veclass=vec00514", "vec00514 / skrýt (v41krqB)")</f>
        <v>vec00514 / skrýt (v41krqB)</v>
      </c>
      <c r="V196" s="0" t="n">
        <v>0.03456</v>
      </c>
      <c r="W196" s="5" t="s">
        <v>30</v>
      </c>
      <c r="Z196" s="0" t="str">
        <f aca="false">HYPERLINK("https://lindat.mff.cuni.cz/services/SynSemClass55/SynSemClass55.html?veclass=vec01887", "vec01887 / slunit se (v41kueA)")</f>
        <v>vec01887 / slunit se (v41kueA)</v>
      </c>
      <c r="AA196" s="0" t="n">
        <v>0.02874</v>
      </c>
      <c r="AB196" s="5" t="s">
        <v>30</v>
      </c>
      <c r="AE196" s="0" t="str">
        <f aca="false">HYPERLINK("https://lindat.mff.cuni.cz/services/SynSemClass55/SynSemClass55.html?veclass=vec00450", "vec00450 / objasnit (v41dpgA)")</f>
        <v>vec00450 / objasnit (v41dpgA)</v>
      </c>
      <c r="AF196" s="0" t="n">
        <v>0.02463</v>
      </c>
      <c r="AG196" s="5" t="s">
        <v>30</v>
      </c>
    </row>
    <row r="198" customFormat="false" ht="12.75" hidden="false" customHeight="false" outlineLevel="0" collapsed="false">
      <c r="A198" s="0" t="str">
        <f aca="false">HYPERLINK("https://lindat.mff.cuni.cz/services/PDT-Vallex4.5/PDT-Vallex4.5.html?verb=ožrat", "ožrat")</f>
        <v>ožrat</v>
      </c>
      <c r="B198" s="0" t="str">
        <f aca="false">HYPERLINK("https://lindat.mff.cuni.cz/services/PDT-Vallex4.5/PDT-Vallex4.5.html?verb=ožrat#v41fhcA", "v41fhcA")</f>
        <v>v41fhcA</v>
      </c>
      <c r="E198" s="0" t="n">
        <v>113</v>
      </c>
      <c r="F198" s="0" t="n">
        <v>0.5438</v>
      </c>
      <c r="G198" s="1" t="n">
        <v>0</v>
      </c>
      <c r="I198" s="1" t="s">
        <v>89</v>
      </c>
      <c r="K198" s="0" t="str">
        <f aca="false">HYPERLINK("https://lindat.mff.cuni.cz/services/SynSemClass55/SynSemClass55.html?veclass=vec00828", "vec00828 / jíst (v41bifB)")</f>
        <v>vec00828 / jíst (v41bifB)</v>
      </c>
      <c r="L198" s="0" t="n">
        <v>0.5438</v>
      </c>
      <c r="M198" s="5" t="s">
        <v>30</v>
      </c>
      <c r="P198" s="0" t="str">
        <f aca="false">HYPERLINK("https://lindat.mff.cuni.cz/services/SynSemClass55/SynSemClass55.html?veclass=vec01514", "vec01514 / předávkovat (v41hvjA)")</f>
        <v>vec01514 / předávkovat (v41hvjA)</v>
      </c>
      <c r="Q198" s="0" t="n">
        <v>0.25171</v>
      </c>
      <c r="R198" s="5" t="s">
        <v>30</v>
      </c>
      <c r="U198" s="0" t="str">
        <f aca="false">HYPERLINK("https://lindat.mff.cuni.cz/services/SynSemClass55/SynSemClass55.html?veclass=vec01549", "vec01549 / dusit se (v41alzA)")</f>
        <v>vec01549 / dusit se (v41alzA)</v>
      </c>
      <c r="V198" s="0" t="n">
        <v>0.03808</v>
      </c>
      <c r="W198" s="5" t="s">
        <v>30</v>
      </c>
      <c r="Z198" s="0" t="str">
        <f aca="false">HYPERLINK("https://lindat.mff.cuni.cz/services/SynSemClass55/SynSemClass55.html?veclass=vec00576", "vec00576 / zaplavit (v41qflC)")</f>
        <v>vec00576 / zaplavit (v41qflC)</v>
      </c>
      <c r="AA198" s="0" t="n">
        <v>0.02514</v>
      </c>
      <c r="AB198" s="5" t="s">
        <v>30</v>
      </c>
      <c r="AE198" s="0" t="str">
        <f aca="false">HYPERLINK("https://lindat.mff.cuni.cz/services/SynSemClass55/SynSemClass55.html?veclass=vec01940", "vec01940 / vylekat se (v41ohtA)")</f>
        <v>vec01940 / vylekat se (v41ohtA)</v>
      </c>
      <c r="AF198" s="0" t="n">
        <v>0.02008</v>
      </c>
      <c r="AG198" s="5" t="s">
        <v>30</v>
      </c>
    </row>
    <row r="200" customFormat="false" ht="12.75" hidden="false" customHeight="false" outlineLevel="0" collapsed="false">
      <c r="A200" s="0" t="str">
        <f aca="false">HYPERLINK("https://lindat.mff.cuni.cz/services/PDT-Vallex4.5/PDT-Vallex4.5.html?verb=pálit si", "pálit si")</f>
        <v>pálit si</v>
      </c>
      <c r="B200" s="0" t="str">
        <f aca="false">HYPERLINK("https://lindat.mff.cuni.cz/services/PDT-Vallex4.5/PDT-Vallex4.5.html?verb=pálit si#v41fiaA", "v41fiaA")</f>
        <v>v41fiaA</v>
      </c>
      <c r="E200" s="0" t="n">
        <v>810</v>
      </c>
      <c r="F200" s="0" t="n">
        <v>0.15997</v>
      </c>
      <c r="G200" s="1" t="s">
        <v>31</v>
      </c>
      <c r="H200" s="1" t="s">
        <v>90</v>
      </c>
      <c r="I200" s="1" t="s">
        <v>42</v>
      </c>
      <c r="K200" s="0" t="str">
        <f aca="false">HYPERLINK("https://lindat.mff.cuni.cz/services/SynSemClass55/SynSemClass55.html?veclass=vec00986", "vec00986 / zapálit (v41qecA)")</f>
        <v>vec00986 / zapálit (v41qecA)</v>
      </c>
      <c r="L200" s="0" t="n">
        <v>0.15997</v>
      </c>
      <c r="M200" s="5" t="s">
        <v>30</v>
      </c>
      <c r="P200" s="0" t="str">
        <f aca="false">HYPERLINK("https://lindat.mff.cuni.cz/services/SynSemClass55/SynSemClass55.html?veclass=vec01215", "vec01215 / hořet (v41axjA)")</f>
        <v>vec01215 / hořet (v41axjA)</v>
      </c>
      <c r="Q200" s="0" t="n">
        <v>0.07176</v>
      </c>
      <c r="R200" s="5" t="s">
        <v>30</v>
      </c>
      <c r="U200" s="0" t="str">
        <f aca="false">HYPERLINK("https://lindat.mff.cuni.cz/services/SynSemClass55/SynSemClass55.html?veclass=vec00721", "vec00721 / spálit se (v41ladA)")</f>
        <v>vec00721 / spálit se (v41ladA)</v>
      </c>
      <c r="V200" s="0" t="n">
        <v>0.06759</v>
      </c>
      <c r="W200" s="5" t="s">
        <v>33</v>
      </c>
      <c r="Z200" s="0" t="str">
        <f aca="false">HYPERLINK("https://lindat.mff.cuni.cz/services/SynSemClass55/SynSemClass55.html?veclass=vec01887", "vec01887 / slunit se (v41kueA)")</f>
        <v>vec01887 / slunit se (v41kueA)</v>
      </c>
      <c r="AA200" s="0" t="n">
        <v>0.04459</v>
      </c>
      <c r="AB200" s="5" t="s">
        <v>30</v>
      </c>
      <c r="AE200" s="0" t="str">
        <f aca="false">HYPERLINK("https://lindat.mff.cuni.cz/services/SynSemClass55/SynSemClass55.html?veclass=vec00729", "vec00729 / střílet (v41lnrC)")</f>
        <v>vec00729 / střílet (v41lnrC)</v>
      </c>
      <c r="AF200" s="0" t="n">
        <v>0.04299</v>
      </c>
      <c r="AG200" s="5" t="s">
        <v>30</v>
      </c>
    </row>
    <row r="202" customFormat="false" ht="12.75" hidden="false" customHeight="false" outlineLevel="0" collapsed="false">
      <c r="A202" s="0" t="str">
        <f aca="false">HYPERLINK("https://lindat.mff.cuni.cz/services/PDT-Vallex4.5/PDT-Vallex4.5.html?verb=pást se", "pást se")</f>
        <v>pást se</v>
      </c>
      <c r="B202" s="0" t="str">
        <f aca="false">HYPERLINK("https://lindat.mff.cuni.cz/services/PDT-Vallex4.5/PDT-Vallex4.5.html?verb=pást se#v41fjmA", "v41fjmA")</f>
        <v>v41fjmA</v>
      </c>
      <c r="E202" s="0" t="n">
        <v>470</v>
      </c>
      <c r="F202" s="0" t="n">
        <v>0.08963</v>
      </c>
      <c r="G202" s="1" t="s">
        <v>91</v>
      </c>
      <c r="K202" s="0" t="str">
        <f aca="false">HYPERLINK("https://lindat.mff.cuni.cz/services/SynSemClass55/SynSemClass55.html?veclass=vec00922", "vec00922 / skotačit (v41kriA)")</f>
        <v>vec00922 / skotačit (v41kriA)</v>
      </c>
      <c r="L202" s="0" t="n">
        <v>0.08963</v>
      </c>
      <c r="M202" s="5" t="s">
        <v>30</v>
      </c>
      <c r="P202" s="0" t="str">
        <f aca="false">HYPERLINK("https://lindat.mff.cuni.cz/services/SynSemClass55/SynSemClass55.html?veclass=vec00468", "vec00468 / pěstovat (v41fkwB)")</f>
        <v>vec00468 / pěstovat (v41fkwB)</v>
      </c>
      <c r="Q202" s="0" t="n">
        <v>0.05235</v>
      </c>
      <c r="R202" s="5" t="s">
        <v>30</v>
      </c>
      <c r="U202" s="0" t="str">
        <f aca="false">HYPERLINK("https://lindat.mff.cuni.cz/services/SynSemClass55/SynSemClass55.html?veclass=vec01584", "vec01584 / oholit (v41eplB)")</f>
        <v>vec01584 / oholit (v41eplB)</v>
      </c>
      <c r="V202" s="0" t="n">
        <v>0.03026</v>
      </c>
      <c r="W202" s="5" t="s">
        <v>30</v>
      </c>
      <c r="Z202" s="0" t="str">
        <f aca="false">HYPERLINK("https://lindat.mff.cuni.cz/services/SynSemClass55/SynSemClass55.html?veclass=vec00145", "vec00145 / ušklíbnout se (v41myzA)")</f>
        <v>vec00145 / ušklíbnout se (v41myzA)</v>
      </c>
      <c r="AA202" s="0" t="n">
        <v>0.02708</v>
      </c>
      <c r="AB202" s="5" t="s">
        <v>30</v>
      </c>
      <c r="AE202" s="0" t="str">
        <f aca="false">HYPERLINK("https://lindat.mff.cuni.cz/services/SynSemClass55/SynSemClass55.html?veclass=vec01924", "vec01924 / vnucovat se (v41noiA)")</f>
        <v>vec01924 / vnucovat se (v41noiA)</v>
      </c>
      <c r="AF202" s="0" t="n">
        <v>0.02592</v>
      </c>
      <c r="AG202" s="5" t="s">
        <v>30</v>
      </c>
    </row>
    <row r="204" customFormat="false" ht="12.75" hidden="false" customHeight="false" outlineLevel="0" collapsed="false">
      <c r="A204" s="0" t="str">
        <f aca="false">HYPERLINK("https://lindat.mff.cuni.cz/services/PDT-Vallex4.5/PDT-Vallex4.5.html?verb=perzekuovat", "perzekuovat")</f>
        <v>perzekuovat</v>
      </c>
      <c r="B204" s="0" t="str">
        <f aca="false">HYPERLINK("https://lindat.mff.cuni.cz/services/PDT-Vallex4.5/PDT-Vallex4.5.html?verb=perzekuovat#v41fkrA", "v41fkrA")</f>
        <v>v41fkrA</v>
      </c>
      <c r="E204" s="0" t="n">
        <v>5</v>
      </c>
      <c r="F204" s="0" t="n">
        <v>0.18495</v>
      </c>
      <c r="G204" s="1" t="s">
        <v>31</v>
      </c>
      <c r="K204" s="0" t="str">
        <f aca="false">HYPERLINK("https://lindat.mff.cuni.cz/services/SynSemClass55/SynSemClass55.html?veclass=vec00992", "vec00992 / zbít (v41qvwA)")</f>
        <v>vec00992 / zbít (v41qvwA)</v>
      </c>
      <c r="L204" s="0" t="n">
        <v>0.18495</v>
      </c>
      <c r="M204" s="5" t="s">
        <v>30</v>
      </c>
      <c r="P204" s="0" t="str">
        <f aca="false">HYPERLINK("https://lindat.mff.cuni.cz/services/SynSemClass55/SynSemClass55.html?veclass=vec00608", "vec00608 / dráždit (v41akkB)")</f>
        <v>vec00608 / dráždit (v41akkB)</v>
      </c>
      <c r="Q204" s="0" t="n">
        <v>0.1043</v>
      </c>
      <c r="R204" s="5" t="s">
        <v>30</v>
      </c>
      <c r="U204" s="0" t="str">
        <f aca="false">HYPERLINK("https://lindat.mff.cuni.cz/services/SynSemClass55/SynSemClass55.html?veclass=vec01727", "vec01727 / clít (v41lnA)")</f>
        <v>vec01727 / clít (v41lnA)</v>
      </c>
      <c r="V204" s="0" t="n">
        <v>0.0788</v>
      </c>
      <c r="W204" s="5" t="s">
        <v>30</v>
      </c>
      <c r="Z204" s="0" t="str">
        <f aca="false">HYPERLINK("https://lindat.mff.cuni.cz/services/SynSemClass55/SynSemClass55.html?veclass=vec00687", "vec00687 / pronásledovat (v41hiyA)")</f>
        <v>vec00687 / pronásledovat (v41hiyA)</v>
      </c>
      <c r="AA204" s="0" t="n">
        <v>0.06972</v>
      </c>
      <c r="AB204" s="5" t="s">
        <v>33</v>
      </c>
      <c r="AE204" s="0" t="str">
        <f aca="false">HYPERLINK("https://lindat.mff.cuni.cz/services/SynSemClass55/SynSemClass55.html?veclass=vec01192", "vec01192 / ztrapnit (v41rzaA)")</f>
        <v>vec01192 / ztrapnit (v41rzaA)</v>
      </c>
      <c r="AF204" s="0" t="n">
        <v>0.06663</v>
      </c>
      <c r="AG204" s="5" t="s">
        <v>30</v>
      </c>
    </row>
    <row r="206" customFormat="false" ht="12.75" hidden="false" customHeight="false" outlineLevel="0" collapsed="false">
      <c r="A206" s="0" t="str">
        <f aca="false">HYPERLINK("https://lindat.mff.cuni.cz/services/PDT-Vallex4.5/PDT-Vallex4.5.html?verb=pípat", "pípat")</f>
        <v>pípat</v>
      </c>
      <c r="B206" s="0" t="str">
        <f aca="false">HYPERLINK("https://lindat.mff.cuni.cz/services/PDT-Vallex4.5/PDT-Vallex4.5.html?verb=pípat#v41flmA", "v41flmA")</f>
        <v>v41flmA</v>
      </c>
      <c r="E206" s="0" t="n">
        <v>62</v>
      </c>
      <c r="F206" s="0" t="n">
        <v>0.19318</v>
      </c>
      <c r="G206" s="1" t="s">
        <v>92</v>
      </c>
      <c r="K206" s="0" t="str">
        <f aca="false">HYPERLINK("https://lindat.mff.cuni.cz/services/SynSemClass55/SynSemClass55.html?veclass=vec01348", "vec01348 / vrčet (v41nqjC)")</f>
        <v>vec01348 / vrčet (v41nqjC)</v>
      </c>
      <c r="L206" s="0" t="n">
        <v>0.19318</v>
      </c>
      <c r="M206" s="5" t="s">
        <v>30</v>
      </c>
      <c r="P206" s="0" t="str">
        <f aca="false">HYPERLINK("https://lindat.mff.cuni.cz/services/SynSemClass55/SynSemClass55.html?veclass=vec01196", "vec01196 / zvonit (v41sclA)")</f>
        <v>vec01196 / zvonit (v41sclA)</v>
      </c>
      <c r="Q206" s="0" t="n">
        <v>0.07514</v>
      </c>
      <c r="R206" s="5" t="s">
        <v>30</v>
      </c>
      <c r="U206" s="0" t="str">
        <f aca="false">HYPERLINK("https://lindat.mff.cuni.cz/services/SynSemClass55/SynSemClass55.html?veclass=vec01398", "vec01398 / hvízdat si (v41azyA)")</f>
        <v>vec01398 / hvízdat si (v41azyA)</v>
      </c>
      <c r="V206" s="0" t="n">
        <v>0.05838</v>
      </c>
      <c r="W206" s="5" t="s">
        <v>30</v>
      </c>
      <c r="Z206" s="0" t="str">
        <f aca="false">HYPERLINK("https://lindat.mff.cuni.cz/services/SynSemClass55/SynSemClass55.html?veclass=vec00592", "vec00592 / znít (v41rppD)")</f>
        <v>vec00592 / znít (v41rppD)</v>
      </c>
      <c r="AA206" s="0" t="n">
        <v>0.05463</v>
      </c>
      <c r="AB206" s="5" t="s">
        <v>30</v>
      </c>
      <c r="AE206" s="0" t="str">
        <f aca="false">HYPERLINK("https://lindat.mff.cuni.cz/services/SynSemClass55/SynSemClass55.html?veclass=vec01110", "vec01110 / sípat (v41koqA)")</f>
        <v>vec01110 / sípat (v41koqA)</v>
      </c>
      <c r="AF206" s="0" t="n">
        <v>0.04662</v>
      </c>
      <c r="AG206" s="5" t="s">
        <v>30</v>
      </c>
    </row>
    <row r="208" customFormat="false" ht="12.75" hidden="false" customHeight="false" outlineLevel="0" collapsed="false">
      <c r="A208" s="0" t="str">
        <f aca="false">HYPERLINK("https://lindat.mff.cuni.cz/services/PDT-Vallex4.5/PDT-Vallex4.5.html?verb=planout", "planout")</f>
        <v>planout</v>
      </c>
      <c r="B208" s="0" t="str">
        <f aca="false">HYPERLINK("https://lindat.mff.cuni.cz/services/PDT-Vallex4.5/PDT-Vallex4.5.html?verb=planout#v41fmjB", "v41fmjB")</f>
        <v>v41fmjB</v>
      </c>
      <c r="E208" s="0" t="n">
        <v>693</v>
      </c>
      <c r="F208" s="0" t="n">
        <v>0.08527</v>
      </c>
      <c r="I208" s="1" t="s">
        <v>93</v>
      </c>
      <c r="K208" s="0" t="str">
        <f aca="false">HYPERLINK("https://lindat.mff.cuni.cz/services/SynSemClass55/SynSemClass55.html?veclass=vec01173", "vec01173 / zářit (v41qjnB)")</f>
        <v>vec01173 / zářit (v41qjnB)</v>
      </c>
      <c r="L208" s="0" t="n">
        <v>0.08527</v>
      </c>
      <c r="M208" s="5"/>
      <c r="P208" s="0" t="str">
        <f aca="false">HYPERLINK("https://lindat.mff.cuni.cz/services/SynSemClass55/SynSemClass55.html?veclass=vec01215", "vec01215 / hořet (v41axjA)")</f>
        <v>vec01215 / hořet (v41axjA)</v>
      </c>
      <c r="Q208" s="0" t="n">
        <v>0.04734</v>
      </c>
      <c r="R208" s="5"/>
      <c r="U208" s="0" t="str">
        <f aca="false">HYPERLINK("https://lindat.mff.cuni.cz/services/SynSemClass55/SynSemClass55.html?veclass=vec00949", "vec00949 / valit se (v41nghA)")</f>
        <v>vec00949 / valit se (v41nghA)</v>
      </c>
      <c r="V208" s="0" t="n">
        <v>0.0382</v>
      </c>
      <c r="W208" s="5"/>
      <c r="Z208" s="0" t="str">
        <f aca="false">HYPERLINK("https://lindat.mff.cuni.cz/services/SynSemClass55/SynSemClass55.html?veclass=vec01103", "vec01103 / roztavit se (v41jztA)")</f>
        <v>vec01103 / roztavit se (v41jztA)</v>
      </c>
      <c r="AA208" s="0" t="n">
        <v>0.03158</v>
      </c>
      <c r="AB208" s="5"/>
      <c r="AE208" s="0" t="str">
        <f aca="false">HYPERLINK("https://lindat.mff.cuni.cz/services/SynSemClass55/SynSemClass55.html?veclass=vec01147", "vec01147 / vlnit se (v41nnjA)")</f>
        <v>vec01147 / vlnit se (v41nnjA)</v>
      </c>
      <c r="AF208" s="0" t="n">
        <v>0.02942</v>
      </c>
      <c r="AG208" s="5"/>
    </row>
    <row r="210" customFormat="false" ht="12.75" hidden="false" customHeight="false" outlineLevel="0" collapsed="false">
      <c r="A210" s="0" t="str">
        <f aca="false">HYPERLINK("https://lindat.mff.cuni.cz/services/PDT-Vallex4.5/PDT-Vallex4.5.html?verb=plužit", "plužit")</f>
        <v>plužit</v>
      </c>
      <c r="B210" s="0" t="str">
        <f aca="false">HYPERLINK("https://lindat.mff.cuni.cz/services/PDT-Vallex4.5/PDT-Vallex4.5.html?verb=plužit#v41fnyA", "v41fnyA")</f>
        <v>v41fnyA</v>
      </c>
      <c r="E210" s="0" t="n">
        <v>4</v>
      </c>
      <c r="F210" s="0" t="n">
        <v>0.1115</v>
      </c>
      <c r="G210" s="1" t="s">
        <v>94</v>
      </c>
      <c r="K210" s="0" t="str">
        <f aca="false">HYPERLINK("https://lindat.mff.cuni.cz/services/SynSemClass55/SynSemClass55.html?veclass=vec00665", "vec00665 / plazit se (v41fnbA)")</f>
        <v>vec00665 / plazit se (v41fnbA)</v>
      </c>
      <c r="L210" s="0" t="n">
        <v>0.1115</v>
      </c>
      <c r="M210" s="5" t="s">
        <v>30</v>
      </c>
      <c r="P210" s="0" t="str">
        <f aca="false">HYPERLINK("https://lindat.mff.cuni.cz/services/SynSemClass55/SynSemClass55.html?veclass=vec00063", "vec00063 / plout (v41fnwB)")</f>
        <v>vec00063 / plout (v41fnwB)</v>
      </c>
      <c r="Q210" s="0" t="n">
        <v>0.07055</v>
      </c>
      <c r="R210" s="5" t="s">
        <v>30</v>
      </c>
      <c r="U210" s="0" t="str">
        <f aca="false">HYPERLINK("https://lindat.mff.cuni.cz/services/SynSemClass55/SynSemClass55.html?veclass=vec01069", "vec01069 / plavat (v41fmxD)")</f>
        <v>vec01069 / plavat (v41fmxD)</v>
      </c>
      <c r="V210" s="0" t="n">
        <v>0.05885</v>
      </c>
      <c r="W210" s="5" t="s">
        <v>30</v>
      </c>
      <c r="Z210" s="0" t="str">
        <f aca="false">HYPERLINK("https://lindat.mff.cuni.cz/services/SynSemClass55/SynSemClass55.html?veclass=vec00922", "vec00922 / skotačit (v41kriA)")</f>
        <v>vec00922 / skotačit (v41kriA)</v>
      </c>
      <c r="AA210" s="0" t="n">
        <v>0.05329</v>
      </c>
      <c r="AB210" s="5" t="s">
        <v>30</v>
      </c>
      <c r="AE210" s="0" t="str">
        <f aca="false">HYPERLINK("https://lindat.mff.cuni.cz/services/SynSemClass55/SynSemClass55.html?veclass=vec01219", "vec01219 / klouzat (v41bmaA)")</f>
        <v>vec01219 / klouzat (v41bmaA)</v>
      </c>
      <c r="AF210" s="0" t="n">
        <v>0.04578</v>
      </c>
      <c r="AG210" s="5" t="s">
        <v>30</v>
      </c>
    </row>
    <row r="212" customFormat="false" ht="12.75" hidden="false" customHeight="false" outlineLevel="0" collapsed="false">
      <c r="A212" s="0" t="str">
        <f aca="false">HYPERLINK("https://lindat.mff.cuni.cz/services/PDT-Vallex4.5/PDT-Vallex4.5.html?verb=počíst si", "počíst si")</f>
        <v>počíst si</v>
      </c>
      <c r="B212" s="0" t="str">
        <f aca="false">HYPERLINK("https://lindat.mff.cuni.cz/services/PDT-Vallex4.5/PDT-Vallex4.5.html?verb=počíst si#v41fpvA", "v41fpvA")</f>
        <v>v41fpvA</v>
      </c>
      <c r="E212" s="0" t="n">
        <v>18</v>
      </c>
      <c r="F212" s="0" t="n">
        <v>0.10637</v>
      </c>
      <c r="G212" s="1" t="s">
        <v>31</v>
      </c>
      <c r="K212" s="0" t="str">
        <f aca="false">HYPERLINK("https://lindat.mff.cuni.cz/services/SynSemClass55/SynSemClass55.html?veclass=vec00166", "vec00166 / vypočítávat (v41opsB)")</f>
        <v>vec00166 / vypočítávat (v41opsB)</v>
      </c>
      <c r="L212" s="0" t="n">
        <v>0.10637</v>
      </c>
      <c r="M212" s="5" t="s">
        <v>30</v>
      </c>
      <c r="P212" s="0" t="str">
        <f aca="false">HYPERLINK("https://lindat.mff.cuni.cz/services/SynSemClass55/SynSemClass55.html?veclass=vec00690", "vec00690 / předčítat (v41hvqA)")</f>
        <v>vec00690 / předčítat (v41hvqA)</v>
      </c>
      <c r="Q212" s="0" t="n">
        <v>0.08925</v>
      </c>
      <c r="R212" s="5" t="s">
        <v>30</v>
      </c>
      <c r="U212" s="0" t="str">
        <f aca="false">HYPERLINK("https://lindat.mff.cuni.cz/services/SynSemClass55/SynSemClass55.html?veclass=vec00207", "vec00207 / číst (v41nuD)")</f>
        <v>vec00207 / číst (v41nuD)</v>
      </c>
      <c r="V212" s="0" t="n">
        <v>0.06684</v>
      </c>
      <c r="W212" s="5" t="s">
        <v>33</v>
      </c>
      <c r="Z212" s="0" t="str">
        <f aca="false">HYPERLINK("https://lindat.mff.cuni.cz/services/SynSemClass55/SynSemClass55.html?veclass=vec00013", "vec00013 / dozvědět se (v41ajsB)")</f>
        <v>vec00013 / dozvědět se (v41ajsB)</v>
      </c>
      <c r="AA212" s="0" t="n">
        <v>0.06312</v>
      </c>
      <c r="AB212" s="5" t="s">
        <v>30</v>
      </c>
      <c r="AE212" s="0" t="str">
        <f aca="false">HYPERLINK("https://lindat.mff.cuni.cz/services/SynSemClass55/SynSemClass55.html?veclass=vec01224", "vec01224 / listovat (v41cbiA)")</f>
        <v>vec01224 / listovat (v41cbiA)</v>
      </c>
      <c r="AF212" s="0" t="n">
        <v>0.05246</v>
      </c>
      <c r="AG212" s="5" t="s">
        <v>30</v>
      </c>
    </row>
    <row r="214" customFormat="false" ht="12.75" hidden="false" customHeight="false" outlineLevel="0" collapsed="false">
      <c r="A214" s="0" t="str">
        <f aca="false">HYPERLINK("https://lindat.mff.cuni.cz/services/PDT-Vallex4.5/PDT-Vallex4.5.html?verb=podbarvit", "podbarvit")</f>
        <v>podbarvit</v>
      </c>
      <c r="B214" s="0" t="str">
        <f aca="false">HYPERLINK("https://lindat.mff.cuni.cz/services/PDT-Vallex4.5/PDT-Vallex4.5.html?verb=podbarvit#v41fqpA", "v41fqpA")</f>
        <v>v41fqpA</v>
      </c>
      <c r="E214" s="0" t="n">
        <v>11</v>
      </c>
      <c r="F214" s="0" t="n">
        <v>0.11298</v>
      </c>
      <c r="G214" s="1" t="s">
        <v>31</v>
      </c>
      <c r="K214" s="0" t="str">
        <f aca="false">HYPERLINK("https://lindat.mff.cuni.cz/services/SynSemClass55/SynSemClass55.html?veclass=vec00770", "vec00770 / zamlžit (v41qcdA)")</f>
        <v>vec00770 / zamlžit (v41qcdA)</v>
      </c>
      <c r="L214" s="0" t="n">
        <v>0.11298</v>
      </c>
      <c r="M214" s="5" t="s">
        <v>30</v>
      </c>
      <c r="P214" s="0" t="str">
        <f aca="false">HYPERLINK("https://lindat.mff.cuni.cz/services/SynSemClass55/SynSemClass55.html?veclass=vec00972", "vec00972 / vyšperkovat (v41pbiA)")</f>
        <v>vec00972 / vyšperkovat (v41pbiA)</v>
      </c>
      <c r="Q214" s="0" t="n">
        <v>0.07885</v>
      </c>
      <c r="R214" s="5" t="s">
        <v>30</v>
      </c>
      <c r="U214" s="0" t="str">
        <f aca="false">HYPERLINK("https://lindat.mff.cuni.cz/services/SynSemClass55/SynSemClass55.html?veclass=vec00069", "vec00069 / podpořit (v41fuiB)")</f>
        <v>vec00069 / podpořit (v41fuiB)</v>
      </c>
      <c r="V214" s="0" t="n">
        <v>0.04233</v>
      </c>
      <c r="W214" s="5" t="s">
        <v>34</v>
      </c>
      <c r="Z214" s="0" t="str">
        <f aca="false">HYPERLINK("https://lindat.mff.cuni.cz/services/SynSemClass55/SynSemClass55.html?veclass=vec00782", "vec00782 / zdobit (v41qyhB)")</f>
        <v>vec00782 / zdobit (v41qyhB)</v>
      </c>
      <c r="AA214" s="0" t="n">
        <v>0.03378</v>
      </c>
      <c r="AB214" s="5" t="s">
        <v>30</v>
      </c>
      <c r="AE214" s="0" t="str">
        <f aca="false">HYPERLINK("https://lindat.mff.cuni.cz/services/SynSemClass55/SynSemClass55.html?veclass=vec00334", "vec00334 / upřednostňovat (v41mtcA)")</f>
        <v>vec00334 / upřednostňovat (v41mtcA)</v>
      </c>
      <c r="AF214" s="0" t="n">
        <v>0.03206</v>
      </c>
      <c r="AG214" s="5" t="s">
        <v>30</v>
      </c>
    </row>
    <row r="216" customFormat="false" ht="12.75" hidden="false" customHeight="false" outlineLevel="0" collapsed="false">
      <c r="A216" s="0" t="str">
        <f aca="false">HYPERLINK("https://lindat.mff.cuni.cz/services/PDT-Vallex4.5/PDT-Vallex4.5.html?verb=podepisovat", "podepisovat")</f>
        <v>podepisovat</v>
      </c>
      <c r="B216" s="0" t="str">
        <f aca="false">HYPERLINK("https://lindat.mff.cuni.cz/services/PDT-Vallex4.5/PDT-Vallex4.5.html?verb=podepisovat#v41frdA", "v41frdA")</f>
        <v>v41frdA</v>
      </c>
      <c r="E216" s="0" t="n">
        <v>220</v>
      </c>
      <c r="F216" s="0" t="n">
        <v>0.45238</v>
      </c>
      <c r="G216" s="1" t="n">
        <v>0</v>
      </c>
      <c r="I216" s="1" t="s">
        <v>95</v>
      </c>
      <c r="K216" s="0" t="str">
        <f aca="false">HYPERLINK("https://lindat.mff.cuni.cz/services/SynSemClass55/SynSemClass55.html?veclass=vec00078", "vec00078 / potvrdit (v41grtA)")</f>
        <v>vec00078 / potvrdit (v41grtA)</v>
      </c>
      <c r="L216" s="0" t="n">
        <v>0.45238</v>
      </c>
      <c r="M216" s="5" t="s">
        <v>30</v>
      </c>
      <c r="P216" s="0" t="str">
        <f aca="false">HYPERLINK("https://lindat.mff.cuni.cz/services/SynSemClass55/SynSemClass55.html?veclass=vec01345", "vec01345 / vepsat (v41njiA)")</f>
        <v>vec01345 / vepsat (v41njiA)</v>
      </c>
      <c r="Q216" s="0" t="n">
        <v>0.04634</v>
      </c>
      <c r="R216" s="5" t="s">
        <v>30</v>
      </c>
      <c r="U216" s="0" t="str">
        <f aca="false">HYPERLINK("https://lindat.mff.cuni.cz/services/SynSemClass55/SynSemClass55.html?veclass=vec00858", "vec00858 / orazítkovat (v41exyA)")</f>
        <v>vec00858 / orazítkovat (v41exyA)</v>
      </c>
      <c r="V216" s="0" t="n">
        <v>0.0236</v>
      </c>
      <c r="W216" s="5" t="s">
        <v>30</v>
      </c>
      <c r="Z216" s="0" t="str">
        <f aca="false">HYPERLINK("https://lindat.mff.cuni.cz/services/SynSemClass55/SynSemClass55.html?veclass=vec00941", "vec00941 / upsat (v41mthA)")</f>
        <v>vec00941 / upsat (v41mthA)</v>
      </c>
      <c r="AA216" s="0" t="n">
        <v>0.02115</v>
      </c>
      <c r="AB216" s="5" t="s">
        <v>30</v>
      </c>
      <c r="AE216" s="0" t="str">
        <f aca="false">HYPERLINK("https://lindat.mff.cuni.cz/services/SynSemClass55/SynSemClass55.html?veclass=vec00037", "vec00037 / napsat (v41cyqJ)")</f>
        <v>vec00037 / napsat (v41cyqJ)</v>
      </c>
      <c r="AF216" s="0" t="n">
        <v>0.01894</v>
      </c>
      <c r="AG216" s="5" t="s">
        <v>30</v>
      </c>
    </row>
    <row r="218" customFormat="false" ht="12.75" hidden="false" customHeight="false" outlineLevel="0" collapsed="false">
      <c r="A218" s="0" t="str">
        <f aca="false">HYPERLINK("https://lindat.mff.cuni.cz/services/PDT-Vallex4.5/PDT-Vallex4.5.html?verb=podívat", "podívat")</f>
        <v>podívat</v>
      </c>
      <c r="B218" s="0" t="str">
        <f aca="false">HYPERLINK("https://lindat.mff.cuni.cz/services/PDT-Vallex4.5/PDT-Vallex4.5.html?verb=podívat#v41fscA", "v41fscA")</f>
        <v>v41fscA</v>
      </c>
      <c r="E218" s="0" t="n">
        <v>5000</v>
      </c>
      <c r="F218" s="0" t="n">
        <v>0.53375</v>
      </c>
      <c r="G218" s="1" t="s">
        <v>31</v>
      </c>
      <c r="K218" s="0" t="str">
        <f aca="false">HYPERLINK("https://lindat.mff.cuni.cz/services/SynSemClass55/SynSemClass55.html?veclass=vec00869", "vec00869 / podívat se (v41fsdH)")</f>
        <v>vec00869 / podívat se (v41fsdH)</v>
      </c>
      <c r="L218" s="0" t="n">
        <v>0.53375</v>
      </c>
      <c r="M218" s="5" t="s">
        <v>33</v>
      </c>
      <c r="P218" s="0" t="str">
        <f aca="false">HYPERLINK("https://lindat.mff.cuni.cz/services/SynSemClass55/SynSemClass55.html?veclass=vec00310", "vec00310 / sledovat (v41kslE)")</f>
        <v>vec00310 / sledovat (v41kslE)</v>
      </c>
      <c r="Q218" s="0" t="n">
        <v>0.31487</v>
      </c>
      <c r="R218" s="5" t="s">
        <v>30</v>
      </c>
      <c r="U218" s="0" t="str">
        <f aca="false">HYPERLINK("https://lindat.mff.cuni.cz/services/SynSemClass55/SynSemClass55.html?veclass=vec01515", "vec01515 / přeměřovat (v41iegA)")</f>
        <v>vec01515 / přeměřovat (v41iegA)</v>
      </c>
      <c r="V218" s="0" t="n">
        <v>0.03816</v>
      </c>
      <c r="W218" s="5" t="s">
        <v>30</v>
      </c>
      <c r="Z218" s="0" t="str">
        <f aca="false">HYPERLINK("https://lindat.mff.cuni.cz/services/SynSemClass55/SynSemClass55.html?veclass=vec01263", "vec01263 / porozhlédnout se (v41gjlB)")</f>
        <v>vec01263 / porozhlédnout se (v41gjlB)</v>
      </c>
      <c r="AA218" s="0" t="n">
        <v>0.0274</v>
      </c>
      <c r="AB218" s="5" t="s">
        <v>30</v>
      </c>
      <c r="AE218" s="0" t="str">
        <f aca="false">HYPERLINK("https://lindat.mff.cuni.cz/services/SynSemClass55/SynSemClass55.html?veclass=vec00154", "vec00154 / vidět (v41nlfH)")</f>
        <v>vec00154 / vidět (v41nlfH)</v>
      </c>
      <c r="AF218" s="0" t="n">
        <v>0.02223</v>
      </c>
      <c r="AG218" s="5" t="s">
        <v>32</v>
      </c>
    </row>
    <row r="220" customFormat="false" ht="12.75" hidden="false" customHeight="false" outlineLevel="0" collapsed="false">
      <c r="A220" s="0" t="str">
        <f aca="false">HYPERLINK("https://lindat.mff.cuni.cz/services/PDT-Vallex4.5/PDT-Vallex4.5.html?verb=podivit se", "podivit se")</f>
        <v>podivit se</v>
      </c>
      <c r="B220" s="0" t="str">
        <f aca="false">HYPERLINK("https://lindat.mff.cuni.cz/services/PDT-Vallex4.5/PDT-Vallex4.5.html?verb=podivit se#v41fseA", "v41fseA")</f>
        <v>v41fseA</v>
      </c>
      <c r="E220" s="0" t="n">
        <v>1516</v>
      </c>
      <c r="F220" s="0" t="n">
        <v>0.8777</v>
      </c>
      <c r="G220" s="1" t="s">
        <v>31</v>
      </c>
      <c r="K220" s="0" t="str">
        <f aca="false">HYPERLINK("https://lindat.mff.cuni.cz/services/SynSemClass55/SynSemClass55.html?veclass=vec01209", "vec01209 / divit se (v41veA)")</f>
        <v>vec01209 / divit se (v41veA)</v>
      </c>
      <c r="L220" s="0" t="n">
        <v>0.8777</v>
      </c>
      <c r="M220" s="5" t="s">
        <v>33</v>
      </c>
      <c r="P220" s="0" t="str">
        <f aca="false">HYPERLINK("https://lindat.mff.cuni.cz/services/SynSemClass55/SynSemClass55.html?veclass=vec00149", "vec00149 / uvážit (v41ncpA)")</f>
        <v>vec00149 / uvážit (v41ncpA)</v>
      </c>
      <c r="Q220" s="0" t="n">
        <v>0.0198</v>
      </c>
      <c r="R220" s="5" t="s">
        <v>30</v>
      </c>
      <c r="U220" s="0" t="str">
        <f aca="false">HYPERLINK("https://lindat.mff.cuni.cz/services/SynSemClass55/SynSemClass55.html?veclass=vec00132", "vec00132 / stěžovat si (v41ljuB)")</f>
        <v>vec00132 / stěžovat si (v41ljuB)</v>
      </c>
      <c r="V220" s="0" t="n">
        <v>0.01805</v>
      </c>
      <c r="W220" s="5" t="s">
        <v>30</v>
      </c>
      <c r="Z220" s="0" t="str">
        <f aca="false">HYPERLINK("https://lindat.mff.cuni.cz/services/SynSemClass55/SynSemClass55.html?veclass=vec01630", "vec01630 / zaváhat (v41qrpA)")</f>
        <v>vec01630 / zaváhat (v41qrpA)</v>
      </c>
      <c r="AA220" s="0" t="n">
        <v>0.01599</v>
      </c>
      <c r="AB220" s="5" t="s">
        <v>30</v>
      </c>
      <c r="AE220" s="0" t="str">
        <f aca="false">HYPERLINK("https://lindat.mff.cuni.cz/services/SynSemClass55/SynSemClass55.html?veclass=vec00869", "vec00869 / podívat se (v41fsdH)")</f>
        <v>vec00869 / podívat se (v41fsdH)</v>
      </c>
      <c r="AF220" s="0" t="n">
        <v>0.01561</v>
      </c>
      <c r="AG220" s="5" t="s">
        <v>30</v>
      </c>
    </row>
    <row r="222" customFormat="false" ht="12.75" hidden="false" customHeight="false" outlineLevel="0" collapsed="false">
      <c r="A222" s="0" t="str">
        <f aca="false">HYPERLINK("https://lindat.mff.cuni.cz/services/PDT-Vallex4.5/PDT-Vallex4.5.html?verb=podpisovat", "podpisovat")</f>
        <v>podpisovat</v>
      </c>
      <c r="B222" s="0" t="str">
        <f aca="false">HYPERLINK("https://lindat.mff.cuni.cz/services/PDT-Vallex4.5/PDT-Vallex4.5.html?verb=podpisovat#v41ftxB", "v41ftxB")</f>
        <v>v41ftxB</v>
      </c>
      <c r="E222" s="0" t="n">
        <v>56</v>
      </c>
      <c r="F222" s="0" t="n">
        <v>0.59549</v>
      </c>
      <c r="G222" s="1" t="n">
        <v>0</v>
      </c>
      <c r="I222" s="1" t="s">
        <v>96</v>
      </c>
      <c r="K222" s="0" t="str">
        <f aca="false">HYPERLINK("https://lindat.mff.cuni.cz/services/SynSemClass55/SynSemClass55.html?veclass=vec00078", "vec00078 / potvrdit (v41grtA)")</f>
        <v>vec00078 / potvrdit (v41grtA)</v>
      </c>
      <c r="L222" s="0" t="n">
        <v>0.59549</v>
      </c>
      <c r="M222" s="5" t="s">
        <v>30</v>
      </c>
      <c r="P222" s="0" t="str">
        <f aca="false">HYPERLINK("https://lindat.mff.cuni.cz/services/SynSemClass55/SynSemClass55.html?veclass=vec01320", "vec01320 / souhlasit (v41kypA)")</f>
        <v>vec01320 / souhlasit (v41kypA)</v>
      </c>
      <c r="Q222" s="0" t="n">
        <v>0.02592</v>
      </c>
      <c r="R222" s="5" t="s">
        <v>30</v>
      </c>
      <c r="U222" s="0" t="str">
        <f aca="false">HYPERLINK("https://lindat.mff.cuni.cz/services/SynSemClass55/SynSemClass55.html?veclass=vec00120", "vec00120 / souhlasit (v41kypC)")</f>
        <v>vec00120 / souhlasit (v41kypC)</v>
      </c>
      <c r="V222" s="0" t="n">
        <v>0.02505</v>
      </c>
      <c r="W222" s="5" t="s">
        <v>30</v>
      </c>
      <c r="Z222" s="0" t="str">
        <f aca="false">HYPERLINK("https://lindat.mff.cuni.cz/services/SynSemClass55/SynSemClass55.html?veclass=vec01345", "vec01345 / vepsat (v41njiA)")</f>
        <v>vec01345 / vepsat (v41njiA)</v>
      </c>
      <c r="AA222" s="0" t="n">
        <v>0.01981</v>
      </c>
      <c r="AB222" s="5" t="s">
        <v>30</v>
      </c>
      <c r="AE222" s="0" t="str">
        <f aca="false">HYPERLINK("https://lindat.mff.cuni.cz/services/SynSemClass55/SynSemClass55.html?veclass=vec00503", "vec00503 / přiznat se (v41jcjA)")</f>
        <v>vec00503 / přiznat se (v41jcjA)</v>
      </c>
      <c r="AF222" s="0" t="n">
        <v>0.01702</v>
      </c>
      <c r="AG222" s="5" t="s">
        <v>30</v>
      </c>
    </row>
    <row r="224" customFormat="false" ht="12.75" hidden="false" customHeight="false" outlineLevel="0" collapsed="false">
      <c r="A224" s="0" t="str">
        <f aca="false">HYPERLINK("https://lindat.mff.cuni.cz/services/PDT-Vallex4.5/PDT-Vallex4.5.html?verb=podpisovat se", "podpisovat se")</f>
        <v>podpisovat se</v>
      </c>
      <c r="B224" s="0" t="str">
        <f aca="false">HYPERLINK("https://lindat.mff.cuni.cz/services/PDT-Vallex4.5/PDT-Vallex4.5.html?verb=podpisovat se#v41ftyB", "v41ftyB")</f>
        <v>v41ftyB</v>
      </c>
      <c r="E224" s="0" t="n">
        <v>35</v>
      </c>
      <c r="F224" s="0" t="n">
        <v>0.42364</v>
      </c>
      <c r="G224" s="1" t="n">
        <v>0</v>
      </c>
      <c r="I224" s="1" t="s">
        <v>96</v>
      </c>
      <c r="K224" s="0" t="str">
        <f aca="false">HYPERLINK("https://lindat.mff.cuni.cz/services/SynSemClass55/SynSemClass55.html?veclass=vec00078", "vec00078 / potvrdit (v41grtA)")</f>
        <v>vec00078 / potvrdit (v41grtA)</v>
      </c>
      <c r="L224" s="0" t="n">
        <v>0.42364</v>
      </c>
      <c r="M224" s="5" t="s">
        <v>30</v>
      </c>
      <c r="P224" s="0" t="str">
        <f aca="false">HYPERLINK("https://lindat.mff.cuni.cz/services/SynSemClass55/SynSemClass55.html?veclass=vec01345", "vec01345 / vepsat (v41njiA)")</f>
        <v>vec01345 / vepsat (v41njiA)</v>
      </c>
      <c r="Q224" s="0" t="n">
        <v>0.02832</v>
      </c>
      <c r="R224" s="5" t="s">
        <v>30</v>
      </c>
      <c r="U224" s="0" t="str">
        <f aca="false">HYPERLINK("https://lindat.mff.cuni.cz/services/SynSemClass55/SynSemClass55.html?veclass=vec01320", "vec01320 / souhlasit (v41kypA)")</f>
        <v>vec01320 / souhlasit (v41kypA)</v>
      </c>
      <c r="V224" s="0" t="n">
        <v>0.02561</v>
      </c>
      <c r="W224" s="5" t="s">
        <v>30</v>
      </c>
      <c r="Z224" s="0" t="str">
        <f aca="false">HYPERLINK("https://lindat.mff.cuni.cz/services/SynSemClass55/SynSemClass55.html?veclass=vec00120", "vec00120 / souhlasit (v41kypC)")</f>
        <v>vec00120 / souhlasit (v41kypC)</v>
      </c>
      <c r="AA224" s="0" t="n">
        <v>0.02027</v>
      </c>
      <c r="AB224" s="5" t="s">
        <v>30</v>
      </c>
      <c r="AE224" s="0" t="str">
        <f aca="false">HYPERLINK("https://lindat.mff.cuni.cz/services/SynSemClass55/SynSemClass55.html?veclass=vec00941", "vec00941 / upsat (v41mthA)")</f>
        <v>vec00941 / upsat (v41mthA)</v>
      </c>
      <c r="AF224" s="0" t="n">
        <v>0.01923</v>
      </c>
      <c r="AG224" s="5" t="s">
        <v>30</v>
      </c>
    </row>
    <row r="226" customFormat="false" ht="12.75" hidden="false" customHeight="false" outlineLevel="0" collapsed="false">
      <c r="A226" s="0" t="str">
        <f aca="false">HYPERLINK("https://lindat.mff.cuni.cz/services/PDT-Vallex4.5/PDT-Vallex4.5.html?verb=pohlédnout", "pohlédnout")</f>
        <v>pohlédnout</v>
      </c>
      <c r="B226" s="0" t="str">
        <f aca="false">HYPERLINK("https://lindat.mff.cuni.cz/services/PDT-Vallex4.5/PDT-Vallex4.5.html?verb=pohlédnout#v41fwxA", "v41fwxA")</f>
        <v>v41fwxA</v>
      </c>
      <c r="E226" s="0" t="n">
        <v>5000</v>
      </c>
      <c r="F226" s="0" t="n">
        <v>0.94457</v>
      </c>
      <c r="G226" s="1" t="s">
        <v>97</v>
      </c>
      <c r="K226" s="0" t="str">
        <f aca="false">HYPERLINK("https://lindat.mff.cuni.cz/services/SynSemClass55/SynSemClass55.html?veclass=vec00869", "vec00869 / podívat se (v41fsdH)")</f>
        <v>vec00869 / podívat se (v41fsdH)</v>
      </c>
      <c r="L226" s="0" t="n">
        <v>0.94457</v>
      </c>
      <c r="M226" s="5" t="s">
        <v>30</v>
      </c>
      <c r="P226" s="0" t="str">
        <f aca="false">HYPERLINK("https://lindat.mff.cuni.cz/services/SynSemClass55/SynSemClass55.html?veclass=vec00310", "vec00310 / sledovat (v41kslE)")</f>
        <v>vec00310 / sledovat (v41kslE)</v>
      </c>
      <c r="Q226" s="0" t="n">
        <v>0.03104</v>
      </c>
      <c r="R226" s="5" t="s">
        <v>30</v>
      </c>
      <c r="U226" s="0" t="str">
        <f aca="false">HYPERLINK("https://lindat.mff.cuni.cz/services/SynSemClass55/SynSemClass55.html?veclass=vec01515", "vec01515 / přeměřovat (v41iegA)")</f>
        <v>vec01515 / přeměřovat (v41iegA)</v>
      </c>
      <c r="V226" s="0" t="n">
        <v>0.02739</v>
      </c>
      <c r="W226" s="5" t="s">
        <v>30</v>
      </c>
      <c r="Z226" s="0" t="str">
        <f aca="false">HYPERLINK("https://lindat.mff.cuni.cz/services/SynSemClass55/SynSemClass55.html?veclass=vec01128", "vec01128 / tolerovat (v41lzxA)")</f>
        <v>vec01128 / tolerovat (v41lzxA)</v>
      </c>
      <c r="AA226" s="0" t="n">
        <v>0.01487</v>
      </c>
      <c r="AB226" s="5" t="s">
        <v>30</v>
      </c>
      <c r="AE226" s="0" t="str">
        <f aca="false">HYPERLINK("https://lindat.mff.cuni.cz/services/SynSemClass55/SynSemClass55.html?veclass=vec01263", "vec01263 / porozhlédnout se (v41gjlB)")</f>
        <v>vec01263 / porozhlédnout se (v41gjlB)</v>
      </c>
      <c r="AF226" s="0" t="n">
        <v>0.01215</v>
      </c>
      <c r="AG226" s="5" t="s">
        <v>30</v>
      </c>
    </row>
    <row r="228" customFormat="false" ht="12.75" hidden="false" customHeight="false" outlineLevel="0" collapsed="false">
      <c r="A228" s="0" t="str">
        <f aca="false">HYPERLINK("https://lindat.mff.cuni.cz/services/PDT-Vallex4.5/PDT-Vallex4.5.html?verb=poklonit se", "poklonit se")</f>
        <v>poklonit se</v>
      </c>
      <c r="B228" s="0" t="str">
        <f aca="false">HYPERLINK("https://lindat.mff.cuni.cz/services/PDT-Vallex4.5/PDT-Vallex4.5.html?verb=poklonit se#v41gazB", "v41gazB")</f>
        <v>v41gazB</v>
      </c>
      <c r="E228" s="0" t="n">
        <v>190</v>
      </c>
      <c r="F228" s="0" t="n">
        <v>0.08332</v>
      </c>
      <c r="G228" s="1" t="s">
        <v>31</v>
      </c>
      <c r="K228" s="0" t="str">
        <f aca="false">HYPERLINK("https://lindat.mff.cuni.cz/services/SynSemClass55/SynSemClass55.html?veclass=vec00631", "vec00631 / mávat (v41cetA)")</f>
        <v>vec00631 / mávat (v41cetA)</v>
      </c>
      <c r="L228" s="0" t="n">
        <v>0.08332</v>
      </c>
      <c r="M228" s="5" t="s">
        <v>30</v>
      </c>
      <c r="P228" s="0" t="str">
        <f aca="false">HYPERLINK("https://lindat.mff.cuni.cz/services/SynSemClass55/SynSemClass55.html?veclass=vec00668", "vec00668 / podlézat (v41fspA)")</f>
        <v>vec00668 / podlézat (v41fspA)</v>
      </c>
      <c r="Q228" s="0" t="n">
        <v>0.06618</v>
      </c>
      <c r="R228" s="5" t="s">
        <v>30</v>
      </c>
      <c r="U228" s="0" t="str">
        <f aca="false">HYPERLINK("https://lindat.mff.cuni.cz/services/SynSemClass55/SynSemClass55.html?veclass=vec01562", "vec01562 / líbat (v41caiB)")</f>
        <v>vec01562 / líbat (v41caiB)</v>
      </c>
      <c r="V228" s="0" t="n">
        <v>0.04819</v>
      </c>
      <c r="W228" s="5" t="s">
        <v>30</v>
      </c>
      <c r="Z228" s="0" t="str">
        <f aca="false">HYPERLINK("https://lindat.mff.cuni.cz/services/SynSemClass55/SynSemClass55.html?veclass=vec01491", "vec01491 / fasovat (v41appA)")</f>
        <v>vec01491 / fasovat (v41appA)</v>
      </c>
      <c r="AA228" s="0" t="n">
        <v>0.04031</v>
      </c>
      <c r="AB228" s="5" t="s">
        <v>30</v>
      </c>
      <c r="AE228" s="0" t="str">
        <f aca="false">HYPERLINK("https://lindat.mff.cuni.cz/services/SynSemClass55/SynSemClass55.html?veclass=vec01677", "vec01677 / smeknout (v41kuuB)")</f>
        <v>vec01677 / smeknout (v41kuuB)</v>
      </c>
      <c r="AF228" s="0" t="n">
        <v>0.03828</v>
      </c>
      <c r="AG228" s="5" t="s">
        <v>33</v>
      </c>
    </row>
    <row r="230" customFormat="false" ht="12.75" hidden="false" customHeight="false" outlineLevel="0" collapsed="false">
      <c r="A230" s="0" t="str">
        <f aca="false">HYPERLINK("https://lindat.mff.cuni.cz/services/PDT-Vallex4.5/PDT-Vallex4.5.html?verb=popíchnout", "popíchnout")</f>
        <v>popíchnout</v>
      </c>
      <c r="B230" s="0" t="str">
        <f aca="false">HYPERLINK("https://lindat.mff.cuni.cz/services/PDT-Vallex4.5/PDT-Vallex4.5.html?verb=popíchnout#v41gglA", "v41gglA")</f>
        <v>v41gglA</v>
      </c>
      <c r="E230" s="0" t="n">
        <v>96</v>
      </c>
      <c r="F230" s="0" t="n">
        <v>0.10852</v>
      </c>
      <c r="G230" s="1" t="s">
        <v>31</v>
      </c>
      <c r="K230" s="0" t="str">
        <f aca="false">HYPERLINK("https://lindat.mff.cuni.cz/services/SynSemClass55/SynSemClass55.html?veclass=vec00958", "vec00958 / vyčinit (v41nvxA)")</f>
        <v>vec00958 / vyčinit (v41nvxA)</v>
      </c>
      <c r="L230" s="0" t="n">
        <v>0.10852</v>
      </c>
      <c r="M230" s="5" t="s">
        <v>30</v>
      </c>
      <c r="P230" s="0" t="str">
        <f aca="false">HYPERLINK("https://lindat.mff.cuni.cz/services/SynSemClass55/SynSemClass55.html?veclass=vec01210", "vec01210 / dojmout (v41zgA)")</f>
        <v>vec01210 / dojmout (v41zgA)</v>
      </c>
      <c r="Q230" s="0" t="n">
        <v>0.04909</v>
      </c>
      <c r="R230" s="5" t="s">
        <v>30</v>
      </c>
      <c r="U230" s="0" t="str">
        <f aca="false">HYPERLINK("https://lindat.mff.cuni.cz/services/SynSemClass55/SynSemClass55.html?veclass=vec01813", "vec01813 / otipovat (v41fdhA)")</f>
        <v>vec01813 / otipovat (v41fdhA)</v>
      </c>
      <c r="V230" s="0" t="n">
        <v>0.04629</v>
      </c>
      <c r="W230" s="5" t="s">
        <v>30</v>
      </c>
      <c r="Z230" s="0" t="str">
        <f aca="false">HYPERLINK("https://lindat.mff.cuni.cz/services/SynSemClass55/SynSemClass55.html?veclass=vec01529", "vec01529 / špitnout (v41lutA)")</f>
        <v>vec01529 / špitnout (v41lutA)</v>
      </c>
      <c r="AA230" s="0" t="n">
        <v>0.04327</v>
      </c>
      <c r="AB230" s="5" t="s">
        <v>30</v>
      </c>
      <c r="AE230" s="0" t="str">
        <f aca="false">HYPERLINK("https://lindat.mff.cuni.cz/services/SynSemClass55/SynSemClass55.html?veclass=vec00608", "vec00608 / dráždit (v41akkB)")</f>
        <v>vec00608 / dráždit (v41akkB)</v>
      </c>
      <c r="AF230" s="0" t="n">
        <v>0.03906</v>
      </c>
      <c r="AG230" s="5" t="s">
        <v>33</v>
      </c>
    </row>
    <row r="232" customFormat="false" ht="12.75" hidden="false" customHeight="false" outlineLevel="0" collapsed="false">
      <c r="A232" s="0" t="str">
        <f aca="false">HYPERLINK("https://lindat.mff.cuni.cz/services/PDT-Vallex4.5/PDT-Vallex4.5.html?verb=popraskat", "popraskat")</f>
        <v>popraskat</v>
      </c>
      <c r="B232" s="0" t="str">
        <f aca="false">HYPERLINK("https://lindat.mff.cuni.cz/services/PDT-Vallex4.5/PDT-Vallex4.5.html?verb=popraskat#v41ghsA", "v41ghsA")</f>
        <v>v41ghsA</v>
      </c>
      <c r="E232" s="0" t="n">
        <v>84</v>
      </c>
      <c r="F232" s="0" t="n">
        <v>0.63751</v>
      </c>
      <c r="G232" s="1" t="s">
        <v>98</v>
      </c>
      <c r="K232" s="0" t="str">
        <f aca="false">HYPERLINK("https://lindat.mff.cuni.cz/services/SynSemClass55/SynSemClass55.html?veclass=vec00681", "vec00681 / prasknout (v41gykA)")</f>
        <v>vec00681 / prasknout (v41gykA)</v>
      </c>
      <c r="L232" s="0" t="n">
        <v>0.63751</v>
      </c>
      <c r="M232" s="5" t="s">
        <v>30</v>
      </c>
      <c r="P232" s="0" t="str">
        <f aca="false">HYPERLINK("https://lindat.mff.cuni.cz/services/SynSemClass55/SynSemClass55.html?veclass=vec01305", "vec01305 / rozdělit se (v41jnjB)")</f>
        <v>vec01305 / rozdělit se (v41jnjB)</v>
      </c>
      <c r="Q232" s="0" t="n">
        <v>0.04537</v>
      </c>
      <c r="R232" s="5" t="s">
        <v>30</v>
      </c>
      <c r="U232" s="0" t="str">
        <f aca="false">HYPERLINK("https://lindat.mff.cuni.cz/services/SynSemClass55/SynSemClass55.html?veclass=vec01103", "vec01103 / roztavit se (v41jztA)")</f>
        <v>vec01103 / roztavit se (v41jztA)</v>
      </c>
      <c r="V232" s="0" t="n">
        <v>0.03572</v>
      </c>
      <c r="W232" s="5" t="s">
        <v>30</v>
      </c>
      <c r="Z232" s="0" t="str">
        <f aca="false">HYPERLINK("https://lindat.mff.cuni.cz/services/SynSemClass55/SynSemClass55.html?veclass=vec00903", "vec00903 / rozcupovat (v41jmmA)")</f>
        <v>vec00903 / rozcupovat (v41jmmA)</v>
      </c>
      <c r="AA232" s="0" t="n">
        <v>0.03128</v>
      </c>
      <c r="AB232" s="5" t="s">
        <v>30</v>
      </c>
      <c r="AE232" s="0" t="str">
        <f aca="false">HYPERLINK("https://lindat.mff.cuni.cz/services/SynSemClass55/SynSemClass55.html?veclass=vec01608", "vec01608 / sypat se (v41lsaA)")</f>
        <v>vec01608 / sypat se (v41lsaA)</v>
      </c>
      <c r="AF232" s="0" t="n">
        <v>0.02624</v>
      </c>
      <c r="AG232" s="5" t="s">
        <v>30</v>
      </c>
    </row>
    <row r="234" customFormat="false" ht="12.75" hidden="false" customHeight="false" outlineLevel="0" collapsed="false">
      <c r="A234" s="0" t="str">
        <f aca="false">HYPERLINK("https://lindat.mff.cuni.cz/services/PDT-Vallex4.5/PDT-Vallex4.5.html?verb=pořezat se", "pořezat se")</f>
        <v>pořezat se</v>
      </c>
      <c r="B234" s="0" t="str">
        <f aca="false">HYPERLINK("https://lindat.mff.cuni.cz/services/PDT-Vallex4.5/PDT-Vallex4.5.html?verb=pořezat se#v41gkiA", "v41gkiA")</f>
        <v>v41gkiA</v>
      </c>
      <c r="E234" s="0" t="n">
        <v>125</v>
      </c>
      <c r="F234" s="0" t="n">
        <v>0.05722</v>
      </c>
      <c r="G234" s="1" t="s">
        <v>31</v>
      </c>
      <c r="K234" s="0" t="str">
        <f aca="false">HYPERLINK("https://lindat.mff.cuni.cz/services/SynSemClass55/SynSemClass55.html?veclass=vec01038", "vec01038 / kousnout (v41btxA)")</f>
        <v>vec01038 / kousnout (v41btxA)</v>
      </c>
      <c r="L234" s="0" t="n">
        <v>0.05722</v>
      </c>
      <c r="M234" s="5" t="s">
        <v>30</v>
      </c>
      <c r="P234" s="0" t="str">
        <f aca="false">HYPERLINK("https://lindat.mff.cuni.cz/services/SynSemClass55/SynSemClass55.html?veclass=vec01449", "vec01449 / stříhat (v41lnnA)")</f>
        <v>vec01449 / stříhat (v41lnnA)</v>
      </c>
      <c r="Q234" s="0" t="n">
        <v>0.05163</v>
      </c>
      <c r="R234" s="5" t="s">
        <v>30</v>
      </c>
      <c r="U234" s="0" t="str">
        <f aca="false">HYPERLINK("https://lindat.mff.cuni.cz/services/SynSemClass55/SynSemClass55.html?veclass=vec00764", "vec00764 / vytrhnout (v41pdrB)")</f>
        <v>vec00764 / vytrhnout (v41pdrB)</v>
      </c>
      <c r="V234" s="0" t="n">
        <v>0.03042</v>
      </c>
      <c r="W234" s="5" t="s">
        <v>30</v>
      </c>
      <c r="Z234" s="0" t="str">
        <f aca="false">HYPERLINK("https://lindat.mff.cuni.cz/services/SynSemClass55/SynSemClass55.html?veclass=vec01820", "vec01820 / poranit se (v41givA)")</f>
        <v>vec01820 / poranit se (v41givA)</v>
      </c>
      <c r="AA234" s="0" t="n">
        <v>0.03024</v>
      </c>
      <c r="AB234" s="5" t="s">
        <v>33</v>
      </c>
      <c r="AE234" s="0" t="str">
        <f aca="false">HYPERLINK("https://lindat.mff.cuni.cz/services/SynSemClass55/SynSemClass55.html?veclass=vec00365", "vec00365 / zabít (v41ppaA)")</f>
        <v>vec00365 / zabít (v41ppaA)</v>
      </c>
      <c r="AF234" s="0" t="n">
        <v>0.03</v>
      </c>
      <c r="AG234" s="5" t="s">
        <v>30</v>
      </c>
    </row>
    <row r="236" customFormat="false" ht="12.75" hidden="false" customHeight="false" outlineLevel="0" collapsed="false">
      <c r="A236" s="0" t="str">
        <f aca="false">HYPERLINK("https://lindat.mff.cuni.cz/services/PDT-Vallex4.5/PDT-Vallex4.5.html?verb=postihnout", "postihnout")</f>
        <v>postihnout</v>
      </c>
      <c r="B236" s="0" t="str">
        <f aca="false">HYPERLINK("https://lindat.mff.cuni.cz/services/PDT-Vallex4.5/PDT-Vallex4.5.html?verb=postihnout#v41gniB", "v41gniB")</f>
        <v>v41gniB</v>
      </c>
      <c r="E236" s="0" t="n">
        <v>661</v>
      </c>
      <c r="F236" s="0" t="n">
        <v>0.46174</v>
      </c>
      <c r="G236" s="1" t="s">
        <v>99</v>
      </c>
      <c r="K236" s="0" t="str">
        <f aca="false">HYPERLINK("https://lindat.mff.cuni.cz/services/SynSemClass55/SynSemClass55.html?veclass=vec00372", "vec00372 / zasáhnout (v41qjyA)")</f>
        <v>vec00372 / zasáhnout (v41qjyA)</v>
      </c>
      <c r="L236" s="0" t="n">
        <v>0.46174</v>
      </c>
      <c r="M236" s="5" t="s">
        <v>30</v>
      </c>
      <c r="P236" s="0" t="str">
        <f aca="false">HYPERLINK("https://lindat.mff.cuni.cz/services/SynSemClass55/SynSemClass55.html?veclass=vec01510", "vec01510 / podlomit (v41fsrA)")</f>
        <v>vec01510 / podlomit (v41fsrA)</v>
      </c>
      <c r="Q236" s="0" t="n">
        <v>0.28078</v>
      </c>
      <c r="R236" s="5" t="s">
        <v>30</v>
      </c>
      <c r="U236" s="0" t="str">
        <f aca="false">HYPERLINK("https://lindat.mff.cuni.cz/services/SynSemClass55/SynSemClass55.html?veclass=vec01592", "vec01592 / podepsat se (v41frjA)")</f>
        <v>vec01592 / podepsat se (v41frjA)</v>
      </c>
      <c r="V236" s="0" t="n">
        <v>0.05782</v>
      </c>
      <c r="W236" s="5" t="s">
        <v>30</v>
      </c>
      <c r="Z236" s="0" t="str">
        <f aca="false">HYPERLINK("https://lindat.mff.cuni.cz/services/SynSemClass55/SynSemClass55.html?veclass=vec01712", "vec01712 / zatěžovat (v41qppB)")</f>
        <v>vec01712 / zatěžovat (v41qppB)</v>
      </c>
      <c r="AA236" s="0" t="n">
        <v>0.04584</v>
      </c>
      <c r="AB236" s="5" t="s">
        <v>30</v>
      </c>
      <c r="AE236" s="0" t="str">
        <f aca="false">HYPERLINK("https://lindat.mff.cuni.cz/services/SynSemClass55/SynSemClass55.html?veclass=vec01614", "vec01614 / urazit se (v41mtmA)")</f>
        <v>vec01614 / urazit se (v41mtmA)</v>
      </c>
      <c r="AF236" s="0" t="n">
        <v>0.04386</v>
      </c>
      <c r="AG236" s="5" t="s">
        <v>30</v>
      </c>
    </row>
    <row r="238" customFormat="false" ht="12.75" hidden="false" customHeight="false" outlineLevel="0" collapsed="false">
      <c r="A238" s="0" t="str">
        <f aca="false">HYPERLINK("https://lindat.mff.cuni.cz/services/PDT-Vallex4.5/PDT-Vallex4.5.html?verb=požírat", "požírat")</f>
        <v>požírat</v>
      </c>
      <c r="B238" s="0" t="str">
        <f aca="false">HYPERLINK("https://lindat.mff.cuni.cz/services/PDT-Vallex4.5/PDT-Vallex4.5.html?verb=požírat#v41gxsA", "v41gxsA")</f>
        <v>v41gxsA</v>
      </c>
      <c r="E238" s="0" t="n">
        <v>179</v>
      </c>
      <c r="F238" s="0" t="n">
        <v>0.80701</v>
      </c>
      <c r="G238" s="1" t="s">
        <v>31</v>
      </c>
      <c r="K238" s="0" t="str">
        <f aca="false">HYPERLINK("https://lindat.mff.cuni.cz/services/SynSemClass55/SynSemClass55.html?veclass=vec00828", "vec00828 / jíst (v41bifB)")</f>
        <v>vec00828 / jíst (v41bifB)</v>
      </c>
      <c r="L238" s="0" t="n">
        <v>0.80701</v>
      </c>
      <c r="M238" s="5" t="s">
        <v>30</v>
      </c>
      <c r="P238" s="0" t="str">
        <f aca="false">HYPERLINK("https://lindat.mff.cuni.cz/services/SynSemClass55/SynSemClass55.html?veclass=vec00476", "vec00476 / pohltit (v41fxaA)")</f>
        <v>vec00476 / pohltit (v41fxaA)</v>
      </c>
      <c r="Q238" s="0" t="n">
        <v>0.0617</v>
      </c>
      <c r="R238" s="5" t="s">
        <v>33</v>
      </c>
      <c r="U238" s="0" t="str">
        <f aca="false">HYPERLINK("https://lindat.mff.cuni.cz/services/SynSemClass55/SynSemClass55.html?veclass=vec00800", "vec00800 / žvýkat (v41sexA)")</f>
        <v>vec00800 / žvýkat (v41sexA)</v>
      </c>
      <c r="V238" s="0" t="n">
        <v>0.03299</v>
      </c>
      <c r="W238" s="5" t="s">
        <v>30</v>
      </c>
      <c r="Z238" s="0" t="str">
        <f aca="false">HYPERLINK("https://lindat.mff.cuni.cz/services/SynSemClass55/SynSemClass55.html?veclass=vec00345", "vec00345 / věřit (v41njsD)")</f>
        <v>vec00345 / věřit (v41njsD)</v>
      </c>
      <c r="AA238" s="0" t="n">
        <v>0.03281</v>
      </c>
      <c r="AB238" s="5" t="s">
        <v>30</v>
      </c>
      <c r="AE238" s="0" t="str">
        <f aca="false">HYPERLINK("https://lindat.mff.cuni.cz/services/SynSemClass55/SynSemClass55.html?veclass=vec00785", "vec00785 / zhoršit (v41rcrA)")</f>
        <v>vec00785 / zhoršit (v41rcrA)</v>
      </c>
      <c r="AF238" s="0" t="n">
        <v>0.03209</v>
      </c>
      <c r="AG238" s="5" t="s">
        <v>30</v>
      </c>
    </row>
    <row r="240" customFormat="false" ht="12.75" hidden="false" customHeight="false" outlineLevel="0" collapsed="false">
      <c r="A240" s="0" t="str">
        <f aca="false">HYPERLINK("https://lindat.mff.cuni.cz/services/PDT-Vallex4.5/PDT-Vallex4.5.html?verb=požít", "požít")</f>
        <v>požít</v>
      </c>
      <c r="B240" s="0" t="str">
        <f aca="false">HYPERLINK("https://lindat.mff.cuni.cz/services/PDT-Vallex4.5/PDT-Vallex4.5.html?verb=požít#v41gxtA", "v41gxtA")</f>
        <v>v41gxtA</v>
      </c>
      <c r="E240" s="0" t="n">
        <v>61</v>
      </c>
      <c r="F240" s="0" t="n">
        <v>0.19977</v>
      </c>
      <c r="G240" s="1" t="s">
        <v>31</v>
      </c>
      <c r="K240" s="0" t="str">
        <f aca="false">HYPERLINK("https://lindat.mff.cuni.cz/services/SynSemClass55/SynSemClass55.html?veclass=vec00828", "vec00828 / jíst (v41bifB)")</f>
        <v>vec00828 / jíst (v41bifB)</v>
      </c>
      <c r="L240" s="0" t="n">
        <v>0.19977</v>
      </c>
      <c r="M240" s="5" t="s">
        <v>34</v>
      </c>
      <c r="P240" s="0" t="str">
        <f aca="false">HYPERLINK("https://lindat.mff.cuni.cz/services/SynSemClass55/SynSemClass55.html?veclass=vec00866", "vec00866 / pít (v41fluA)")</f>
        <v>vec00866 / pít (v41fluA)</v>
      </c>
      <c r="Q240" s="0" t="n">
        <v>0.19104</v>
      </c>
      <c r="R240" s="5" t="s">
        <v>34</v>
      </c>
      <c r="U240" s="0" t="str">
        <f aca="false">HYPERLINK("https://lindat.mff.cuni.cz/services/SynSemClass55/SynSemClass55.html?veclass=vec01004", "vec01004 / brát (v41hsK)")</f>
        <v>vec01004 / brát (v41hsK)</v>
      </c>
      <c r="V240" s="0" t="n">
        <v>0.18716</v>
      </c>
      <c r="W240" s="5" t="s">
        <v>33</v>
      </c>
      <c r="Z240" s="0" t="str">
        <f aca="false">HYPERLINK("https://lindat.mff.cuni.cz/services/SynSemClass55/SynSemClass55.html?veclass=vec00742", "vec00742 / užívat si (v41nfrA)")</f>
        <v>vec00742 / užívat si (v41nfrA)</v>
      </c>
      <c r="AA240" s="0" t="n">
        <v>0.06857</v>
      </c>
      <c r="AB240" s="5" t="s">
        <v>30</v>
      </c>
      <c r="AE240" s="0" t="str">
        <f aca="false">HYPERLINK("https://lindat.mff.cuni.cz/services/SynSemClass55/SynSemClass55.html?veclass=vec00830", "vec00830 / kouřit (v41bttA)")</f>
        <v>vec00830 / kouřit (v41bttA)</v>
      </c>
      <c r="AF240" s="0" t="n">
        <v>0.02063</v>
      </c>
      <c r="AG240" s="5" t="s">
        <v>30</v>
      </c>
    </row>
    <row r="242" customFormat="false" ht="12.75" hidden="false" customHeight="false" outlineLevel="0" collapsed="false">
      <c r="A242" s="0" t="str">
        <f aca="false">HYPERLINK("https://lindat.mff.cuni.cz/services/PDT-Vallex4.5/PDT-Vallex4.5.html?verb=pramenit", "pramenit")</f>
        <v>pramenit</v>
      </c>
      <c r="B242" s="0" t="str">
        <f aca="false">HYPERLINK("https://lindat.mff.cuni.cz/services/PDT-Vallex4.5/PDT-Vallex4.5.html?verb=pramenit#v41gygB", "v41gygB")</f>
        <v>v41gygB</v>
      </c>
      <c r="E242" s="0" t="n">
        <v>262</v>
      </c>
      <c r="F242" s="0" t="n">
        <v>0.88442</v>
      </c>
      <c r="G242" s="1" t="s">
        <v>31</v>
      </c>
      <c r="K242" s="0" t="str">
        <f aca="false">HYPERLINK("https://lindat.mff.cuni.cz/services/SynSemClass55/SynSemClass55.html?veclass=vec00258", "vec00258 / pocházet (v41fyjA)")</f>
        <v>vec00258 / pocházet (v41fyjA)</v>
      </c>
      <c r="L242" s="0" t="n">
        <v>0.88442</v>
      </c>
      <c r="M242" s="5" t="s">
        <v>30</v>
      </c>
      <c r="P242" s="0" t="str">
        <f aca="false">HYPERLINK("https://lindat.mff.cuni.cz/services/SynSemClass55/SynSemClass55.html?veclass=vec00071", "vec00071 / pocházet (v41fyjB)")</f>
        <v>vec00071 / pocházet (v41fyjB)</v>
      </c>
      <c r="Q242" s="0" t="n">
        <v>0.03321</v>
      </c>
      <c r="R242" s="5" t="s">
        <v>34</v>
      </c>
      <c r="U242" s="0" t="str">
        <f aca="false">HYPERLINK("https://lindat.mff.cuni.cz/services/SynSemClass55/SynSemClass55.html?veclass=vec00855", "vec00855 / odvodit (v41endA)")</f>
        <v>vec00855 / odvodit (v41endA)</v>
      </c>
      <c r="V242" s="0" t="n">
        <v>0.0128</v>
      </c>
      <c r="W242" s="5" t="s">
        <v>30</v>
      </c>
      <c r="Z242" s="0" t="str">
        <f aca="false">HYPERLINK("https://lindat.mff.cuni.cz/services/SynSemClass55/SynSemClass55.html?veclass=vec01754", "vec01754 / klubat se (v41bmcA)")</f>
        <v>vec01754 / klubat se (v41bmcA)</v>
      </c>
      <c r="AA242" s="0" t="n">
        <v>0.01103</v>
      </c>
      <c r="AB242" s="5" t="s">
        <v>30</v>
      </c>
      <c r="AE242" s="0" t="str">
        <f aca="false">HYPERLINK("https://lindat.mff.cuni.cz/services/SynSemClass55/SynSemClass55.html?veclass=vec00510", "vec00510 / rozvíjet se (v41kbjB)")</f>
        <v>vec00510 / rozvíjet se (v41kbjB)</v>
      </c>
      <c r="AF242" s="0" t="n">
        <v>0.01079</v>
      </c>
      <c r="AG242" s="5" t="s">
        <v>30</v>
      </c>
    </row>
    <row r="244" customFormat="false" ht="12.75" hidden="false" customHeight="false" outlineLevel="0" collapsed="false">
      <c r="A244" s="0" t="str">
        <f aca="false">HYPERLINK("https://lindat.mff.cuni.cz/services/PDT-Vallex4.5/PDT-Vallex4.5.html?verb=pročesat", "pročesat")</f>
        <v>pročesat</v>
      </c>
      <c r="B244" s="0" t="str">
        <f aca="false">HYPERLINK("https://lindat.mff.cuni.cz/services/PDT-Vallex4.5/PDT-Vallex4.5.html?verb=pročesat#v41hbcB", "v41hbcB")</f>
        <v>v41hbcB</v>
      </c>
      <c r="E244" s="0" t="n">
        <v>74</v>
      </c>
      <c r="F244" s="0" t="n">
        <v>0.4191</v>
      </c>
      <c r="G244" s="1" t="s">
        <v>100</v>
      </c>
      <c r="K244" s="0" t="str">
        <f aca="false">HYPERLINK("https://lindat.mff.cuni.cz/services/SynSemClass55/SynSemClass55.html?veclass=vec00684", "vec00684 / pročesávat (v41hbdA)")</f>
        <v>vec00684 / pročesávat (v41hbdA)</v>
      </c>
      <c r="L244" s="0" t="n">
        <v>0.4191</v>
      </c>
      <c r="M244" s="5" t="s">
        <v>30</v>
      </c>
      <c r="P244" s="0" t="str">
        <f aca="false">HYPERLINK("https://lindat.mff.cuni.cz/services/SynSemClass55/SynSemClass55.html?veclass=vec00879", "vec00879 / probrat se (v41hapB)")</f>
        <v>vec00879 / probrat se (v41hapB)</v>
      </c>
      <c r="Q244" s="0" t="n">
        <v>0.10285</v>
      </c>
      <c r="R244" s="5" t="s">
        <v>30</v>
      </c>
      <c r="U244" s="0" t="str">
        <f aca="false">HYPERLINK("https://lindat.mff.cuni.cz/services/SynSemClass55/SynSemClass55.html?veclass=vec00090", "vec00090 / prozkoumat (v41hsgA)")</f>
        <v>vec00090 / prozkoumat (v41hsgA)</v>
      </c>
      <c r="V244" s="0" t="n">
        <v>0.05184</v>
      </c>
      <c r="W244" s="5" t="s">
        <v>30</v>
      </c>
      <c r="Z244" s="0" t="str">
        <f aca="false">HYPERLINK("https://lindat.mff.cuni.cz/services/SynSemClass55/SynSemClass55.html?veclass=vec01216", "vec01216 / hrabat se (v41aygA)")</f>
        <v>vec01216 / hrabat se (v41aygA)</v>
      </c>
      <c r="AA244" s="0" t="n">
        <v>0.04064</v>
      </c>
      <c r="AB244" s="5" t="s">
        <v>30</v>
      </c>
      <c r="AE244" s="0" t="str">
        <f aca="false">HYPERLINK("https://lindat.mff.cuni.cz/services/SynSemClass55/SynSemClass55.html?veclass=vec00924", "vec00924 / smést (v41kvgB)")</f>
        <v>vec00924 / smést (v41kvgB)</v>
      </c>
      <c r="AF244" s="0" t="n">
        <v>0.04027</v>
      </c>
      <c r="AG244" s="5" t="s">
        <v>30</v>
      </c>
    </row>
    <row r="246" customFormat="false" ht="12.75" hidden="false" customHeight="false" outlineLevel="0" collapsed="false">
      <c r="A246" s="0" t="str">
        <f aca="false">HYPERLINK("https://lindat.mff.cuni.cz/services/PDT-Vallex4.5/PDT-Vallex4.5.html?verb=pročesávat", "pročesávat")</f>
        <v>pročesávat</v>
      </c>
      <c r="B246" s="0" t="str">
        <f aca="false">HYPERLINK("https://lindat.mff.cuni.cz/services/PDT-Vallex4.5/PDT-Vallex4.5.html?verb=pročesávat#v41hbdB", "v41hbdB")</f>
        <v>v41hbdB</v>
      </c>
      <c r="E246" s="0" t="n">
        <v>159</v>
      </c>
      <c r="F246" s="0" t="n">
        <v>0.35249</v>
      </c>
      <c r="G246" s="1" t="s">
        <v>100</v>
      </c>
      <c r="K246" s="0" t="str">
        <f aca="false">HYPERLINK("https://lindat.mff.cuni.cz/services/SynSemClass55/SynSemClass55.html?veclass=vec00684", "vec00684 / pročesávat (v41hbdA)")</f>
        <v>vec00684 / pročesávat (v41hbdA)</v>
      </c>
      <c r="L246" s="0" t="n">
        <v>0.35249</v>
      </c>
      <c r="M246" s="5" t="s">
        <v>30</v>
      </c>
      <c r="P246" s="0" t="str">
        <f aca="false">HYPERLINK("https://lindat.mff.cuni.cz/services/SynSemClass55/SynSemClass55.html?veclass=vec00879", "vec00879 / probrat se (v41hapB)")</f>
        <v>vec00879 / probrat se (v41hapB)</v>
      </c>
      <c r="Q246" s="0" t="n">
        <v>0.05872</v>
      </c>
      <c r="R246" s="5" t="s">
        <v>30</v>
      </c>
      <c r="U246" s="0" t="str">
        <f aca="false">HYPERLINK("https://lindat.mff.cuni.cz/services/SynSemClass55/SynSemClass55.html?veclass=vec01216", "vec01216 / hrabat se (v41aygA)")</f>
        <v>vec01216 / hrabat se (v41aygA)</v>
      </c>
      <c r="V246" s="0" t="n">
        <v>0.05268</v>
      </c>
      <c r="W246" s="5" t="s">
        <v>30</v>
      </c>
      <c r="Z246" s="0" t="str">
        <f aca="false">HYPERLINK("https://lindat.mff.cuni.cz/services/SynSemClass55/SynSemClass55.html?veclass=vec00924", "vec00924 / smést (v41kvgB)")</f>
        <v>vec00924 / smést (v41kvgB)</v>
      </c>
      <c r="AA246" s="0" t="n">
        <v>0.03723</v>
      </c>
      <c r="AB246" s="5" t="s">
        <v>30</v>
      </c>
      <c r="AE246" s="0" t="str">
        <f aca="false">HYPERLINK("https://lindat.mff.cuni.cz/services/SynSemClass55/SynSemClass55.html?veclass=vec00090", "vec00090 / prozkoumat (v41hsgA)")</f>
        <v>vec00090 / prozkoumat (v41hsgA)</v>
      </c>
      <c r="AF246" s="0" t="n">
        <v>0.03428</v>
      </c>
      <c r="AG246" s="5" t="s">
        <v>30</v>
      </c>
    </row>
    <row r="248" customFormat="false" ht="12.75" hidden="false" customHeight="false" outlineLevel="0" collapsed="false">
      <c r="A248" s="0" t="str">
        <f aca="false">HYPERLINK("https://lindat.mff.cuni.cz/services/PDT-Vallex4.5/PDT-Vallex4.5.html?verb=prohodit si", "prohodit si")</f>
        <v>prohodit si</v>
      </c>
      <c r="B248" s="0" t="str">
        <f aca="false">HYPERLINK("https://lindat.mff.cuni.cz/services/PDT-Vallex4.5/PDT-Vallex4.5.html?verb=prohodit si#v41hebA", "v41hebA")</f>
        <v>v41hebA</v>
      </c>
      <c r="E248" s="0" t="n">
        <v>834</v>
      </c>
      <c r="F248" s="0" t="n">
        <v>0.143</v>
      </c>
      <c r="G248" s="1" t="s">
        <v>101</v>
      </c>
      <c r="K248" s="0" t="str">
        <f aca="false">HYPERLINK("https://lindat.mff.cuni.cz/services/SynSemClass55/SynSemClass55.html?veclass=vec01060", "vec01060 / odseknout (v41eizA)")</f>
        <v>vec01060 / odseknout (v41eizA)</v>
      </c>
      <c r="L248" s="0" t="n">
        <v>0.143</v>
      </c>
      <c r="M248" s="5" t="s">
        <v>30</v>
      </c>
      <c r="P248" s="0" t="str">
        <f aca="false">HYPERLINK("https://lindat.mff.cuni.cz/services/SynSemClass55/SynSemClass55.html?veclass=vec01056", "vec01056 / odfrknout si (v41dznA)")</f>
        <v>vec01056 / odfrknout si (v41dznA)</v>
      </c>
      <c r="Q248" s="0" t="n">
        <v>0.10241</v>
      </c>
      <c r="R248" s="5" t="s">
        <v>30</v>
      </c>
      <c r="U248" s="0" t="str">
        <f aca="false">HYPERLINK("https://lindat.mff.cuni.cz/services/SynSemClass55/SynSemClass55.html?veclass=vec01009", "vec01009 / citovat (v41lgA)")</f>
        <v>vec01009 / citovat (v41lgA)</v>
      </c>
      <c r="V248" s="0" t="n">
        <v>0.08674</v>
      </c>
      <c r="W248" s="5" t="s">
        <v>30</v>
      </c>
      <c r="Z248" s="0" t="str">
        <f aca="false">HYPERLINK("https://lindat.mff.cuni.cz/services/SynSemClass55/SynSemClass55.html?veclass=vec00031", "vec00031 / mluvit (v41chxD)")</f>
        <v>vec00031 / mluvit (v41chxD)</v>
      </c>
      <c r="AA248" s="0" t="n">
        <v>0.07513</v>
      </c>
      <c r="AB248" s="5" t="s">
        <v>30</v>
      </c>
      <c r="AE248" s="0" t="str">
        <f aca="false">HYPERLINK("https://lindat.mff.cuni.cz/services/SynSemClass55/SynSemClass55.html?veclass=vec01666", "vec01666 / příst (v41iyxB)")</f>
        <v>vec01666 / příst (v41iyxB)</v>
      </c>
      <c r="AF248" s="0" t="n">
        <v>0.05899</v>
      </c>
      <c r="AG248" s="5" t="s">
        <v>30</v>
      </c>
    </row>
    <row r="250" customFormat="false" ht="12.75" hidden="false" customHeight="false" outlineLevel="0" collapsed="false">
      <c r="A250" s="0" t="str">
        <f aca="false">HYPERLINK("https://lindat.mff.cuni.cz/services/PDT-Vallex4.5/PDT-Vallex4.5.html?verb=prohrabovat", "prohrabovat")</f>
        <v>prohrabovat</v>
      </c>
      <c r="B250" s="0" t="str">
        <f aca="false">HYPERLINK("https://lindat.mff.cuni.cz/services/PDT-Vallex4.5/PDT-Vallex4.5.html?verb=prohrabovat#v41hehA", "v41hehA")</f>
        <v>v41hehA</v>
      </c>
      <c r="E250" s="0" t="n">
        <v>128</v>
      </c>
      <c r="F250" s="0" t="n">
        <v>0.19397</v>
      </c>
      <c r="G250" s="1" t="n">
        <v>0</v>
      </c>
      <c r="I250" s="1" t="s">
        <v>102</v>
      </c>
      <c r="K250" s="0" t="str">
        <f aca="false">HYPERLINK("https://lindat.mff.cuni.cz/services/SynSemClass55/SynSemClass55.html?veclass=vec01216", "vec01216 / hrabat se (v41aygA)")</f>
        <v>vec01216 / hrabat se (v41aygA)</v>
      </c>
      <c r="L250" s="0" t="n">
        <v>0.19397</v>
      </c>
      <c r="M250" s="5" t="s">
        <v>30</v>
      </c>
      <c r="P250" s="0" t="str">
        <f aca="false">HYPERLINK("https://lindat.mff.cuni.cz/services/SynSemClass55/SynSemClass55.html?veclass=vec00991", "vec00991 / zavrtět (v41qubA)")</f>
        <v>vec00991 / zavrtět (v41qubA)</v>
      </c>
      <c r="Q250" s="0" t="n">
        <v>0.04022</v>
      </c>
      <c r="R250" s="5" t="s">
        <v>30</v>
      </c>
      <c r="U250" s="0" t="str">
        <f aca="false">HYPERLINK("https://lindat.mff.cuni.cz/services/SynSemClass55/SynSemClass55.html?veclass=vec01673", "vec01673 / rýt (v41kdeA)")</f>
        <v>vec01673 / rýt (v41kdeA)</v>
      </c>
      <c r="V250" s="0" t="n">
        <v>0.03288</v>
      </c>
      <c r="W250" s="5" t="s">
        <v>30</v>
      </c>
      <c r="Z250" s="0" t="str">
        <f aca="false">HYPERLINK("https://lindat.mff.cuni.cz/services/SynSemClass55/SynSemClass55.html?veclass=vec00522", "vec00522 / stabilizovat se (v41lhbA)")</f>
        <v>vec00522 / stabilizovat se (v41lhbA)</v>
      </c>
      <c r="AA250" s="0" t="n">
        <v>0.0317</v>
      </c>
      <c r="AB250" s="5" t="s">
        <v>30</v>
      </c>
      <c r="AE250" s="0" t="str">
        <f aca="false">HYPERLINK("https://lindat.mff.cuni.cz/services/SynSemClass55/SynSemClass55.html?veclass=vec00818", "vec00818 / fušovat (v41askA)")</f>
        <v>vec00818 / fušovat (v41askA)</v>
      </c>
      <c r="AF250" s="0" t="n">
        <v>0.03032</v>
      </c>
      <c r="AG250" s="5" t="s">
        <v>30</v>
      </c>
    </row>
    <row r="252" customFormat="false" ht="12.75" hidden="false" customHeight="false" outlineLevel="0" collapsed="false">
      <c r="A252" s="0" t="str">
        <f aca="false">HYPERLINK("https://lindat.mff.cuni.cz/services/PDT-Vallex4.5/PDT-Vallex4.5.html?verb=prokličkovat", "prokličkovat")</f>
        <v>prokličkovat</v>
      </c>
      <c r="B252" s="0" t="str">
        <f aca="false">HYPERLINK("https://lindat.mff.cuni.cz/services/PDT-Vallex4.5/PDT-Vallex4.5.html?verb=prokličkovat#v41hfyA", "v41hfyA")</f>
        <v>v41hfyA</v>
      </c>
      <c r="E252" s="0" t="n">
        <v>39</v>
      </c>
      <c r="F252" s="0" t="n">
        <v>0.13099</v>
      </c>
      <c r="G252" s="1" t="s">
        <v>31</v>
      </c>
      <c r="K252" s="0" t="str">
        <f aca="false">HYPERLINK("https://lindat.mff.cuni.cz/services/SynSemClass55/SynSemClass55.html?veclass=vec00665", "vec00665 / plazit se (v41fnbA)")</f>
        <v>vec00665 / plazit se (v41fnbA)</v>
      </c>
      <c r="L252" s="0" t="n">
        <v>0.13099</v>
      </c>
      <c r="M252" s="5" t="s">
        <v>30</v>
      </c>
      <c r="P252" s="0" t="str">
        <f aca="false">HYPERLINK("https://lindat.mff.cuni.cz/services/SynSemClass55/SynSemClass55.html?veclass=vec00685", "vec00685 / projít (v41hfiF)")</f>
        <v>vec00685 / projít (v41hfiF)</v>
      </c>
      <c r="Q252" s="0" t="n">
        <v>0.07447</v>
      </c>
      <c r="R252" s="5" t="s">
        <v>33</v>
      </c>
      <c r="U252" s="0" t="str">
        <f aca="false">HYPERLINK("https://lindat.mff.cuni.cz/services/SynSemClass55/SynSemClass55.html?veclass=vec01287", "vec01287 / přeskakovat (v41iipB)")</f>
        <v>vec01287 / přeskakovat (v41iipB)</v>
      </c>
      <c r="V252" s="0" t="n">
        <v>0.05678</v>
      </c>
      <c r="W252" s="5" t="s">
        <v>30</v>
      </c>
      <c r="Z252" s="0" t="str">
        <f aca="false">HYPERLINK("https://lindat.mff.cuni.cz/services/SynSemClass55/SynSemClass55.html?veclass=vec00279", "vec00279 / překonat (v41ibzC)")</f>
        <v>vec00279 / překonat (v41ibzC)</v>
      </c>
      <c r="AA252" s="0" t="n">
        <v>0.05586</v>
      </c>
      <c r="AB252" s="5" t="s">
        <v>30</v>
      </c>
      <c r="AE252" s="0" t="str">
        <f aca="false">HYPERLINK("https://lindat.mff.cuni.cz/services/SynSemClass55/SynSemClass55.html?veclass=vec00881", "vec00881 / prohnat se (v41hdxA)")</f>
        <v>vec00881 / prohnat se (v41hdxA)</v>
      </c>
      <c r="AF252" s="0" t="n">
        <v>0.04394</v>
      </c>
      <c r="AG252" s="5" t="s">
        <v>32</v>
      </c>
    </row>
    <row r="254" customFormat="false" ht="12.75" hidden="false" customHeight="false" outlineLevel="0" collapsed="false">
      <c r="A254" s="0" t="str">
        <f aca="false">HYPERLINK("https://lindat.mff.cuni.cz/services/PDT-Vallex4.5/PDT-Vallex4.5.html?verb=prokopnout se", "prokopnout se")</f>
        <v>prokopnout se</v>
      </c>
      <c r="B254" s="0" t="str">
        <f aca="false">HYPERLINK("https://lindat.mff.cuni.cz/services/PDT-Vallex4.5/PDT-Vallex4.5.html?verb=prokopnout se#v41hgeA", "v41hgeA")</f>
        <v>v41hgeA</v>
      </c>
      <c r="E254" s="0" t="n">
        <v>9</v>
      </c>
      <c r="F254" s="0" t="n">
        <v>0.05954</v>
      </c>
      <c r="G254" s="1" t="s">
        <v>103</v>
      </c>
      <c r="K254" s="0" t="str">
        <f aca="false">HYPERLINK("https://lindat.mff.cuni.cz/services/SynSemClass55/SynSemClass55.html?veclass=vec00888", "vec00888 / prorazit (v41hloE)")</f>
        <v>vec00888 / prorazit (v41hloE)</v>
      </c>
      <c r="L254" s="0" t="n">
        <v>0.05954</v>
      </c>
      <c r="M254" s="5" t="s">
        <v>32</v>
      </c>
      <c r="P254" s="0" t="str">
        <f aca="false">HYPERLINK("https://lindat.mff.cuni.cz/services/SynSemClass55/SynSemClass55.html?veclass=vec01216", "vec01216 / hrabat se (v41aygA)")</f>
        <v>vec01216 / hrabat se (v41aygA)</v>
      </c>
      <c r="Q254" s="0" t="n">
        <v>0.0526</v>
      </c>
      <c r="R254" s="5" t="s">
        <v>30</v>
      </c>
      <c r="U254" s="0" t="str">
        <f aca="false">HYPERLINK("https://lindat.mff.cuni.cz/services/SynSemClass55/SynSemClass55.html?veclass=vec00503", "vec00503 / přiznat se (v41jcjA)")</f>
        <v>vec00503 / přiznat se (v41jcjA)</v>
      </c>
      <c r="V254" s="0" t="n">
        <v>0.04111</v>
      </c>
      <c r="W254" s="5" t="s">
        <v>30</v>
      </c>
      <c r="Z254" s="0" t="str">
        <f aca="false">HYPERLINK("https://lindat.mff.cuni.cz/services/SynSemClass55/SynSemClass55.html?veclass=vec01699", "vec01699 / veslovat (v41njuA)")</f>
        <v>vec01699 / veslovat (v41njuA)</v>
      </c>
      <c r="AA254" s="0" t="n">
        <v>0.03807</v>
      </c>
      <c r="AB254" s="5" t="s">
        <v>30</v>
      </c>
      <c r="AE254" s="0" t="str">
        <f aca="false">HYPERLINK("https://lindat.mff.cuni.cz/services/SynSemClass55/SynSemClass55.html?veclass=vec01673", "vec01673 / rýt (v41kdeA)")</f>
        <v>vec01673 / rýt (v41kdeA)</v>
      </c>
      <c r="AF254" s="0" t="n">
        <v>0.03801</v>
      </c>
      <c r="AG254" s="5" t="s">
        <v>30</v>
      </c>
    </row>
    <row r="256" customFormat="false" ht="12.75" hidden="false" customHeight="false" outlineLevel="0" collapsed="false">
      <c r="A256" s="0" t="str">
        <f aca="false">HYPERLINK("https://lindat.mff.cuni.cz/services/PDT-Vallex4.5/PDT-Vallex4.5.html?verb=proležet", "proležet")</f>
        <v>proležet</v>
      </c>
      <c r="B256" s="0" t="str">
        <f aca="false">HYPERLINK("https://lindat.mff.cuni.cz/services/PDT-Vallex4.5/PDT-Vallex4.5.html?verb=proležet#v41hgsB", "v41hgsB")</f>
        <v>v41hgsB</v>
      </c>
      <c r="E256" s="0" t="n">
        <v>73</v>
      </c>
      <c r="F256" s="0" t="n">
        <v>0.08937</v>
      </c>
      <c r="G256" s="1" t="s">
        <v>86</v>
      </c>
      <c r="K256" s="0" t="str">
        <f aca="false">HYPERLINK("https://lindat.mff.cuni.cz/services/SynSemClass55/SynSemClass55.html?veclass=vec00394", "vec00394 / zůstat (v41sadF)")</f>
        <v>vec00394 / zůstat (v41sadF)</v>
      </c>
      <c r="L256" s="0" t="n">
        <v>0.08937</v>
      </c>
      <c r="M256" s="5" t="s">
        <v>30</v>
      </c>
      <c r="P256" s="0" t="str">
        <f aca="false">HYPERLINK("https://lindat.mff.cuni.cz/services/SynSemClass55/SynSemClass55.html?veclass=vec00325", "vec00325 / strávit (v41lluB)")</f>
        <v>vec00325 / strávit (v41lluB)</v>
      </c>
      <c r="Q256" s="0" t="n">
        <v>0.05912</v>
      </c>
      <c r="R256" s="5" t="s">
        <v>30</v>
      </c>
      <c r="U256" s="0" t="str">
        <f aca="false">HYPERLINK("https://lindat.mff.cuni.cz/services/SynSemClass55/SynSemClass55.html?veclass=vec01843", "vec01843 / prosedět (v41hmoA)")</f>
        <v>vec01843 / prosedět (v41hmoA)</v>
      </c>
      <c r="V256" s="0" t="n">
        <v>0.03638</v>
      </c>
      <c r="W256" s="5" t="s">
        <v>30</v>
      </c>
      <c r="Z256" s="0" t="str">
        <f aca="false">HYPERLINK("https://lindat.mff.cuni.cz/services/SynSemClass55/SynSemClass55.html?veclass=vec01059", "vec01059 / odpykávat si (v41ehqA)")</f>
        <v>vec01059 / odpykávat si (v41ehqA)</v>
      </c>
      <c r="AA256" s="0" t="n">
        <v>0.03369</v>
      </c>
      <c r="AB256" s="5" t="s">
        <v>30</v>
      </c>
      <c r="AE256" s="0" t="str">
        <f aca="false">HYPERLINK("https://lindat.mff.cuni.cz/services/SynSemClass55/SynSemClass55.html?veclass=vec01458", "vec01458 / věnovat se (v41njfA)")</f>
        <v>vec01458 / věnovat se (v41njfA)</v>
      </c>
      <c r="AF256" s="0" t="n">
        <v>0.02868</v>
      </c>
      <c r="AG256" s="5" t="s">
        <v>30</v>
      </c>
    </row>
    <row r="258" customFormat="false" ht="12.75" hidden="false" customHeight="false" outlineLevel="0" collapsed="false">
      <c r="A258" s="0" t="str">
        <f aca="false">HYPERLINK("https://lindat.mff.cuni.cz/services/PDT-Vallex4.5/PDT-Vallex4.5.html?verb=promítnout si", "promítnout si")</f>
        <v>promítnout si</v>
      </c>
      <c r="B258" s="0" t="str">
        <f aca="false">HYPERLINK("https://lindat.mff.cuni.cz/services/PDT-Vallex4.5/PDT-Vallex4.5.html?verb=promítnout si#v41hhzA", "v41hhzA")</f>
        <v>v41hhzA</v>
      </c>
      <c r="E258" s="0" t="n">
        <v>106</v>
      </c>
      <c r="F258" s="0" t="n">
        <v>0.11045</v>
      </c>
      <c r="G258" s="1" t="s">
        <v>104</v>
      </c>
      <c r="K258" s="0" t="str">
        <f aca="false">HYPERLINK("https://lindat.mff.cuni.cz/services/SynSemClass55/SynSemClass55.html?veclass=vec00358", "vec00358 / vysílat (v41ovzD)")</f>
        <v>vec00358 / vysílat (v41ovzD)</v>
      </c>
      <c r="L258" s="0" t="n">
        <v>0.11045</v>
      </c>
      <c r="M258" s="5" t="s">
        <v>30</v>
      </c>
      <c r="P258" s="0" t="str">
        <f aca="false">HYPERLINK("https://lindat.mff.cuni.cz/services/SynSemClass55/SynSemClass55.html?veclass=vec01080", "vec01080 / promítnout se (v41hhyB)")</f>
        <v>vec01080 / promítnout se (v41hhyB)</v>
      </c>
      <c r="Q258" s="0" t="n">
        <v>0.10131</v>
      </c>
      <c r="R258" s="5" t="s">
        <v>30</v>
      </c>
      <c r="U258" s="0" t="str">
        <f aca="false">HYPERLINK("https://lindat.mff.cuni.cz/services/SynSemClass55/SynSemClass55.html?veclass=vec01793", "vec01793 / obrážet se (v41dsgA)")</f>
        <v>vec01793 / obrážet se (v41dsgA)</v>
      </c>
      <c r="V258" s="0" t="n">
        <v>0.03872</v>
      </c>
      <c r="W258" s="5" t="s">
        <v>30</v>
      </c>
      <c r="Z258" s="0" t="str">
        <f aca="false">HYPERLINK("https://lindat.mff.cuni.cz/services/SynSemClass55/SynSemClass55.html?veclass=vec01868", "vec01868 / rozehrát (v41johA)")</f>
        <v>vec01868 / rozehrát (v41johA)</v>
      </c>
      <c r="AA258" s="0" t="n">
        <v>0.03259</v>
      </c>
      <c r="AB258" s="5" t="s">
        <v>30</v>
      </c>
      <c r="AE258" s="0" t="str">
        <f aca="false">HYPERLINK("https://lindat.mff.cuni.cz/services/SynSemClass55/SynSemClass55.html?veclass=vec00640", "vec00640 / natočit (v41deyC)")</f>
        <v>vec00640 / natočit (v41deyC)</v>
      </c>
      <c r="AF258" s="0" t="n">
        <v>0.02897</v>
      </c>
      <c r="AG258" s="5" t="s">
        <v>30</v>
      </c>
    </row>
    <row r="260" customFormat="false" ht="12.75" hidden="false" customHeight="false" outlineLevel="0" collapsed="false">
      <c r="A260" s="0" t="str">
        <f aca="false">HYPERLINK("https://lindat.mff.cuni.cz/services/PDT-Vallex4.5/PDT-Vallex4.5.html?verb=promnout", "promnout")</f>
        <v>promnout</v>
      </c>
      <c r="B260" s="0" t="str">
        <f aca="false">HYPERLINK("https://lindat.mff.cuni.cz/services/PDT-Vallex4.5/PDT-Vallex4.5.html?verb=promnout#v41higA", "v41higA")</f>
        <v>v41higA</v>
      </c>
      <c r="E260" s="0" t="n">
        <v>265</v>
      </c>
      <c r="F260" s="0" t="n">
        <v>0.10043</v>
      </c>
      <c r="G260" s="1" t="s">
        <v>105</v>
      </c>
      <c r="K260" s="0" t="str">
        <f aca="false">HYPERLINK("https://lindat.mff.cuni.cz/services/SynSemClass55/SynSemClass55.html?veclass=vec00991", "vec00991 / zavrtět (v41qubA)")</f>
        <v>vec00991 / zavrtět (v41qubA)</v>
      </c>
      <c r="L260" s="0" t="n">
        <v>0.10043</v>
      </c>
      <c r="M260" s="5" t="s">
        <v>30</v>
      </c>
      <c r="P260" s="0" t="str">
        <f aca="false">HYPERLINK("https://lindat.mff.cuni.cz/services/SynSemClass55/SynSemClass55.html?veclass=vec01565", "vec01565 / mazat (v41cfaB)")</f>
        <v>vec01565 / mazat (v41cfaB)</v>
      </c>
      <c r="Q260" s="0" t="n">
        <v>0.0481</v>
      </c>
      <c r="R260" s="5" t="s">
        <v>30</v>
      </c>
      <c r="U260" s="0" t="str">
        <f aca="false">HYPERLINK("https://lindat.mff.cuni.cz/services/SynSemClass55/SynSemClass55.html?veclass=vec01699", "vec01699 / veslovat (v41njuA)")</f>
        <v>vec01699 / veslovat (v41njuA)</v>
      </c>
      <c r="V260" s="0" t="n">
        <v>0.03837</v>
      </c>
      <c r="W260" s="5" t="s">
        <v>30</v>
      </c>
      <c r="Z260" s="0" t="str">
        <f aca="false">HYPERLINK("https://lindat.mff.cuni.cz/services/SynSemClass55/SynSemClass55.html?veclass=vec00674", "vec00674 / pohrdat (v41fxsA)")</f>
        <v>vec00674 / pohrdat (v41fxsA)</v>
      </c>
      <c r="AA260" s="0" t="n">
        <v>0.03721</v>
      </c>
      <c r="AB260" s="5" t="s">
        <v>30</v>
      </c>
      <c r="AE260" s="0" t="str">
        <f aca="false">HYPERLINK("https://lindat.mff.cuni.cz/services/SynSemClass55/SynSemClass55.html?veclass=vec01584", "vec01584 / oholit (v41eplB)")</f>
        <v>vec01584 / oholit (v41eplB)</v>
      </c>
      <c r="AF260" s="0" t="n">
        <v>0.03275</v>
      </c>
      <c r="AG260" s="5" t="s">
        <v>30</v>
      </c>
    </row>
    <row r="262" customFormat="false" ht="12.75" hidden="false" customHeight="false" outlineLevel="0" collapsed="false">
      <c r="A262" s="0" t="str">
        <f aca="false">HYPERLINK("https://lindat.mff.cuni.cz/services/PDT-Vallex4.5/PDT-Vallex4.5.html?verb=proplétat", "proplétat")</f>
        <v>proplétat</v>
      </c>
      <c r="B262" s="0" t="str">
        <f aca="false">HYPERLINK("https://lindat.mff.cuni.cz/services/PDT-Vallex4.5/PDT-Vallex4.5.html?verb=proplétat#v41hkhA", "v41hkhA")</f>
        <v>v41hkhA</v>
      </c>
      <c r="E262" s="0" t="n">
        <v>398</v>
      </c>
      <c r="F262" s="0" t="n">
        <v>0.07241</v>
      </c>
      <c r="G262" s="1" t="s">
        <v>106</v>
      </c>
      <c r="K262" s="0" t="str">
        <f aca="false">HYPERLINK("https://lindat.mff.cuni.cz/services/SynSemClass55/SynSemClass55.html?veclass=vec00665", "vec00665 / plazit se (v41fnbA)")</f>
        <v>vec00665 / plazit se (v41fnbA)</v>
      </c>
      <c r="L262" s="0" t="n">
        <v>0.07241</v>
      </c>
      <c r="M262" s="5" t="s">
        <v>30</v>
      </c>
      <c r="P262" s="0" t="str">
        <f aca="false">HYPERLINK("https://lindat.mff.cuni.cz/services/SynSemClass55/SynSemClass55.html?veclass=vec00881", "vec00881 / prohnat se (v41hdxA)")</f>
        <v>vec00881 / prohnat se (v41hdxA)</v>
      </c>
      <c r="Q262" s="0" t="n">
        <v>0.05602</v>
      </c>
      <c r="R262" s="5" t="s">
        <v>30</v>
      </c>
      <c r="U262" s="0" t="str">
        <f aca="false">HYPERLINK("https://lindat.mff.cuni.cz/services/SynSemClass55/SynSemClass55.html?veclass=vec00882", "vec00882 / projet (v41hfaE)")</f>
        <v>vec00882 / projet (v41hfaE)</v>
      </c>
      <c r="V262" s="0" t="n">
        <v>0.055</v>
      </c>
      <c r="W262" s="5" t="s">
        <v>30</v>
      </c>
      <c r="Z262" s="0" t="str">
        <f aca="false">HYPERLINK("https://lindat.mff.cuni.cz/services/SynSemClass55/SynSemClass55.html?veclass=vec00949", "vec00949 / valit se (v41nghA)")</f>
        <v>vec00949 / valit se (v41nghA)</v>
      </c>
      <c r="AA262" s="0" t="n">
        <v>0.05292</v>
      </c>
      <c r="AB262" s="5" t="s">
        <v>30</v>
      </c>
      <c r="AE262" s="0" t="str">
        <f aca="false">HYPERLINK("https://lindat.mff.cuni.cz/services/SynSemClass55/SynSemClass55.html?veclass=vec01856", "vec01856 / převalit se (v41imfB)")</f>
        <v>vec01856 / převalit se (v41imfB)</v>
      </c>
      <c r="AF262" s="0" t="n">
        <v>0.0506</v>
      </c>
      <c r="AG262" s="5" t="s">
        <v>30</v>
      </c>
    </row>
    <row r="264" customFormat="false" ht="12.75" hidden="false" customHeight="false" outlineLevel="0" collapsed="false">
      <c r="A264" s="0" t="str">
        <f aca="false">HYPERLINK("https://lindat.mff.cuni.cz/services/PDT-Vallex4.5/PDT-Vallex4.5.html?verb=proplýtvat", "proplýtvat")</f>
        <v>proplýtvat</v>
      </c>
      <c r="B264" s="0" t="str">
        <f aca="false">HYPERLINK("https://lindat.mff.cuni.cz/services/PDT-Vallex4.5/PDT-Vallex4.5.html?verb=proplýtvat#v41hkoA", "v41hkoA")</f>
        <v>v41hkoA</v>
      </c>
      <c r="E264" s="0" t="n">
        <v>3</v>
      </c>
      <c r="F264" s="0" t="n">
        <v>0.32132</v>
      </c>
      <c r="G264" s="1" t="s">
        <v>31</v>
      </c>
      <c r="K264" s="0" t="str">
        <f aca="false">HYPERLINK("https://lindat.mff.cuni.cz/services/SynSemClass55/SynSemClass55.html?veclass=vec00886", "vec00886 / promrhat (v41hikA)")</f>
        <v>vec00886 / promrhat (v41hikA)</v>
      </c>
      <c r="L264" s="0" t="n">
        <v>0.32132</v>
      </c>
      <c r="M264" s="5" t="s">
        <v>33</v>
      </c>
      <c r="P264" s="0" t="str">
        <f aca="false">HYPERLINK("https://lindat.mff.cuni.cz/services/SynSemClass55/SynSemClass55.html?veclass=vec00147", "vec00147 / utratit (v41nbeA)")</f>
        <v>vec00147 / utratit (v41nbeA)</v>
      </c>
      <c r="Q264" s="0" t="n">
        <v>0.27601</v>
      </c>
      <c r="R264" s="5" t="s">
        <v>30</v>
      </c>
      <c r="U264" s="0" t="str">
        <f aca="false">HYPERLINK("https://lindat.mff.cuni.cz/services/SynSemClass55/SynSemClass55.html?veclass=vec01430", "vec01430 / promeškat (v41hhnA)")</f>
        <v>vec01430 / promeškat (v41hhnA)</v>
      </c>
      <c r="V264" s="0" t="n">
        <v>0.07726</v>
      </c>
      <c r="W264" s="5" t="s">
        <v>30</v>
      </c>
      <c r="Z264" s="0" t="str">
        <f aca="false">HYPERLINK("https://lindat.mff.cuni.cz/services/SynSemClass55/SynSemClass55.html?veclass=vec00915", "vec00915 / rozvířit (v41kbpA)")</f>
        <v>vec00915 / rozvířit (v41kbpA)</v>
      </c>
      <c r="AA264" s="0" t="n">
        <v>0.04095</v>
      </c>
      <c r="AB264" s="5" t="s">
        <v>30</v>
      </c>
      <c r="AE264" s="0" t="str">
        <f aca="false">HYPERLINK("https://lindat.mff.cuni.cz/services/SynSemClass55/SynSemClass55.html?veclass=vec00910", "vec00910 / rozptýlit (v41jxiB)")</f>
        <v>vec00910 / rozptýlit (v41jxiB)</v>
      </c>
      <c r="AF264" s="0" t="n">
        <v>0.03282</v>
      </c>
      <c r="AG264" s="5" t="s">
        <v>30</v>
      </c>
    </row>
    <row r="266" customFormat="false" ht="12.75" hidden="false" customHeight="false" outlineLevel="0" collapsed="false">
      <c r="A266" s="0" t="str">
        <f aca="false">HYPERLINK("https://lindat.mff.cuni.cz/services/PDT-Vallex4.5/PDT-Vallex4.5.html?verb=prořítit se", "prořítit se")</f>
        <v>prořítit se</v>
      </c>
      <c r="B266" s="0" t="str">
        <f aca="false">HYPERLINK("https://lindat.mff.cuni.cz/services/PDT-Vallex4.5/PDT-Vallex4.5.html?verb=prořítit se#v41hmaA", "v41hmaA")</f>
        <v>v41hmaA</v>
      </c>
      <c r="E266" s="0" t="n">
        <v>9</v>
      </c>
      <c r="F266" s="0" t="n">
        <v>0.13993</v>
      </c>
      <c r="G266" s="1" t="s">
        <v>31</v>
      </c>
      <c r="K266" s="0" t="str">
        <f aca="false">HYPERLINK("https://lindat.mff.cuni.cz/services/SynSemClass55/SynSemClass55.html?veclass=vec00881", "vec00881 / prohnat se (v41hdxA)")</f>
        <v>vec00881 / prohnat se (v41hdxA)</v>
      </c>
      <c r="L266" s="0" t="n">
        <v>0.13993</v>
      </c>
      <c r="M266" s="5" t="s">
        <v>33</v>
      </c>
      <c r="P266" s="0" t="str">
        <f aca="false">HYPERLINK("https://lindat.mff.cuni.cz/services/SynSemClass55/SynSemClass55.html?veclass=vec00665", "vec00665 / plazit se (v41fnbA)")</f>
        <v>vec00665 / plazit se (v41fnbA)</v>
      </c>
      <c r="Q266" s="0" t="n">
        <v>0.11988</v>
      </c>
      <c r="R266" s="5" t="s">
        <v>30</v>
      </c>
      <c r="U266" s="0" t="str">
        <f aca="false">HYPERLINK("https://lindat.mff.cuni.cz/services/SynSemClass55/SynSemClass55.html?veclass=vec01856", "vec01856 / převalit se (v41imfB)")</f>
        <v>vec01856 / převalit se (v41imfB)</v>
      </c>
      <c r="V266" s="0" t="n">
        <v>0.09458</v>
      </c>
      <c r="W266" s="5" t="s">
        <v>30</v>
      </c>
      <c r="Z266" s="0" t="str">
        <f aca="false">HYPERLINK("https://lindat.mff.cuni.cz/services/SynSemClass55/SynSemClass55.html?veclass=vec00882", "vec00882 / projet (v41hfaE)")</f>
        <v>vec00882 / projet (v41hfaE)</v>
      </c>
      <c r="AA266" s="0" t="n">
        <v>0.05445</v>
      </c>
      <c r="AB266" s="5" t="s">
        <v>30</v>
      </c>
      <c r="AE266" s="0" t="str">
        <f aca="false">HYPERLINK("https://lindat.mff.cuni.cz/services/SynSemClass55/SynSemClass55.html?veclass=vec00949", "vec00949 / valit se (v41nghA)")</f>
        <v>vec00949 / valit se (v41nghA)</v>
      </c>
      <c r="AF266" s="0" t="n">
        <v>0.05095</v>
      </c>
      <c r="AG266" s="5" t="s">
        <v>30</v>
      </c>
    </row>
    <row r="268" customFormat="false" ht="12.75" hidden="false" customHeight="false" outlineLevel="0" collapsed="false">
      <c r="A268" s="0" t="str">
        <f aca="false">HYPERLINK("https://lindat.mff.cuni.cz/services/PDT-Vallex4.5/PDT-Vallex4.5.html?verb=prosekat", "prosekat")</f>
        <v>prosekat</v>
      </c>
      <c r="B268" s="0" t="str">
        <f aca="false">HYPERLINK("https://lindat.mff.cuni.cz/services/PDT-Vallex4.5/PDT-Vallex4.5.html?verb=prosekat#v41hmpA", "v41hmpA")</f>
        <v>v41hmpA</v>
      </c>
      <c r="E268" s="0" t="n">
        <v>36</v>
      </c>
      <c r="F268" s="0" t="n">
        <v>0.05928</v>
      </c>
      <c r="G268" s="1" t="s">
        <v>31</v>
      </c>
      <c r="K268" s="0" t="str">
        <f aca="false">HYPERLINK("https://lindat.mff.cuni.cz/services/SynSemClass55/SynSemClass55.html?veclass=vec01290", "vec01290 / přihlásit se (v41iqqD)")</f>
        <v>vec01290 / přihlásit se (v41iqqD)</v>
      </c>
      <c r="L268" s="0" t="n">
        <v>0.05928</v>
      </c>
      <c r="M268" s="5" t="s">
        <v>30</v>
      </c>
      <c r="P268" s="0" t="str">
        <f aca="false">HYPERLINK("https://lindat.mff.cuni.cz/services/SynSemClass55/SynSemClass55.html?veclass=vec00665", "vec00665 / plazit se (v41fnbA)")</f>
        <v>vec00665 / plazit se (v41fnbA)</v>
      </c>
      <c r="Q268" s="0" t="n">
        <v>0.05906</v>
      </c>
      <c r="R268" s="5" t="s">
        <v>30</v>
      </c>
      <c r="U268" s="0" t="str">
        <f aca="false">HYPERLINK("https://lindat.mff.cuni.cz/services/SynSemClass55/SynSemClass55.html?veclass=vec00884", "vec00884 / proklestit (v41hfxA)")</f>
        <v>vec00884 / proklestit (v41hfxA)</v>
      </c>
      <c r="V268" s="0" t="n">
        <v>0.05044</v>
      </c>
      <c r="W268" s="5" t="s">
        <v>33</v>
      </c>
      <c r="Z268" s="0" t="str">
        <f aca="false">HYPERLINK("https://lindat.mff.cuni.cz/services/SynSemClass55/SynSemClass55.html?veclass=vec01213", "vec01213 / dvořit se (v41amiA)")</f>
        <v>vec01213 / dvořit se (v41amiA)</v>
      </c>
      <c r="AA268" s="0" t="n">
        <v>0.0295</v>
      </c>
      <c r="AB268" s="5" t="s">
        <v>30</v>
      </c>
      <c r="AE268" s="0" t="str">
        <f aca="false">HYPERLINK("https://lindat.mff.cuni.cz/services/SynSemClass55/SynSemClass55.html?veclass=vec00272", "vec00272 / požadovat (v41gxnA)")</f>
        <v>vec00272 / požadovat (v41gxnA)</v>
      </c>
      <c r="AF268" s="0" t="n">
        <v>0.02703</v>
      </c>
      <c r="AG268" s="5" t="s">
        <v>30</v>
      </c>
    </row>
    <row r="270" customFormat="false" ht="12.75" hidden="false" customHeight="false" outlineLevel="0" collapsed="false">
      <c r="A270" s="0" t="str">
        <f aca="false">HYPERLINK("https://lindat.mff.cuni.cz/services/PDT-Vallex4.5/PDT-Vallex4.5.html?verb=prostoupit", "prostoupit")</f>
        <v>prostoupit</v>
      </c>
      <c r="B270" s="0" t="str">
        <f aca="false">HYPERLINK("https://lindat.mff.cuni.cz/services/PDT-Vallex4.5/PDT-Vallex4.5.html?verb=prostoupit#v41hntB", "v41hntB")</f>
        <v>v41hntB</v>
      </c>
      <c r="E270" s="0" t="n">
        <v>128</v>
      </c>
      <c r="F270" s="0" t="n">
        <v>0.0942</v>
      </c>
      <c r="G270" s="1" t="s">
        <v>31</v>
      </c>
      <c r="K270" s="0" t="str">
        <f aca="false">HYPERLINK("https://lindat.mff.cuni.cz/services/SynSemClass55/SynSemClass55.html?veclass=vec00882", "vec00882 / projet (v41hfaE)")</f>
        <v>vec00882 / projet (v41hfaE)</v>
      </c>
      <c r="L270" s="0" t="n">
        <v>0.0942</v>
      </c>
      <c r="M270" s="5" t="s">
        <v>30</v>
      </c>
      <c r="P270" s="0" t="str">
        <f aca="false">HYPERLINK("https://lindat.mff.cuni.cz/services/SynSemClass55/SynSemClass55.html?veclass=vec00685", "vec00685 / projít (v41hfiF)")</f>
        <v>vec00685 / projít (v41hfiF)</v>
      </c>
      <c r="Q270" s="0" t="n">
        <v>0.05486</v>
      </c>
      <c r="R270" s="5" t="s">
        <v>33</v>
      </c>
      <c r="U270" s="0" t="str">
        <f aca="false">HYPERLINK("https://lindat.mff.cuni.cz/services/SynSemClass55/SynSemClass55.html?veclass=vec00885", "vec00885 / prolomit (v41hhaB)")</f>
        <v>vec00885 / prolomit (v41hhaB)</v>
      </c>
      <c r="V270" s="0" t="n">
        <v>0.05383</v>
      </c>
      <c r="W270" s="5" t="s">
        <v>30</v>
      </c>
      <c r="Z270" s="0" t="str">
        <f aca="false">HYPERLINK("https://lindat.mff.cuni.cz/services/SynSemClass55/SynSemClass55.html?veclass=vec00881", "vec00881 / prohnat se (v41hdxA)")</f>
        <v>vec00881 / prohnat se (v41hdxA)</v>
      </c>
      <c r="AA270" s="0" t="n">
        <v>0.04001</v>
      </c>
      <c r="AB270" s="5" t="s">
        <v>30</v>
      </c>
      <c r="AE270" s="0" t="str">
        <f aca="false">HYPERLINK("https://lindat.mff.cuni.cz/services/SynSemClass55/SynSemClass55.html?veclass=vec01856", "vec01856 / převalit se (v41imfB)")</f>
        <v>vec01856 / převalit se (v41imfB)</v>
      </c>
      <c r="AF270" s="0" t="n">
        <v>0.03778</v>
      </c>
      <c r="AG270" s="5" t="s">
        <v>30</v>
      </c>
    </row>
    <row r="272" customFormat="false" ht="12.75" hidden="false" customHeight="false" outlineLevel="0" collapsed="false">
      <c r="A272" s="0" t="str">
        <f aca="false">HYPERLINK("https://lindat.mff.cuni.cz/services/PDT-Vallex4.5/PDT-Vallex4.5.html?verb=prosvištět", "prosvištět")</f>
        <v>prosvištět</v>
      </c>
      <c r="B272" s="0" t="str">
        <f aca="false">HYPERLINK("https://lindat.mff.cuni.cz/services/PDT-Vallex4.5/PDT-Vallex4.5.html?verb=prosvištět#v41hokA", "v41hokA")</f>
        <v>v41hokA</v>
      </c>
      <c r="E272" s="0" t="n">
        <v>63</v>
      </c>
      <c r="F272" s="0" t="n">
        <v>0.08634</v>
      </c>
      <c r="G272" s="1" t="s">
        <v>31</v>
      </c>
      <c r="K272" s="0" t="str">
        <f aca="false">HYPERLINK("https://lindat.mff.cuni.cz/services/SynSemClass55/SynSemClass55.html?veclass=vec01856", "vec01856 / převalit se (v41imfB)")</f>
        <v>vec01856 / převalit se (v41imfB)</v>
      </c>
      <c r="L272" s="0" t="n">
        <v>0.08634</v>
      </c>
      <c r="M272" s="5" t="s">
        <v>30</v>
      </c>
      <c r="P272" s="0" t="str">
        <f aca="false">HYPERLINK("https://lindat.mff.cuni.cz/services/SynSemClass55/SynSemClass55.html?veclass=vec00881", "vec00881 / prohnat se (v41hdxA)")</f>
        <v>vec00881 / prohnat se (v41hdxA)</v>
      </c>
      <c r="Q272" s="0" t="n">
        <v>0.06777</v>
      </c>
      <c r="R272" s="5" t="s">
        <v>33</v>
      </c>
      <c r="U272" s="0" t="str">
        <f aca="false">HYPERLINK("https://lindat.mff.cuni.cz/services/SynSemClass55/SynSemClass55.html?veclass=vec01336", "vec01336 / tyčit se (v41meuA)")</f>
        <v>vec01336 / tyčit se (v41meuA)</v>
      </c>
      <c r="V272" s="0" t="n">
        <v>0.05864</v>
      </c>
      <c r="W272" s="5" t="s">
        <v>30</v>
      </c>
      <c r="Z272" s="0" t="str">
        <f aca="false">HYPERLINK("https://lindat.mff.cuni.cz/services/SynSemClass55/SynSemClass55.html?veclass=vec01219", "vec01219 / klouzat (v41bmaA)")</f>
        <v>vec01219 / klouzat (v41bmaA)</v>
      </c>
      <c r="AA272" s="0" t="n">
        <v>0.04988</v>
      </c>
      <c r="AB272" s="5" t="s">
        <v>30</v>
      </c>
      <c r="AE272" s="0" t="str">
        <f aca="false">HYPERLINK("https://lindat.mff.cuni.cz/services/SynSemClass55/SynSemClass55.html?veclass=vec00882", "vec00882 / projet (v41hfaE)")</f>
        <v>vec00882 / projet (v41hfaE)</v>
      </c>
      <c r="AF272" s="0" t="n">
        <v>0.04978</v>
      </c>
      <c r="AG272" s="5" t="s">
        <v>30</v>
      </c>
    </row>
    <row r="274" customFormat="false" ht="12.75" hidden="false" customHeight="false" outlineLevel="0" collapsed="false">
      <c r="A274" s="0" t="str">
        <f aca="false">HYPERLINK("https://lindat.mff.cuni.cz/services/PDT-Vallex4.5/PDT-Vallex4.5.html?verb=prošoupávat", "prošoupávat")</f>
        <v>prošoupávat</v>
      </c>
      <c r="B274" s="0" t="str">
        <f aca="false">HYPERLINK("https://lindat.mff.cuni.cz/services/PDT-Vallex4.5/PDT-Vallex4.5.html?verb=prošoupávat#v41hoyA", "v41hoyA")</f>
        <v>v41hoyA</v>
      </c>
      <c r="E274" s="0" t="n">
        <v>2</v>
      </c>
      <c r="F274" s="0" t="n">
        <v>0.06604</v>
      </c>
      <c r="G274" s="1" t="s">
        <v>86</v>
      </c>
      <c r="K274" s="0" t="str">
        <f aca="false">HYPERLINK("https://lindat.mff.cuni.cz/services/SynSemClass55/SynSemClass55.html?veclass=vec01219", "vec01219 / klouzat (v41bmaA)")</f>
        <v>vec01219 / klouzat (v41bmaA)</v>
      </c>
      <c r="L274" s="0" t="n">
        <v>0.06604</v>
      </c>
      <c r="M274" s="5" t="s">
        <v>30</v>
      </c>
      <c r="P274" s="0" t="str">
        <f aca="false">HYPERLINK("https://lindat.mff.cuni.cz/services/SynSemClass55/SynSemClass55.html?veclass=vec00322", "vec00322 / stanovit (v41lhzC)")</f>
        <v>vec00322 / stanovit (v41lhzC)</v>
      </c>
      <c r="Q274" s="0" t="n">
        <v>0.05428</v>
      </c>
      <c r="R274" s="5" t="s">
        <v>30</v>
      </c>
      <c r="U274" s="0" t="str">
        <f aca="false">HYPERLINK("https://lindat.mff.cuni.cz/services/SynSemClass55/SynSemClass55.html?veclass=vec00991", "vec00991 / zavrtět (v41qubA)")</f>
        <v>vec00991 / zavrtět (v41qubA)</v>
      </c>
      <c r="V274" s="0" t="n">
        <v>0.04635</v>
      </c>
      <c r="W274" s="5" t="s">
        <v>30</v>
      </c>
      <c r="Z274" s="0" t="str">
        <f aca="false">HYPERLINK("https://lindat.mff.cuni.cz/services/SynSemClass55/SynSemClass55.html?veclass=vec01517", "vec01517 / rozhořet se (v41jquA)")</f>
        <v>vec01517 / rozhořet se (v41jquA)</v>
      </c>
      <c r="AA274" s="0" t="n">
        <v>0.04373</v>
      </c>
      <c r="AB274" s="5" t="s">
        <v>30</v>
      </c>
      <c r="AE274" s="0" t="str">
        <f aca="false">HYPERLINK("https://lindat.mff.cuni.cz/services/SynSemClass55/SynSemClass55.html?veclass=vec00865", "vec00865 / patřit (v41fjzE)")</f>
        <v>vec00865 / patřit (v41fjzE)</v>
      </c>
      <c r="AF274" s="0" t="n">
        <v>0.04034</v>
      </c>
      <c r="AG274" s="5" t="s">
        <v>30</v>
      </c>
    </row>
    <row r="276" customFormat="false" ht="12.75" hidden="false" customHeight="false" outlineLevel="0" collapsed="false">
      <c r="A276" s="0" t="str">
        <f aca="false">HYPERLINK("https://lindat.mff.cuni.cz/services/PDT-Vallex4.5/PDT-Vallex4.5.html?verb=protnout", "protnout")</f>
        <v>protnout</v>
      </c>
      <c r="B276" s="0" t="str">
        <f aca="false">HYPERLINK("https://lindat.mff.cuni.cz/services/PDT-Vallex4.5/PDT-Vallex4.5.html?verb=protnout#v41hqeB", "v41hqeB")</f>
        <v>v41hqeB</v>
      </c>
      <c r="E276" s="0" t="n">
        <v>112</v>
      </c>
      <c r="F276" s="0" t="n">
        <v>0.11135</v>
      </c>
      <c r="G276" s="1" t="n">
        <v>0</v>
      </c>
      <c r="I276" s="1" t="s">
        <v>107</v>
      </c>
      <c r="K276" s="0" t="str">
        <f aca="false">HYPERLINK("https://lindat.mff.cuni.cz/services/SynSemClass55/SynSemClass55.html?veclass=vec00885", "vec00885 / prolomit (v41hhaB)")</f>
        <v>vec00885 / prolomit (v41hhaB)</v>
      </c>
      <c r="L276" s="0" t="n">
        <v>0.11135</v>
      </c>
      <c r="M276" s="5" t="s">
        <v>32</v>
      </c>
      <c r="P276" s="0" t="str">
        <f aca="false">HYPERLINK("https://lindat.mff.cuni.cz/services/SynSemClass55/SynSemClass55.html?veclass=vec00892", "vec00892 / překrývat se (v41icuA)")</f>
        <v>vec00892 / překrývat se (v41icuA)</v>
      </c>
      <c r="Q276" s="0" t="n">
        <v>0.06964</v>
      </c>
      <c r="R276" s="5" t="s">
        <v>30</v>
      </c>
      <c r="U276" s="0" t="str">
        <f aca="false">HYPERLINK("https://lindat.mff.cuni.cz/services/SynSemClass55/SynSemClass55.html?veclass=vec00888", "vec00888 / prorazit (v41hloE)")</f>
        <v>vec00888 / prorazit (v41hloE)</v>
      </c>
      <c r="V276" s="0" t="n">
        <v>0.05499</v>
      </c>
      <c r="W276" s="5" t="s">
        <v>30</v>
      </c>
      <c r="Z276" s="0" t="str">
        <f aca="false">HYPERLINK("https://lindat.mff.cuni.cz/services/SynSemClass55/SynSemClass55.html?veclass=vec00580", "vec00580 / zastínit (v41qmlA)")</f>
        <v>vec00580 / zastínit (v41qmlA)</v>
      </c>
      <c r="AA276" s="0" t="n">
        <v>0.04227</v>
      </c>
      <c r="AB276" s="5" t="s">
        <v>30</v>
      </c>
      <c r="AE276" s="0" t="str">
        <f aca="false">HYPERLINK("https://lindat.mff.cuni.cz/services/SynSemClass55/SynSemClass55.html?veclass=vec00881", "vec00881 / prohnat se (v41hdxA)")</f>
        <v>vec00881 / prohnat se (v41hdxA)</v>
      </c>
      <c r="AF276" s="0" t="n">
        <v>0.0419</v>
      </c>
      <c r="AG276" s="5" t="s">
        <v>30</v>
      </c>
    </row>
    <row r="278" customFormat="false" ht="12.75" hidden="false" customHeight="false" outlineLevel="0" collapsed="false">
      <c r="A278" s="0" t="str">
        <f aca="false">HYPERLINK("https://lindat.mff.cuni.cz/services/PDT-Vallex4.5/PDT-Vallex4.5.html?verb=provrtat", "provrtat")</f>
        <v>provrtat</v>
      </c>
      <c r="B278" s="0" t="str">
        <f aca="false">HYPERLINK("https://lindat.mff.cuni.cz/services/PDT-Vallex4.5/PDT-Vallex4.5.html?verb=provrtat#v41hsdA", "v41hsdA")</f>
        <v>v41hsdA</v>
      </c>
      <c r="E278" s="0" t="n">
        <v>98</v>
      </c>
      <c r="F278" s="0" t="n">
        <v>0.03146</v>
      </c>
      <c r="G278" s="1" t="n">
        <v>0</v>
      </c>
      <c r="I278" s="1" t="s">
        <v>107</v>
      </c>
      <c r="K278" s="0" t="str">
        <f aca="false">HYPERLINK("https://lindat.mff.cuni.cz/services/SynSemClass55/SynSemClass55.html?veclass=vec00503", "vec00503 / přiznat se (v41jcjA)")</f>
        <v>vec00503 / přiznat se (v41jcjA)</v>
      </c>
      <c r="L278" s="0" t="n">
        <v>0.03146</v>
      </c>
      <c r="M278" s="5" t="s">
        <v>30</v>
      </c>
      <c r="P278" s="0" t="str">
        <f aca="false">HYPERLINK("https://lindat.mff.cuni.cz/services/SynSemClass55/SynSemClass55.html?veclass=vec01699", "vec01699 / veslovat (v41njuA)")</f>
        <v>vec01699 / veslovat (v41njuA)</v>
      </c>
      <c r="Q278" s="0" t="n">
        <v>0.03116</v>
      </c>
      <c r="R278" s="5" t="s">
        <v>30</v>
      </c>
      <c r="U278" s="0" t="str">
        <f aca="false">HYPERLINK("https://lindat.mff.cuni.cz/services/SynSemClass55/SynSemClass55.html?veclass=vec00610", "vec00610 / hnát se (v41awbB)")</f>
        <v>vec00610 / hnát se (v41awbB)</v>
      </c>
      <c r="V278" s="0" t="n">
        <v>0.02824</v>
      </c>
      <c r="W278" s="5" t="s">
        <v>30</v>
      </c>
      <c r="Z278" s="0" t="str">
        <f aca="false">HYPERLINK("https://lindat.mff.cuni.cz/services/SynSemClass55/SynSemClass55.html?veclass=vec01439", "vec01439 / rozchodit (v41jrgA)")</f>
        <v>vec01439 / rozchodit (v41jrgA)</v>
      </c>
      <c r="AA278" s="0" t="n">
        <v>0.02572</v>
      </c>
      <c r="AB278" s="5" t="s">
        <v>30</v>
      </c>
      <c r="AE278" s="0" t="str">
        <f aca="false">HYPERLINK("https://lindat.mff.cuni.cz/services/SynSemClass55/SynSemClass55.html?veclass=vec01216", "vec01216 / hrabat se (v41aygA)")</f>
        <v>vec01216 / hrabat se (v41aygA)</v>
      </c>
      <c r="AF278" s="0" t="n">
        <v>0.02502</v>
      </c>
      <c r="AG278" s="5" t="s">
        <v>30</v>
      </c>
    </row>
    <row r="280" customFormat="false" ht="12.75" hidden="false" customHeight="false" outlineLevel="0" collapsed="false">
      <c r="A280" s="0" t="str">
        <f aca="false">HYPERLINK("https://lindat.mff.cuni.cz/services/PDT-Vallex4.5/PDT-Vallex4.5.html?verb=prožrat", "prožrat")</f>
        <v>prožrat</v>
      </c>
      <c r="B280" s="0" t="str">
        <f aca="false">HYPERLINK("https://lindat.mff.cuni.cz/services/PDT-Vallex4.5/PDT-Vallex4.5.html?verb=prožrat#v41hswA", "v41hswA")</f>
        <v>v41hswA</v>
      </c>
      <c r="E280" s="0" t="n">
        <v>14</v>
      </c>
      <c r="F280" s="0" t="n">
        <v>0.37401</v>
      </c>
      <c r="G280" s="1" t="n">
        <v>0</v>
      </c>
      <c r="H280" s="1" t="s">
        <v>108</v>
      </c>
      <c r="I280" s="1" t="s">
        <v>107</v>
      </c>
      <c r="K280" s="0" t="str">
        <f aca="false">HYPERLINK("https://lindat.mff.cuni.cz/services/SynSemClass55/SynSemClass55.html?veclass=vec00828", "vec00828 / jíst (v41bifB)")</f>
        <v>vec00828 / jíst (v41bifB)</v>
      </c>
      <c r="L280" s="0" t="n">
        <v>0.37401</v>
      </c>
      <c r="M280" s="5" t="s">
        <v>30</v>
      </c>
      <c r="P280" s="0" t="str">
        <f aca="false">HYPERLINK("https://lindat.mff.cuni.cz/services/SynSemClass55/SynSemClass55.html?veclass=vec01514", "vec01514 / předávkovat (v41hvjA)")</f>
        <v>vec01514 / předávkovat (v41hvjA)</v>
      </c>
      <c r="Q280" s="0" t="n">
        <v>0.17594</v>
      </c>
      <c r="R280" s="5" t="s">
        <v>30</v>
      </c>
      <c r="U280" s="0" t="str">
        <f aca="false">HYPERLINK("https://lindat.mff.cuni.cz/services/SynSemClass55/SynSemClass55.html?veclass=vec00476", "vec00476 / pohltit (v41fxaA)")</f>
        <v>vec00476 / pohltit (v41fxaA)</v>
      </c>
      <c r="V280" s="0" t="n">
        <v>0.06217</v>
      </c>
      <c r="W280" s="5" t="s">
        <v>30</v>
      </c>
      <c r="Z280" s="0" t="str">
        <f aca="false">HYPERLINK("https://lindat.mff.cuni.cz/services/SynSemClass55/SynSemClass55.html?veclass=vec00576", "vec00576 / zaplavit (v41qflC)")</f>
        <v>vec00576 / zaplavit (v41qflC)</v>
      </c>
      <c r="AA280" s="0" t="n">
        <v>0.05048</v>
      </c>
      <c r="AB280" s="5" t="s">
        <v>30</v>
      </c>
      <c r="AE280" s="0" t="str">
        <f aca="false">HYPERLINK("https://lindat.mff.cuni.cz/services/SynSemClass55/SynSemClass55.html?veclass=vec00785", "vec00785 / zhoršit (v41rcrA)")</f>
        <v>vec00785 / zhoršit (v41rcrA)</v>
      </c>
      <c r="AF280" s="0" t="n">
        <v>0.02872</v>
      </c>
      <c r="AG280" s="5" t="s">
        <v>30</v>
      </c>
    </row>
    <row r="282" customFormat="false" ht="12.75" hidden="false" customHeight="false" outlineLevel="0" collapsed="false">
      <c r="A282" s="0" t="str">
        <f aca="false">HYPERLINK("https://lindat.mff.cuni.cz/services/PDT-Vallex4.5/PDT-Vallex4.5.html?verb=přebásnit", "přebásnit")</f>
        <v>přebásnit</v>
      </c>
      <c r="B282" s="0" t="str">
        <f aca="false">HYPERLINK("https://lindat.mff.cuni.cz/services/PDT-Vallex4.5/PDT-Vallex4.5.html?verb=přebásnit#v41htxA", "v41htxA")</f>
        <v>v41htxA</v>
      </c>
      <c r="E282" s="0" t="n">
        <v>1</v>
      </c>
      <c r="F282" s="0" t="n">
        <v>0.74147</v>
      </c>
      <c r="G282" s="1" t="s">
        <v>31</v>
      </c>
      <c r="H282" s="1" t="s">
        <v>109</v>
      </c>
      <c r="K282" s="0" t="str">
        <f aca="false">HYPERLINK("https://lindat.mff.cuni.cz/services/SynSemClass55/SynSemClass55.html?veclass=vec00095", "vec00095 / přeměnit (v41iecA)")</f>
        <v>vec00095 / přeměnit (v41iecA)</v>
      </c>
      <c r="L282" s="0" t="n">
        <v>0.74147</v>
      </c>
      <c r="M282" s="5" t="s">
        <v>33</v>
      </c>
      <c r="P282" s="0" t="str">
        <f aca="false">HYPERLINK("https://lindat.mff.cuni.cz/services/SynSemClass55/SynSemClass55.html?veclass=vec01093", "vec01093 / přepočítat (v41igoB)")</f>
        <v>vec01093 / přepočítat (v41igoB)</v>
      </c>
      <c r="Q282" s="0" t="n">
        <v>0.11726</v>
      </c>
      <c r="R282" s="5" t="s">
        <v>30</v>
      </c>
      <c r="U282" s="0" t="str">
        <f aca="false">HYPERLINK("https://lindat.mff.cuni.cz/services/SynSemClass55/SynSemClass55.html?veclass=vec01714", "vec01714 / zkřivit (v41rhlA)")</f>
        <v>vec01714 / zkřivit (v41rhlA)</v>
      </c>
      <c r="V282" s="0" t="n">
        <v>0.0764</v>
      </c>
      <c r="W282" s="5" t="s">
        <v>30</v>
      </c>
      <c r="Z282" s="0" t="str">
        <f aca="false">HYPERLINK("https://lindat.mff.cuni.cz/services/SynSemClass55/SynSemClass55.html?veclass=vec01868", "vec01868 / rozehrát (v41johA)")</f>
        <v>vec01868 / rozehrát (v41johA)</v>
      </c>
      <c r="AA282" s="0" t="n">
        <v>0.05804</v>
      </c>
      <c r="AB282" s="5" t="s">
        <v>30</v>
      </c>
      <c r="AE282" s="0" t="str">
        <f aca="false">HYPERLINK("https://lindat.mff.cuni.cz/services/SynSemClass55/SynSemClass55.html?veclass=vec01167", "vec01167 / zabudovat (v41pqdB)")</f>
        <v>vec01167 / zabudovat (v41pqdB)</v>
      </c>
      <c r="AF282" s="0" t="n">
        <v>0.0558</v>
      </c>
      <c r="AG282" s="5" t="s">
        <v>30</v>
      </c>
    </row>
    <row r="284" customFormat="false" ht="12.75" hidden="false" customHeight="false" outlineLevel="0" collapsed="false">
      <c r="A284" s="0" t="str">
        <f aca="false">HYPERLINK("https://lindat.mff.cuni.cz/services/PDT-Vallex4.5/PDT-Vallex4.5.html?verb=přebrat", "přebrat")</f>
        <v>přebrat</v>
      </c>
      <c r="B284" s="0" t="str">
        <f aca="false">HYPERLINK("https://lindat.mff.cuni.cz/services/PDT-Vallex4.5/PDT-Vallex4.5.html?verb=přebrat#v41hugB", "v41hugB")</f>
        <v>v41hugB</v>
      </c>
      <c r="E284" s="0" t="n">
        <v>234</v>
      </c>
      <c r="F284" s="0" t="n">
        <v>0.19223</v>
      </c>
      <c r="G284" s="1" t="n">
        <v>0</v>
      </c>
      <c r="H284" s="1" t="s">
        <v>110</v>
      </c>
      <c r="I284" s="1" t="s">
        <v>111</v>
      </c>
      <c r="K284" s="0" t="str">
        <f aca="false">HYPERLINK("https://lindat.mff.cuni.cz/services/SynSemClass55/SynSemClass55.html?veclass=vec01491", "vec01491 / fasovat (v41appA)")</f>
        <v>vec01491 / fasovat (v41appA)</v>
      </c>
      <c r="L284" s="0" t="n">
        <v>0.19223</v>
      </c>
      <c r="M284" s="5" t="s">
        <v>30</v>
      </c>
      <c r="P284" s="0" t="str">
        <f aca="false">HYPERLINK("https://lindat.mff.cuni.cz/services/SynSemClass55/SynSemClass55.html?veclass=vec00096", "vec00096 / převzít (v41inuB)")</f>
        <v>vec00096 / převzít (v41inuB)</v>
      </c>
      <c r="Q284" s="0" t="n">
        <v>0.11712</v>
      </c>
      <c r="R284" s="5" t="s">
        <v>32</v>
      </c>
      <c r="U284" s="0" t="str">
        <f aca="false">HYPERLINK("https://lindat.mff.cuni.cz/services/SynSemClass55/SynSemClass55.html?veclass=vec00189", "vec00189 / získat (v41reiA)")</f>
        <v>vec00189 / získat (v41reiA)</v>
      </c>
      <c r="V284" s="0" t="n">
        <v>0.11381</v>
      </c>
      <c r="W284" s="5" t="s">
        <v>30</v>
      </c>
      <c r="Z284" s="0" t="str">
        <f aca="false">HYPERLINK("https://lindat.mff.cuni.cz/services/SynSemClass55/SynSemClass55.html?veclass=vec00704", "vec00704 / sebrat (v41khhA)")</f>
        <v>vec00704 / sebrat (v41khhA)</v>
      </c>
      <c r="AA284" s="0" t="n">
        <v>0.0686</v>
      </c>
      <c r="AB284" s="5" t="s">
        <v>30</v>
      </c>
      <c r="AE284" s="0" t="str">
        <f aca="false">HYPERLINK("https://lindat.mff.cuni.cz/services/SynSemClass55/SynSemClass55.html?veclass=vec00613", "vec00613 / chopit se (v41bblA)")</f>
        <v>vec00613 / chopit se (v41bblA)</v>
      </c>
      <c r="AF284" s="0" t="n">
        <v>0.02649</v>
      </c>
      <c r="AG284" s="5" t="s">
        <v>30</v>
      </c>
    </row>
    <row r="286" customFormat="false" ht="12.75" hidden="false" customHeight="false" outlineLevel="0" collapsed="false">
      <c r="A286" s="0" t="str">
        <f aca="false">HYPERLINK("https://lindat.mff.cuni.cz/services/PDT-Vallex4.5/PDT-Vallex4.5.html?verb=předbíhat se", "předbíhat se")</f>
        <v>předbíhat se</v>
      </c>
      <c r="B286" s="0" t="str">
        <f aca="false">HYPERLINK("https://lindat.mff.cuni.cz/services/PDT-Vallex4.5/PDT-Vallex4.5.html?verb=předbíhat se#v41hvnA", "v41hvnA")</f>
        <v>v41hvnA</v>
      </c>
      <c r="E286" s="0" t="n">
        <v>53</v>
      </c>
      <c r="F286" s="0" t="n">
        <v>0.27029</v>
      </c>
      <c r="G286" s="1" t="n">
        <v>0</v>
      </c>
      <c r="I286" s="1" t="s">
        <v>112</v>
      </c>
      <c r="K286" s="0" t="str">
        <f aca="false">HYPERLINK("https://lindat.mff.cuni.cz/services/SynSemClass55/SynSemClass55.html?veclass=vec01851", "vec01851 / předstihovat (v41hyrA)")</f>
        <v>vec01851 / předstihovat (v41hyrA)</v>
      </c>
      <c r="L286" s="0" t="n">
        <v>0.27029</v>
      </c>
      <c r="M286" s="5" t="s">
        <v>30</v>
      </c>
      <c r="P286" s="0" t="str">
        <f aca="false">HYPERLINK("https://lindat.mff.cuni.cz/services/SynSemClass55/SynSemClass55.html?veclass=vec00370", "vec00370 / zaostávat (v41qdwA)")</f>
        <v>vec00370 / zaostávat (v41qdwA)</v>
      </c>
      <c r="Q286" s="0" t="n">
        <v>0.12495</v>
      </c>
      <c r="R286" s="5" t="s">
        <v>32</v>
      </c>
      <c r="U286" s="0" t="str">
        <f aca="false">HYPERLINK("https://lindat.mff.cuni.cz/services/SynSemClass55/SynSemClass55.html?veclass=vec01852", "vec01852 / přehnat (v41iaeA)")</f>
        <v>vec01852 / přehnat (v41iaeA)</v>
      </c>
      <c r="V286" s="0" t="n">
        <v>0.03804</v>
      </c>
      <c r="W286" s="5" t="s">
        <v>30</v>
      </c>
      <c r="Z286" s="0" t="str">
        <f aca="false">HYPERLINK("https://lindat.mff.cuni.cz/services/SynSemClass55/SynSemClass55.html?veclass=vec00580", "vec00580 / zastínit (v41qmlA)")</f>
        <v>vec00580 / zastínit (v41qmlA)</v>
      </c>
      <c r="AA286" s="0" t="n">
        <v>0.03245</v>
      </c>
      <c r="AB286" s="5" t="s">
        <v>30</v>
      </c>
      <c r="AE286" s="0" t="str">
        <f aca="false">HYPERLINK("https://lindat.mff.cuni.cz/services/SynSemClass55/SynSemClass55.html?veclass=vec00279", "vec00279 / překonat (v41ibzC)")</f>
        <v>vec00279 / překonat (v41ibzC)</v>
      </c>
      <c r="AF286" s="0" t="n">
        <v>0.03069</v>
      </c>
      <c r="AG286" s="5" t="s">
        <v>30</v>
      </c>
    </row>
    <row r="288" customFormat="false" ht="12.75" hidden="false" customHeight="false" outlineLevel="0" collapsed="false">
      <c r="A288" s="0" t="str">
        <f aca="false">HYPERLINK("https://lindat.mff.cuni.cz/services/PDT-Vallex4.5/PDT-Vallex4.5.html?verb=předhazovat", "předhazovat")</f>
        <v>předhazovat</v>
      </c>
      <c r="B288" s="0" t="str">
        <f aca="false">HYPERLINK("https://lindat.mff.cuni.cz/services/PDT-Vallex4.5/PDT-Vallex4.5.html?verb=předhazovat#v41hwkA", "v41hwkA")</f>
        <v>v41hwkA</v>
      </c>
      <c r="E288" s="0" t="n">
        <v>94</v>
      </c>
      <c r="F288" s="0" t="n">
        <v>0.11589</v>
      </c>
      <c r="G288" s="1" t="s">
        <v>113</v>
      </c>
      <c r="K288" s="0" t="str">
        <f aca="false">HYPERLINK("https://lindat.mff.cuni.cz/services/SynSemClass55/SynSemClass55.html?veclass=vec00033", "vec00033 / nabídnout (v41cllA)")</f>
        <v>vec00033 / nabídnout (v41cllA)</v>
      </c>
      <c r="L288" s="0" t="n">
        <v>0.11589</v>
      </c>
      <c r="M288" s="5" t="s">
        <v>30</v>
      </c>
      <c r="P288" s="0" t="str">
        <f aca="false">HYPERLINK("https://lindat.mff.cuni.cz/services/SynSemClass55/SynSemClass55.html?veclass=vec00557", "vec00557 / vykládat (v41oeyD)")</f>
        <v>vec00557 / vykládat (v41oeyD)</v>
      </c>
      <c r="Q288" s="0" t="n">
        <v>0.05297</v>
      </c>
      <c r="R288" s="5" t="s">
        <v>30</v>
      </c>
      <c r="U288" s="0" t="str">
        <f aca="false">HYPERLINK("https://lindat.mff.cuni.cz/services/SynSemClass55/SynSemClass55.html?veclass=vec01256", "vec01256 / podávat (v41fqoA)")</f>
        <v>vec01256 / podávat (v41fqoA)</v>
      </c>
      <c r="V288" s="0" t="n">
        <v>0.05127</v>
      </c>
      <c r="W288" s="5" t="s">
        <v>30</v>
      </c>
      <c r="Z288" s="0" t="str">
        <f aca="false">HYPERLINK("https://lindat.mff.cuni.cz/services/SynSemClass55/SynSemClass55.html?veclass=vec01087", "vec01087 / předávat (v41hvhA)")</f>
        <v>vec01087 / předávat (v41hvhA)</v>
      </c>
      <c r="AA288" s="0" t="n">
        <v>0.04706</v>
      </c>
      <c r="AB288" s="5" t="s">
        <v>30</v>
      </c>
      <c r="AE288" s="0" t="str">
        <f aca="false">HYPERLINK("https://lindat.mff.cuni.cz/services/SynSemClass55/SynSemClass55.html?veclass=vec00347", "vec00347 / vinit (v41nllA)")</f>
        <v>vec00347 / vinit (v41nllA)</v>
      </c>
      <c r="AF288" s="0" t="n">
        <v>0.03993</v>
      </c>
      <c r="AG288" s="5" t="s">
        <v>32</v>
      </c>
    </row>
    <row r="290" customFormat="false" ht="12.75" hidden="false" customHeight="false" outlineLevel="0" collapsed="false">
      <c r="A290" s="0" t="str">
        <f aca="false">HYPERLINK("https://lindat.mff.cuni.cz/services/PDT-Vallex4.5/PDT-Vallex4.5.html?verb=přehrávat si", "přehrávat si")</f>
        <v>přehrávat si</v>
      </c>
      <c r="B290" s="0" t="str">
        <f aca="false">HYPERLINK("https://lindat.mff.cuni.cz/services/PDT-Vallex4.5/PDT-Vallex4.5.html?verb=přehrávat si#v41iaqA", "v41iaqA")</f>
        <v>v41iaqA</v>
      </c>
      <c r="E290" s="0" t="n">
        <v>162</v>
      </c>
      <c r="F290" s="0" t="n">
        <v>0.35776</v>
      </c>
      <c r="G290" s="1" t="s">
        <v>104</v>
      </c>
      <c r="K290" s="0" t="str">
        <f aca="false">HYPERLINK("https://lindat.mff.cuni.cz/services/SynSemClass55/SynSemClass55.html?veclass=vec00823", "vec00823 / hrát (v41aypE)")</f>
        <v>vec00823 / hrát (v41aypE)</v>
      </c>
      <c r="L290" s="0" t="n">
        <v>0.35776</v>
      </c>
      <c r="M290" s="5" t="s">
        <v>30</v>
      </c>
      <c r="P290" s="0" t="str">
        <f aca="false">HYPERLINK("https://lindat.mff.cuni.cz/services/SynSemClass55/SynSemClass55.html?veclass=vec01868", "vec01868 / rozehrát (v41johA)")</f>
        <v>vec01868 / rozehrát (v41johA)</v>
      </c>
      <c r="Q290" s="0" t="n">
        <v>0.04193</v>
      </c>
      <c r="R290" s="5" t="s">
        <v>30</v>
      </c>
      <c r="U290" s="0" t="str">
        <f aca="false">HYPERLINK("https://lindat.mff.cuni.cz/services/SynSemClass55/SynSemClass55.html?veclass=vec01575", "vec01575 / namluvit (v41cvkC)")</f>
        <v>vec01575 / namluvit (v41cvkC)</v>
      </c>
      <c r="V290" s="0" t="n">
        <v>0.02693</v>
      </c>
      <c r="W290" s="5" t="s">
        <v>30</v>
      </c>
      <c r="Z290" s="0" t="str">
        <f aca="false">HYPERLINK("https://lindat.mff.cuni.cz/services/SynSemClass55/SynSemClass55.html?veclass=vec01861", "vec01861 / přiťuknout (v41jatA)")</f>
        <v>vec01861 / přiťuknout (v41jatA)</v>
      </c>
      <c r="AA290" s="0" t="n">
        <v>0.01804</v>
      </c>
      <c r="AB290" s="5" t="s">
        <v>30</v>
      </c>
      <c r="AE290" s="0" t="str">
        <f aca="false">HYPERLINK("https://lindat.mff.cuni.cz/services/SynSemClass55/SynSemClass55.html?veclass=vec00535", "vec00535 / ujistit (v41mkyA)")</f>
        <v>vec00535 / ujistit (v41mkyA)</v>
      </c>
      <c r="AF290" s="0" t="n">
        <v>0.01747</v>
      </c>
      <c r="AG290" s="5" t="s">
        <v>30</v>
      </c>
    </row>
    <row r="292" customFormat="false" ht="12.75" hidden="false" customHeight="false" outlineLevel="0" collapsed="false">
      <c r="A292" s="0" t="str">
        <f aca="false">HYPERLINK("https://lindat.mff.cuni.cz/services/PDT-Vallex4.5/PDT-Vallex4.5.html?verb=přehřát", "přehřát")</f>
        <v>přehřát</v>
      </c>
      <c r="B292" s="0" t="str">
        <f aca="false">HYPERLINK("https://lindat.mff.cuni.cz/services/PDT-Vallex4.5/PDT-Vallex4.5.html?verb=přehřát#v41iarA", "v41iarA")</f>
        <v>v41iarA</v>
      </c>
      <c r="E292" s="0" t="n">
        <v>19</v>
      </c>
      <c r="F292" s="0" t="n">
        <v>0.43994</v>
      </c>
      <c r="G292" s="1" t="n">
        <v>0</v>
      </c>
      <c r="I292" s="1" t="s">
        <v>114</v>
      </c>
      <c r="K292" s="0" t="str">
        <f aca="false">HYPERLINK("https://lindat.mff.cuni.cz/services/SynSemClass55/SynSemClass55.html?veclass=vec01617", "vec01617 / vařit (v41ngvC)")</f>
        <v>vec01617 / vařit (v41ngvC)</v>
      </c>
      <c r="L292" s="0" t="n">
        <v>0.43994</v>
      </c>
      <c r="M292" s="5" t="s">
        <v>30</v>
      </c>
      <c r="P292" s="0" t="str">
        <f aca="false">HYPERLINK("https://lindat.mff.cuni.cz/services/SynSemClass55/SynSemClass55.html?veclass=vec01553", "vec01553 / hřát (v41azjA)")</f>
        <v>vec01553 / hřát (v41azjA)</v>
      </c>
      <c r="Q292" s="0" t="n">
        <v>0.25062</v>
      </c>
      <c r="R292" s="5" t="s">
        <v>30</v>
      </c>
      <c r="U292" s="0" t="str">
        <f aca="false">HYPERLINK("https://lindat.mff.cuni.cz/services/SynSemClass55/SynSemClass55.html?veclass=vec01887", "vec01887 / slunit se (v41kueA)")</f>
        <v>vec01887 / slunit se (v41kueA)</v>
      </c>
      <c r="V292" s="0" t="n">
        <v>0.1117</v>
      </c>
      <c r="W292" s="5" t="s">
        <v>30</v>
      </c>
      <c r="Z292" s="0" t="str">
        <f aca="false">HYPERLINK("https://lindat.mff.cuni.cz/services/SynSemClass55/SynSemClass55.html?veclass=vec01215", "vec01215 / hořet (v41axjA)")</f>
        <v>vec01215 / hořet (v41axjA)</v>
      </c>
      <c r="AA292" s="0" t="n">
        <v>0.05566</v>
      </c>
      <c r="AB292" s="5" t="s">
        <v>30</v>
      </c>
      <c r="AE292" s="0" t="str">
        <f aca="false">HYPERLINK("https://lindat.mff.cuni.cz/services/SynSemClass55/SynSemClass55.html?veclass=vec01103", "vec01103 / roztavit se (v41jztA)")</f>
        <v>vec01103 / roztavit se (v41jztA)</v>
      </c>
      <c r="AF292" s="0" t="n">
        <v>0.03748</v>
      </c>
      <c r="AG292" s="5" t="s">
        <v>30</v>
      </c>
    </row>
    <row r="294" customFormat="false" ht="12.75" hidden="false" customHeight="false" outlineLevel="0" collapsed="false">
      <c r="A294" s="0" t="str">
        <f aca="false">HYPERLINK("https://lindat.mff.cuni.cz/services/PDT-Vallex4.5/PDT-Vallex4.5.html?verb=překlápět se", "překlápět se")</f>
        <v>překlápět se</v>
      </c>
      <c r="B294" s="0" t="str">
        <f aca="false">HYPERLINK("https://lindat.mff.cuni.cz/services/PDT-Vallex4.5/PDT-Vallex4.5.html?verb=překlápět se#v41ibtA", "v41ibtA")</f>
        <v>v41ibtA</v>
      </c>
      <c r="E294" s="0" t="n">
        <v>5</v>
      </c>
      <c r="F294" s="0" t="n">
        <v>0.17548</v>
      </c>
      <c r="G294" s="1" t="s">
        <v>31</v>
      </c>
      <c r="K294" s="0" t="str">
        <f aca="false">HYPERLINK("https://lindat.mff.cuni.cz/services/SynSemClass55/SynSemClass55.html?veclass=vec00626", "vec00626 / kymácet se (v41bxpA)")</f>
        <v>vec00626 / kymácet se (v41bxpA)</v>
      </c>
      <c r="L294" s="0" t="n">
        <v>0.17548</v>
      </c>
      <c r="M294" s="5" t="s">
        <v>30</v>
      </c>
      <c r="P294" s="0" t="str">
        <f aca="false">HYPERLINK("https://lindat.mff.cuni.cz/services/SynSemClass55/SynSemClass55.html?veclass=vec00949", "vec00949 / valit se (v41nghA)")</f>
        <v>vec00949 / valit se (v41nghA)</v>
      </c>
      <c r="Q294" s="0" t="n">
        <v>0.13668</v>
      </c>
      <c r="R294" s="5" t="s">
        <v>30</v>
      </c>
      <c r="U294" s="0" t="str">
        <f aca="false">HYPERLINK("https://lindat.mff.cuni.cz/services/SynSemClass55/SynSemClass55.html?veclass=vec00637", "vec00637 / naklonit se (v41csfB)")</f>
        <v>vec00637 / naklonit se (v41csfB)</v>
      </c>
      <c r="V294" s="0" t="n">
        <v>0.09055</v>
      </c>
      <c r="W294" s="5" t="s">
        <v>30</v>
      </c>
      <c r="Z294" s="0" t="str">
        <f aca="false">HYPERLINK("https://lindat.mff.cuni.cz/services/SynSemClass55/SynSemClass55.html?veclass=vec00993", "vec00993 / zkroutit se (v41rhjA)")</f>
        <v>vec00993 / zkroutit se (v41rhjA)</v>
      </c>
      <c r="AA294" s="0" t="n">
        <v>0.0894</v>
      </c>
      <c r="AB294" s="5" t="s">
        <v>30</v>
      </c>
      <c r="AE294" s="0" t="str">
        <f aca="false">HYPERLINK("https://lindat.mff.cuni.cz/services/SynSemClass55/SynSemClass55.html?veclass=vec00931", "vec00931 / stočit se (v41lkvA)")</f>
        <v>vec00931 / stočit se (v41lkvA)</v>
      </c>
      <c r="AF294" s="0" t="n">
        <v>0.04905</v>
      </c>
      <c r="AG294" s="5" t="s">
        <v>33</v>
      </c>
    </row>
    <row r="296" customFormat="false" ht="12.75" hidden="false" customHeight="false" outlineLevel="0" collapsed="false">
      <c r="A296" s="0" t="str">
        <f aca="false">HYPERLINK("https://lindat.mff.cuni.cz/services/PDT-Vallex4.5/PDT-Vallex4.5.html?verb=překlasifikovat", "překlasifikovat")</f>
        <v>překlasifikovat</v>
      </c>
      <c r="B296" s="0" t="str">
        <f aca="false">HYPERLINK("https://lindat.mff.cuni.cz/services/PDT-Vallex4.5/PDT-Vallex4.5.html?verb=překlasifikovat#v41ibuB", "v41ibuB")</f>
        <v>v41ibuB</v>
      </c>
      <c r="E296" s="0" t="n">
        <v>2</v>
      </c>
      <c r="F296" s="0" t="n">
        <v>0.34537</v>
      </c>
      <c r="G296" s="1" t="s">
        <v>115</v>
      </c>
      <c r="K296" s="0" t="str">
        <f aca="false">HYPERLINK("https://lindat.mff.cuni.cz/services/SynSemClass55/SynSemClass55.html?veclass=vec00095", "vec00095 / přeměnit (v41iecA)")</f>
        <v>vec00095 / přeměnit (v41iecA)</v>
      </c>
      <c r="L296" s="0" t="n">
        <v>0.34537</v>
      </c>
      <c r="M296" s="5" t="s">
        <v>30</v>
      </c>
      <c r="P296" s="0" t="str">
        <f aca="false">HYPERLINK("https://lindat.mff.cuni.cz/services/SynSemClass55/SynSemClass55.html?veclass=vec00417", "vec00417 / charakterizovat (v41barA)")</f>
        <v>vec00417 / charakterizovat (v41barA)</v>
      </c>
      <c r="Q296" s="0" t="n">
        <v>0.33982</v>
      </c>
      <c r="R296" s="5" t="s">
        <v>30</v>
      </c>
      <c r="U296" s="0" t="str">
        <f aca="false">HYPERLINK("https://lindat.mff.cuni.cz/services/SynSemClass55/SynSemClass55.html?veclass=vec00103", "vec00103 / redefinovat (v41jgiA)")</f>
        <v>vec00103 / redefinovat (v41jgiA)</v>
      </c>
      <c r="V296" s="0" t="n">
        <v>0.11512</v>
      </c>
      <c r="W296" s="5" t="s">
        <v>32</v>
      </c>
      <c r="Z296" s="0" t="str">
        <f aca="false">HYPERLINK("https://lindat.mff.cuni.cz/services/SynSemClass55/SynSemClass55.html?veclass=vec00402", "vec00402 / brát (v41hsE)")</f>
        <v>vec00402 / brát (v41hsE)</v>
      </c>
      <c r="AA296" s="0" t="n">
        <v>0.02144</v>
      </c>
      <c r="AB296" s="5" t="s">
        <v>30</v>
      </c>
      <c r="AE296" s="0" t="str">
        <f aca="false">HYPERLINK("https://lindat.mff.cuni.cz/services/SynSemClass55/SynSemClass55.html?veclass=vec01093", "vec01093 / přepočítat (v41igoB)")</f>
        <v>vec01093 / přepočítat (v41igoB)</v>
      </c>
      <c r="AF296" s="0" t="n">
        <v>0.01992</v>
      </c>
      <c r="AG296" s="5" t="s">
        <v>30</v>
      </c>
    </row>
    <row r="298" customFormat="false" ht="12.75" hidden="false" customHeight="false" outlineLevel="0" collapsed="false">
      <c r="A298" s="0" t="str">
        <f aca="false">HYPERLINK("https://lindat.mff.cuni.cz/services/PDT-Vallex4.5/PDT-Vallex4.5.html?verb=překlenout", "překlenout")</f>
        <v>překlenout</v>
      </c>
      <c r="B298" s="0" t="str">
        <f aca="false">HYPERLINK("https://lindat.mff.cuni.cz/services/PDT-Vallex4.5/PDT-Vallex4.5.html?verb=překlenout#v41ibvB", "v41ibvB")</f>
        <v>v41ibvB</v>
      </c>
      <c r="E298" s="0" t="n">
        <v>91</v>
      </c>
      <c r="F298" s="0" t="n">
        <v>0.62589</v>
      </c>
      <c r="G298" s="1" t="n">
        <v>0</v>
      </c>
      <c r="I298" s="1" t="s">
        <v>116</v>
      </c>
      <c r="K298" s="0" t="str">
        <f aca="false">HYPERLINK("https://lindat.mff.cuni.cz/services/SynSemClass55/SynSemClass55.html?veclass=vec00279", "vec00279 / překonat (v41ibzC)")</f>
        <v>vec00279 / překonat (v41ibzC)</v>
      </c>
      <c r="L298" s="0" t="n">
        <v>0.62589</v>
      </c>
      <c r="M298" s="5" t="s">
        <v>32</v>
      </c>
      <c r="P298" s="0" t="str">
        <f aca="false">HYPERLINK("https://lindat.mff.cuni.cz/services/SynSemClass55/SynSemClass55.html?veclass=vec01287", "vec01287 / přeskakovat (v41iipB)")</f>
        <v>vec01287 / přeskakovat (v41iipB)</v>
      </c>
      <c r="Q298" s="0" t="n">
        <v>0.05071</v>
      </c>
      <c r="R298" s="5" t="s">
        <v>30</v>
      </c>
      <c r="U298" s="0" t="str">
        <f aca="false">HYPERLINK("https://lindat.mff.cuni.cz/services/SynSemClass55/SynSemClass55.html?veclass=vec00885", "vec00885 / prolomit (v41hhaB)")</f>
        <v>vec00885 / prolomit (v41hhaB)</v>
      </c>
      <c r="V298" s="0" t="n">
        <v>0.03677</v>
      </c>
      <c r="W298" s="5" t="s">
        <v>30</v>
      </c>
      <c r="Z298" s="0" t="str">
        <f aca="false">HYPERLINK("https://lindat.mff.cuni.cz/services/SynSemClass55/SynSemClass55.html?veclass=vec00280", "vec00280 / překročit (v41icmB)")</f>
        <v>vec00280 / překročit (v41icmB)</v>
      </c>
      <c r="AA298" s="0" t="n">
        <v>0.03577</v>
      </c>
      <c r="AB298" s="5" t="s">
        <v>30</v>
      </c>
      <c r="AE298" s="0" t="str">
        <f aca="false">HYPERLINK("https://lindat.mff.cuni.cz/services/SynSemClass55/SynSemClass55.html?veclass=vec00766", "vec00766 / vyzrát (v41pjjA)")</f>
        <v>vec00766 / vyzrát (v41pjjA)</v>
      </c>
      <c r="AF298" s="0" t="n">
        <v>0.03312</v>
      </c>
      <c r="AG298" s="5" t="s">
        <v>30</v>
      </c>
    </row>
    <row r="300" customFormat="false" ht="12.75" hidden="false" customHeight="false" outlineLevel="0" collapsed="false">
      <c r="A300" s="0" t="str">
        <f aca="false">HYPERLINK("https://lindat.mff.cuni.cz/services/PDT-Vallex4.5/PDT-Vallex4.5.html?verb=překypovat", "překypovat")</f>
        <v>překypovat</v>
      </c>
      <c r="B300" s="0" t="str">
        <f aca="false">HYPERLINK("https://lindat.mff.cuni.cz/services/PDT-Vallex4.5/PDT-Vallex4.5.html?verb=překypovat#v41ideB", "v41ideB")</f>
        <v>v41ideB</v>
      </c>
      <c r="E300" s="0" t="n">
        <v>275</v>
      </c>
      <c r="F300" s="0" t="n">
        <v>0.80207</v>
      </c>
      <c r="G300" s="1" t="s">
        <v>117</v>
      </c>
      <c r="K300" s="0" t="str">
        <f aca="false">HYPERLINK("https://lindat.mff.cuni.cz/services/SynSemClass55/SynSemClass55.html?veclass=vec00893", "vec00893 / překypovat (v41ideA)")</f>
        <v>vec00893 / překypovat (v41ideA)</v>
      </c>
      <c r="L300" s="0" t="n">
        <v>0.80207</v>
      </c>
      <c r="M300" s="5" t="s">
        <v>30</v>
      </c>
      <c r="P300" s="0" t="str">
        <f aca="false">HYPERLINK("https://lindat.mff.cuni.cz/services/SynSemClass55/SynSemClass55.html?veclass=vec00258", "vec00258 / pocházet (v41fyjA)")</f>
        <v>vec00258 / pocházet (v41fyjA)</v>
      </c>
      <c r="Q300" s="0" t="n">
        <v>0.08488</v>
      </c>
      <c r="R300" s="5" t="s">
        <v>30</v>
      </c>
      <c r="U300" s="0" t="str">
        <f aca="false">HYPERLINK("https://lindat.mff.cuni.cz/services/SynSemClass55/SynSemClass55.html?veclass=vec00857", "vec00857 / oplývat (v41ewgA)")</f>
        <v>vec00857 / oplývat (v41ewgA)</v>
      </c>
      <c r="V300" s="0" t="n">
        <v>0.0518</v>
      </c>
      <c r="W300" s="5" t="s">
        <v>30</v>
      </c>
      <c r="Z300" s="0" t="str">
        <f aca="false">HYPERLINK("https://lindat.mff.cuni.cz/services/SynSemClass55/SynSemClass55.html?veclass=vec01376", "vec01376 / zasypávat (v41qnxA)")</f>
        <v>vec01376 / zasypávat (v41qnxA)</v>
      </c>
      <c r="AA300" s="0" t="n">
        <v>0.02655</v>
      </c>
      <c r="AB300" s="5" t="s">
        <v>30</v>
      </c>
      <c r="AE300" s="0" t="str">
        <f aca="false">HYPERLINK("https://lindat.mff.cuni.cz/services/SynSemClass55/SynSemClass55.html?veclass=vec01103", "vec01103 / roztavit se (v41jztA)")</f>
        <v>vec01103 / roztavit se (v41jztA)</v>
      </c>
      <c r="AF300" s="0" t="n">
        <v>0.02537</v>
      </c>
      <c r="AG300" s="5" t="s">
        <v>30</v>
      </c>
    </row>
    <row r="302" customFormat="false" ht="12.75" hidden="false" customHeight="false" outlineLevel="0" collapsed="false">
      <c r="A302" s="0" t="str">
        <f aca="false">HYPERLINK("https://lindat.mff.cuni.cz/services/PDT-Vallex4.5/PDT-Vallex4.5.html?verb=překypět", "překypět")</f>
        <v>překypět</v>
      </c>
      <c r="B302" s="0" t="str">
        <f aca="false">HYPERLINK("https://lindat.mff.cuni.cz/services/PDT-Vallex4.5/PDT-Vallex4.5.html?verb=překypět#v41iddA", "v41iddA")</f>
        <v>v41iddA</v>
      </c>
      <c r="E302" s="0" t="n">
        <v>20</v>
      </c>
      <c r="F302" s="0" t="n">
        <v>0.11584</v>
      </c>
      <c r="G302" s="1" t="s">
        <v>118</v>
      </c>
      <c r="K302" s="0" t="str">
        <f aca="false">HYPERLINK("https://lindat.mff.cuni.cz/services/SynSemClass55/SynSemClass55.html?veclass=vec01103", "vec01103 / roztavit se (v41jztA)")</f>
        <v>vec01103 / roztavit se (v41jztA)</v>
      </c>
      <c r="L302" s="0" t="n">
        <v>0.11584</v>
      </c>
      <c r="M302" s="5" t="s">
        <v>30</v>
      </c>
      <c r="P302" s="0" t="str">
        <f aca="false">HYPERLINK("https://lindat.mff.cuni.cz/services/SynSemClass55/SynSemClass55.html?veclass=vec00810", "vec00810 / dojít (v41zdJ)")</f>
        <v>vec00810 / dojít (v41zdJ)</v>
      </c>
      <c r="Q302" s="0" t="n">
        <v>0.07356</v>
      </c>
      <c r="R302" s="5" t="s">
        <v>30</v>
      </c>
      <c r="U302" s="0" t="str">
        <f aca="false">HYPERLINK("https://lindat.mff.cuni.cz/services/SynSemClass55/SynSemClass55.html?veclass=vec00113", "vec00113 / skončit (v41krfH)")</f>
        <v>vec00113 / skončit (v41krfH)</v>
      </c>
      <c r="V302" s="0" t="n">
        <v>0.07334</v>
      </c>
      <c r="W302" s="5" t="s">
        <v>30</v>
      </c>
      <c r="Z302" s="0" t="str">
        <f aca="false">HYPERLINK("https://lindat.mff.cuni.cz/services/SynSemClass55/SynSemClass55.html?veclass=vec01215", "vec01215 / hořet (v41axjA)")</f>
        <v>vec01215 / hořet (v41axjA)</v>
      </c>
      <c r="AA302" s="0" t="n">
        <v>0.05065</v>
      </c>
      <c r="AB302" s="5" t="s">
        <v>30</v>
      </c>
      <c r="AE302" s="0" t="str">
        <f aca="false">HYPERLINK("https://lindat.mff.cuni.cz/services/SynSemClass55/SynSemClass55.html?veclass=vec01517", "vec01517 / rozhořet se (v41jquA)")</f>
        <v>vec01517 / rozhořet se (v41jquA)</v>
      </c>
      <c r="AF302" s="0" t="n">
        <v>0.04905</v>
      </c>
      <c r="AG302" s="5" t="s">
        <v>30</v>
      </c>
    </row>
    <row r="304" customFormat="false" ht="12.75" hidden="false" customHeight="false" outlineLevel="0" collapsed="false">
      <c r="A304" s="0" t="str">
        <f aca="false">HYPERLINK("https://lindat.mff.cuni.cz/services/PDT-Vallex4.5/PDT-Vallex4.5.html?verb=přelidnit se", "přelidnit se")</f>
        <v>přelidnit se</v>
      </c>
      <c r="B304" s="0" t="str">
        <f aca="false">HYPERLINK("https://lindat.mff.cuni.cz/services/PDT-Vallex4.5/PDT-Vallex4.5.html?verb=přelidnit se#v41idsA", "v41idsA")</f>
        <v>v41idsA</v>
      </c>
      <c r="E304" s="0" t="n">
        <v>2</v>
      </c>
      <c r="F304" s="0" t="n">
        <v>0.11029</v>
      </c>
      <c r="G304" s="1" t="n">
        <v>0</v>
      </c>
      <c r="I304" s="1" t="s">
        <v>119</v>
      </c>
      <c r="K304" s="0" t="str">
        <f aca="false">HYPERLINK("https://lindat.mff.cuni.cz/services/SynSemClass55/SynSemClass55.html?veclass=vec00984", "vec00984 / zalidnit (v41pzvA)")</f>
        <v>vec00984 / zalidnit (v41pzvA)</v>
      </c>
      <c r="L304" s="0" t="n">
        <v>0.11029</v>
      </c>
      <c r="M304" s="5" t="s">
        <v>32</v>
      </c>
      <c r="P304" s="0" t="str">
        <f aca="false">HYPERLINK("https://lindat.mff.cuni.cz/services/SynSemClass55/SynSemClass55.html?veclass=vec00576", "vec00576 / zaplavit (v41qflC)")</f>
        <v>vec00576 / zaplavit (v41qflC)</v>
      </c>
      <c r="Q304" s="0" t="n">
        <v>0.07975</v>
      </c>
      <c r="R304" s="5" t="s">
        <v>30</v>
      </c>
      <c r="U304" s="0" t="str">
        <f aca="false">HYPERLINK("https://lindat.mff.cuni.cz/services/SynSemClass55/SynSemClass55.html?veclass=vec00833", "vec00833 / mačkat se (v41cdaA)")</f>
        <v>vec00833 / mačkat se (v41cdaA)</v>
      </c>
      <c r="V304" s="0" t="n">
        <v>0.04813</v>
      </c>
      <c r="W304" s="5" t="s">
        <v>30</v>
      </c>
      <c r="Z304" s="0" t="str">
        <f aca="false">HYPERLINK("https://lindat.mff.cuni.cz/services/SynSemClass55/SynSemClass55.html?veclass=vec01336", "vec01336 / tyčit se (v41meuA)")</f>
        <v>vec01336 / tyčit se (v41meuA)</v>
      </c>
      <c r="AA304" s="0" t="n">
        <v>0.04283</v>
      </c>
      <c r="AB304" s="5" t="s">
        <v>30</v>
      </c>
      <c r="AE304" s="0" t="str">
        <f aca="false">HYPERLINK("https://lindat.mff.cuni.cz/services/SynSemClass55/SynSemClass55.html?veclass=vec01304", "vec01304 / revidovat (v41jjxA)")</f>
        <v>vec01304 / revidovat (v41jjxA)</v>
      </c>
      <c r="AF304" s="0" t="n">
        <v>0.03733</v>
      </c>
      <c r="AG304" s="5" t="s">
        <v>30</v>
      </c>
    </row>
    <row r="306" customFormat="false" ht="12.75" hidden="false" customHeight="false" outlineLevel="0" collapsed="false">
      <c r="A306" s="0" t="str">
        <f aca="false">HYPERLINK("https://lindat.mff.cuni.cz/services/PDT-Vallex4.5/PDT-Vallex4.5.html?verb=přeorientovat se", "přeorientovat se")</f>
        <v>přeorientovat se</v>
      </c>
      <c r="B306" s="0" t="str">
        <f aca="false">HYPERLINK("https://lindat.mff.cuni.cz/services/PDT-Vallex4.5/PDT-Vallex4.5.html?verb=přeorientovat se#v41ifoB", "v41ifoB")</f>
        <v>v41ifoB</v>
      </c>
      <c r="E306" s="0" t="n">
        <v>23</v>
      </c>
      <c r="F306" s="0" t="n">
        <v>0.36475</v>
      </c>
      <c r="G306" s="1" t="s">
        <v>31</v>
      </c>
      <c r="K306" s="0" t="str">
        <f aca="false">HYPERLINK("https://lindat.mff.cuni.cz/services/SynSemClass55/SynSemClass55.html?veclass=vec00496", "vec00496 / přejít (v41ibiA)")</f>
        <v>vec00496 / přejít (v41ibiA)</v>
      </c>
      <c r="L306" s="0" t="n">
        <v>0.36475</v>
      </c>
      <c r="M306" s="5" t="s">
        <v>30</v>
      </c>
      <c r="P306" s="0" t="str">
        <f aca="false">HYPERLINK("https://lindat.mff.cuni.cz/services/SynSemClass55/SynSemClass55.html?veclass=vec00895", "vec00895 / přeorientovat (v41ifnA)")</f>
        <v>vec00895 / přeorientovat (v41ifnA)</v>
      </c>
      <c r="Q306" s="0" t="n">
        <v>0.20024</v>
      </c>
      <c r="R306" s="5" t="s">
        <v>30</v>
      </c>
      <c r="U306" s="0" t="str">
        <f aca="false">HYPERLINK("https://lindat.mff.cuni.cz/services/SynSemClass55/SynSemClass55.html?veclass=vec00645", "vec00645 / obrátit se (v41dsdG)")</f>
        <v>vec00645 / obrátit se (v41dsdG)</v>
      </c>
      <c r="V306" s="0" t="n">
        <v>0.05962</v>
      </c>
      <c r="W306" s="5" t="s">
        <v>33</v>
      </c>
      <c r="Z306" s="0" t="str">
        <f aca="false">HYPERLINK("https://lindat.mff.cuni.cz/services/SynSemClass55/SynSemClass55.html?veclass=vec01086", "vec01086 / přebíhat (v41huaA)")</f>
        <v>vec01086 / přebíhat (v41huaA)</v>
      </c>
      <c r="AA306" s="0" t="n">
        <v>0.05068</v>
      </c>
      <c r="AB306" s="5" t="s">
        <v>30</v>
      </c>
      <c r="AE306" s="0" t="str">
        <f aca="false">HYPERLINK("https://lindat.mff.cuni.cz/services/SynSemClass55/SynSemClass55.html?veclass=vec01251", "vec01251 / otáčet (v41fciA)")</f>
        <v>vec01251 / otáčet (v41fciA)</v>
      </c>
      <c r="AF306" s="0" t="n">
        <v>0.02615</v>
      </c>
      <c r="AG306" s="5" t="s">
        <v>30</v>
      </c>
    </row>
    <row r="308" customFormat="false" ht="12.75" hidden="false" customHeight="false" outlineLevel="0" collapsed="false">
      <c r="A308" s="0" t="str">
        <f aca="false">HYPERLINK("https://lindat.mff.cuni.cz/services/PDT-Vallex4.5/PDT-Vallex4.5.html?verb=přeplnit", "přeplnit")</f>
        <v>přeplnit</v>
      </c>
      <c r="B308" s="0" t="str">
        <f aca="false">HYPERLINK("https://lindat.mff.cuni.cz/services/PDT-Vallex4.5/PDT-Vallex4.5.html?verb=přeplnit#v41igjA", "v41igjA")</f>
        <v>v41igjA</v>
      </c>
      <c r="E308" s="0" t="n">
        <v>105</v>
      </c>
      <c r="F308" s="0" t="n">
        <v>0.47204</v>
      </c>
      <c r="G308" s="1" t="s">
        <v>31</v>
      </c>
      <c r="K308" s="0" t="str">
        <f aca="false">HYPERLINK("https://lindat.mff.cuni.cz/services/SynSemClass55/SynSemClass55.html?veclass=vec00833", "vec00833 / mačkat se (v41cdaA)")</f>
        <v>vec00833 / mačkat se (v41cdaA)</v>
      </c>
      <c r="L308" s="0" t="n">
        <v>0.47204</v>
      </c>
      <c r="M308" s="5" t="s">
        <v>30</v>
      </c>
      <c r="P308" s="0" t="str">
        <f aca="false">HYPERLINK("https://lindat.mff.cuni.cz/services/SynSemClass55/SynSemClass55.html?veclass=vec00577", "vec00577 / zaplnit (v41qfqA)")</f>
        <v>vec00577 / zaplnit (v41qfqA)</v>
      </c>
      <c r="Q308" s="0" t="n">
        <v>0.18918</v>
      </c>
      <c r="R308" s="5" t="s">
        <v>33</v>
      </c>
      <c r="U308" s="0" t="str">
        <f aca="false">HYPERLINK("https://lindat.mff.cuni.cz/services/SynSemClass55/SynSemClass55.html?veclass=vec00841", "vec00841 / nacpat (v41cmpB)")</f>
        <v>vec00841 / nacpat (v41cmpB)</v>
      </c>
      <c r="V308" s="0" t="n">
        <v>0.08635</v>
      </c>
      <c r="W308" s="5" t="s">
        <v>30</v>
      </c>
      <c r="Z308" s="0" t="str">
        <f aca="false">HYPERLINK("https://lindat.mff.cuni.cz/services/SynSemClass55/SynSemClass55.html?veclass=vec01376", "vec01376 / zasypávat (v41qnxA)")</f>
        <v>vec01376 / zasypávat (v41qnxA)</v>
      </c>
      <c r="AA308" s="0" t="n">
        <v>0.04748</v>
      </c>
      <c r="AB308" s="5" t="s">
        <v>30</v>
      </c>
      <c r="AE308" s="0" t="str">
        <f aca="false">HYPERLINK("https://lindat.mff.cuni.cz/services/SynSemClass55/SynSemClass55.html?veclass=vec00576", "vec00576 / zaplavit (v41qflC)")</f>
        <v>vec00576 / zaplavit (v41qflC)</v>
      </c>
      <c r="AF308" s="0" t="n">
        <v>0.0405</v>
      </c>
      <c r="AG308" s="5" t="s">
        <v>30</v>
      </c>
    </row>
    <row r="310" customFormat="false" ht="12.75" hidden="false" customHeight="false" outlineLevel="0" collapsed="false">
      <c r="A310" s="0" t="str">
        <f aca="false">HYPERLINK("https://lindat.mff.cuni.cz/services/PDT-Vallex4.5/PDT-Vallex4.5.html?verb=přepnout", "přepnout")</f>
        <v>přepnout</v>
      </c>
      <c r="B310" s="0" t="str">
        <f aca="false">HYPERLINK("https://lindat.mff.cuni.cz/services/PDT-Vallex4.5/PDT-Vallex4.5.html?verb=přepnout#v41igkA", "v41igkA")</f>
        <v>v41igkA</v>
      </c>
      <c r="E310" s="0" t="n">
        <v>203</v>
      </c>
      <c r="F310" s="0" t="n">
        <v>0.3277</v>
      </c>
      <c r="G310" s="1" t="s">
        <v>120</v>
      </c>
      <c r="H310" s="1" t="s">
        <v>121</v>
      </c>
      <c r="K310" s="0" t="str">
        <f aca="false">HYPERLINK("https://lindat.mff.cuni.cz/services/SynSemClass55/SynSemClass55.html?veclass=vec00496", "vec00496 / přejít (v41ibiA)")</f>
        <v>vec00496 / přejít (v41ibiA)</v>
      </c>
      <c r="L310" s="0" t="n">
        <v>0.3277</v>
      </c>
      <c r="M310" s="5" t="s">
        <v>30</v>
      </c>
      <c r="P310" s="0" t="str">
        <f aca="false">HYPERLINK("https://lindat.mff.cuni.cz/services/SynSemClass55/SynSemClass55.html?veclass=vec00182", "vec00182 / zapínat (v41qepA)")</f>
        <v>vec00182 / zapínat (v41qepA)</v>
      </c>
      <c r="Q310" s="0" t="n">
        <v>0.10648</v>
      </c>
      <c r="R310" s="5" t="s">
        <v>30</v>
      </c>
      <c r="U310" s="0" t="str">
        <f aca="false">HYPERLINK("https://lindat.mff.cuni.cz/services/SynSemClass55/SynSemClass55.html?veclass=vec00283", "vec00283 / převést (v41imqC)")</f>
        <v>vec00283 / převést (v41imqC)</v>
      </c>
      <c r="V310" s="0" t="n">
        <v>0.09098</v>
      </c>
      <c r="W310" s="5" t="s">
        <v>30</v>
      </c>
      <c r="Z310" s="0" t="str">
        <f aca="false">HYPERLINK("https://lindat.mff.cuni.cz/services/SynSemClass55/SynSemClass55.html?veclass=vec00895", "vec00895 / přeorientovat (v41ifnA)")</f>
        <v>vec00895 / přeorientovat (v41ifnA)</v>
      </c>
      <c r="AA310" s="0" t="n">
        <v>0.05141</v>
      </c>
      <c r="AB310" s="5" t="s">
        <v>30</v>
      </c>
      <c r="AE310" s="0" t="str">
        <f aca="false">HYPERLINK("https://lindat.mff.cuni.cz/services/SynSemClass55/SynSemClass55.html?veclass=vec01086", "vec01086 / přebíhat (v41huaA)")</f>
        <v>vec01086 / přebíhat (v41huaA)</v>
      </c>
      <c r="AF310" s="0" t="n">
        <v>0.03598</v>
      </c>
      <c r="AG310" s="5" t="s">
        <v>30</v>
      </c>
    </row>
    <row r="311" customFormat="false" ht="12.75" hidden="false" customHeight="false" outlineLevel="0" collapsed="false">
      <c r="A311" s="0" t="str">
        <f aca="false">HYPERLINK("https://lindat.mff.cuni.cz/services/PDT-Vallex4.5/PDT-Vallex4.5.html?verb=přepnout", "přepnout")</f>
        <v>přepnout</v>
      </c>
      <c r="B311" s="0" t="str">
        <f aca="false">HYPERLINK("https://lindat.mff.cuni.cz/services/PDT-Vallex4.5/PDT-Vallex4.5.html?verb=přepnout#v41igkB", "v41igkB")</f>
        <v>v41igkB</v>
      </c>
      <c r="E311" s="0" t="n">
        <v>203</v>
      </c>
      <c r="F311" s="0" t="n">
        <v>0.3277</v>
      </c>
      <c r="G311" s="1" t="s">
        <v>31</v>
      </c>
      <c r="K311" s="0" t="str">
        <f aca="false">HYPERLINK("https://lindat.mff.cuni.cz/services/SynSemClass55/SynSemClass55.html?veclass=vec00496", "vec00496 / přejít (v41ibiA)")</f>
        <v>vec00496 / přejít (v41ibiA)</v>
      </c>
      <c r="L311" s="0" t="n">
        <v>0.3277</v>
      </c>
      <c r="M311" s="5" t="s">
        <v>33</v>
      </c>
      <c r="P311" s="0" t="str">
        <f aca="false">HYPERLINK("https://lindat.mff.cuni.cz/services/SynSemClass55/SynSemClass55.html?veclass=vec00182", "vec00182 / zapínat (v41qepA)")</f>
        <v>vec00182 / zapínat (v41qepA)</v>
      </c>
      <c r="Q311" s="0" t="n">
        <v>0.10648</v>
      </c>
      <c r="R311" s="5" t="s">
        <v>30</v>
      </c>
      <c r="U311" s="0" t="str">
        <f aca="false">HYPERLINK("https://lindat.mff.cuni.cz/services/SynSemClass55/SynSemClass55.html?veclass=vec00283", "vec00283 / převést (v41imqC)")</f>
        <v>vec00283 / převést (v41imqC)</v>
      </c>
      <c r="V311" s="0" t="n">
        <v>0.09098</v>
      </c>
      <c r="W311" s="5" t="s">
        <v>30</v>
      </c>
      <c r="Z311" s="0" t="str">
        <f aca="false">HYPERLINK("https://lindat.mff.cuni.cz/services/SynSemClass55/SynSemClass55.html?veclass=vec00895", "vec00895 / přeorientovat (v41ifnA)")</f>
        <v>vec00895 / přeorientovat (v41ifnA)</v>
      </c>
      <c r="AA311" s="0" t="n">
        <v>0.05141</v>
      </c>
      <c r="AB311" s="5" t="s">
        <v>30</v>
      </c>
      <c r="AE311" s="0" t="str">
        <f aca="false">HYPERLINK("https://lindat.mff.cuni.cz/services/SynSemClass55/SynSemClass55.html?veclass=vec01086", "vec01086 / přebíhat (v41huaA)")</f>
        <v>vec01086 / přebíhat (v41huaA)</v>
      </c>
      <c r="AF311" s="0" t="n">
        <v>0.03598</v>
      </c>
      <c r="AG311" s="5" t="s">
        <v>30</v>
      </c>
    </row>
    <row r="313" customFormat="false" ht="12.75" hidden="false" customHeight="false" outlineLevel="0" collapsed="false">
      <c r="A313" s="0" t="str">
        <f aca="false">HYPERLINK("https://lindat.mff.cuni.cz/services/PDT-Vallex4.5/PDT-Vallex4.5.html?verb=přesedlat", "přesedlat")</f>
        <v>přesedlat</v>
      </c>
      <c r="B313" s="0" t="str">
        <f aca="false">HYPERLINK("https://lindat.mff.cuni.cz/services/PDT-Vallex4.5/PDT-Vallex4.5.html?verb=přesedlat#v41iihB", "v41iihB")</f>
        <v>v41iihB</v>
      </c>
      <c r="E313" s="0" t="n">
        <v>41</v>
      </c>
      <c r="F313" s="0" t="n">
        <v>0.64266</v>
      </c>
      <c r="G313" s="1" t="s">
        <v>122</v>
      </c>
      <c r="K313" s="0" t="str">
        <f aca="false">HYPERLINK("https://lindat.mff.cuni.cz/services/SynSemClass55/SynSemClass55.html?veclass=vec00496", "vec00496 / přejít (v41ibiA)")</f>
        <v>vec00496 / přejít (v41ibiA)</v>
      </c>
      <c r="L313" s="0" t="n">
        <v>0.64266</v>
      </c>
      <c r="M313" s="5" t="s">
        <v>30</v>
      </c>
      <c r="P313" s="0" t="str">
        <f aca="false">HYPERLINK("https://lindat.mff.cuni.cz/services/SynSemClass55/SynSemClass55.html?veclass=vec01086", "vec01086 / přebíhat (v41huaA)")</f>
        <v>vec01086 / přebíhat (v41huaA)</v>
      </c>
      <c r="Q313" s="0" t="n">
        <v>0.06872</v>
      </c>
      <c r="R313" s="5" t="s">
        <v>30</v>
      </c>
      <c r="U313" s="0" t="str">
        <f aca="false">HYPERLINK("https://lindat.mff.cuni.cz/services/SynSemClass55/SynSemClass55.html?veclass=vec00048", "vec00048 / odejít (v41dyrA)")</f>
        <v>vec00048 / odejít (v41dyrA)</v>
      </c>
      <c r="V313" s="0" t="n">
        <v>0.05231</v>
      </c>
      <c r="W313" s="5" t="s">
        <v>30</v>
      </c>
      <c r="Z313" s="0" t="str">
        <f aca="false">HYPERLINK("https://lindat.mff.cuni.cz/services/SynSemClass55/SynSemClass55.html?veclass=vec00705", "vec00705 / sednout si (v41khwC)")</f>
        <v>vec00705 / sednout si (v41khwC)</v>
      </c>
      <c r="AA313" s="0" t="n">
        <v>0.03774</v>
      </c>
      <c r="AB313" s="5" t="s">
        <v>30</v>
      </c>
      <c r="AE313" s="0" t="str">
        <f aca="false">HYPERLINK("https://lindat.mff.cuni.cz/services/SynSemClass55/SynSemClass55.html?veclass=vec00022", "vec00022 / hnout se (v41awhA)")</f>
        <v>vec00022 / hnout se (v41awhA)</v>
      </c>
      <c r="AF313" s="0" t="n">
        <v>0.0286</v>
      </c>
      <c r="AG313" s="5" t="s">
        <v>30</v>
      </c>
    </row>
    <row r="315" customFormat="false" ht="12.75" hidden="false" customHeight="false" outlineLevel="0" collapsed="false">
      <c r="A315" s="0" t="str">
        <f aca="false">HYPERLINK("https://lindat.mff.cuni.cz/services/PDT-Vallex4.5/PDT-Vallex4.5.html?verb=přesunovat", "přesunovat")</f>
        <v>přesunovat</v>
      </c>
      <c r="B315" s="0" t="str">
        <f aca="false">HYPERLINK("https://lindat.mff.cuni.cz/services/PDT-Vallex4.5/PDT-Vallex4.5.html?verb=přesunovat#v41ijzB", "v41ijzB")</f>
        <v>v41ijzB</v>
      </c>
      <c r="E315" s="0" t="n">
        <v>101</v>
      </c>
      <c r="F315" s="0" t="n">
        <v>0.34525</v>
      </c>
      <c r="G315" s="1" t="s">
        <v>31</v>
      </c>
      <c r="K315" s="0" t="str">
        <f aca="false">HYPERLINK("https://lindat.mff.cuni.cz/services/SynSemClass55/SynSemClass55.html?veclass=vec00048", "vec00048 / odejít (v41dyrA)")</f>
        <v>vec00048 / odejít (v41dyrA)</v>
      </c>
      <c r="L315" s="0" t="n">
        <v>0.34525</v>
      </c>
      <c r="M315" s="5" t="s">
        <v>30</v>
      </c>
      <c r="P315" s="0" t="str">
        <f aca="false">HYPERLINK("https://lindat.mff.cuni.cz/services/SynSemClass55/SynSemClass55.html?veclass=vec00283", "vec00283 / převést (v41imqC)")</f>
        <v>vec00283 / převést (v41imqC)</v>
      </c>
      <c r="Q315" s="0" t="n">
        <v>0.22756</v>
      </c>
      <c r="R315" s="5" t="s">
        <v>33</v>
      </c>
      <c r="U315" s="0" t="str">
        <f aca="false">HYPERLINK("https://lindat.mff.cuni.cz/services/SynSemClass55/SynSemClass55.html?veclass=vec00894", "vec00894 / přeložit (v41idwB)")</f>
        <v>vec00894 / přeložit (v41idwB)</v>
      </c>
      <c r="V315" s="0" t="n">
        <v>0.195</v>
      </c>
      <c r="W315" s="5" t="s">
        <v>30</v>
      </c>
      <c r="Z315" s="0" t="str">
        <f aca="false">HYPERLINK("https://lindat.mff.cuni.cz/services/SynSemClass55/SynSemClass55.html?veclass=vec00022", "vec00022 / hnout se (v41awhA)")</f>
        <v>vec00022 / hnout se (v41awhA)</v>
      </c>
      <c r="AA315" s="0" t="n">
        <v>0.117</v>
      </c>
      <c r="AB315" s="5" t="s">
        <v>30</v>
      </c>
      <c r="AE315" s="0" t="str">
        <f aca="false">HYPERLINK("https://lindat.mff.cuni.cz/services/SynSemClass55/SynSemClass55.html?veclass=vec01577", "vec01577 / nastěhovat (v41dcnA)")</f>
        <v>vec01577 / nastěhovat (v41dcnA)</v>
      </c>
      <c r="AF315" s="0" t="n">
        <v>0.0305</v>
      </c>
      <c r="AG315" s="5" t="s">
        <v>30</v>
      </c>
    </row>
    <row r="317" customFormat="false" ht="12.75" hidden="false" customHeight="false" outlineLevel="0" collapsed="false">
      <c r="A317" s="0" t="str">
        <f aca="false">HYPERLINK("https://lindat.mff.cuni.cz/services/PDT-Vallex4.5/PDT-Vallex4.5.html?verb=přeškolit", "přeškolit")</f>
        <v>přeškolit</v>
      </c>
      <c r="B317" s="0" t="str">
        <f aca="false">HYPERLINK("https://lindat.mff.cuni.cz/services/PDT-Vallex4.5/PDT-Vallex4.5.html?verb=přeškolit#v41ikoA", "v41ikoA")</f>
        <v>v41ikoA</v>
      </c>
      <c r="E317" s="0" t="n">
        <v>13</v>
      </c>
      <c r="F317" s="0" t="n">
        <v>0.2963</v>
      </c>
      <c r="G317" s="1" t="s">
        <v>31</v>
      </c>
      <c r="K317" s="0" t="str">
        <f aca="false">HYPERLINK("https://lindat.mff.cuni.cz/services/SynSemClass55/SynSemClass55.html?veclass=vec00763", "vec00763 / vyškolit (v41pauA)")</f>
        <v>vec00763 / vyškolit (v41pauA)</v>
      </c>
      <c r="L317" s="0" t="n">
        <v>0.2963</v>
      </c>
      <c r="M317" s="5" t="s">
        <v>33</v>
      </c>
      <c r="P317" s="0" t="str">
        <f aca="false">HYPERLINK("https://lindat.mff.cuni.cz/services/SynSemClass55/SynSemClass55.html?veclass=vec00369", "vec00369 / zaměstnávat (v41qbfA)")</f>
        <v>vec00369 / zaměstnávat (v41qbfA)</v>
      </c>
      <c r="Q317" s="0" t="n">
        <v>0.04086</v>
      </c>
      <c r="R317" s="5" t="s">
        <v>30</v>
      </c>
      <c r="U317" s="0" t="str">
        <f aca="false">HYPERLINK("https://lindat.mff.cuni.cz/services/SynSemClass55/SynSemClass55.html?veclass=vec00280", "vec00280 / překročit (v41icmB)")</f>
        <v>vec00280 / překročit (v41icmB)</v>
      </c>
      <c r="V317" s="0" t="n">
        <v>0.02473</v>
      </c>
      <c r="W317" s="5" t="s">
        <v>30</v>
      </c>
      <c r="Z317" s="0" t="str">
        <f aca="false">HYPERLINK("https://lindat.mff.cuni.cz/services/SynSemClass55/SynSemClass55.html?veclass=vec00095", "vec00095 / přeměnit (v41iecA)")</f>
        <v>vec00095 / přeměnit (v41iecA)</v>
      </c>
      <c r="AA317" s="0" t="n">
        <v>0.02395</v>
      </c>
      <c r="AB317" s="5" t="s">
        <v>30</v>
      </c>
      <c r="AE317" s="0" t="str">
        <f aca="false">HYPERLINK("https://lindat.mff.cuni.cz/services/SynSemClass55/SynSemClass55.html?veclass=vec00827", "vec00827 / instruovat (v41bfuA)")</f>
        <v>vec00827 / instruovat (v41bfuA)</v>
      </c>
      <c r="AF317" s="0" t="n">
        <v>0.02151</v>
      </c>
      <c r="AG317" s="5" t="s">
        <v>30</v>
      </c>
    </row>
    <row r="319" customFormat="false" ht="12.75" hidden="false" customHeight="false" outlineLevel="0" collapsed="false">
      <c r="A319" s="0" t="str">
        <f aca="false">HYPERLINK("https://lindat.mff.cuni.cz/services/PDT-Vallex4.5/PDT-Vallex4.5.html?verb=přetahovat se", "přetahovat se")</f>
        <v>přetahovat se</v>
      </c>
      <c r="B319" s="0" t="str">
        <f aca="false">HYPERLINK("https://lindat.mff.cuni.cz/services/PDT-Vallex4.5/PDT-Vallex4.5.html?verb=přetahovat se#v41ikxB", "v41ikxB")</f>
        <v>v41ikxB</v>
      </c>
      <c r="E319" s="0" t="n">
        <v>83</v>
      </c>
      <c r="F319" s="0" t="n">
        <v>0.11466</v>
      </c>
      <c r="G319" s="1" t="s">
        <v>123</v>
      </c>
      <c r="I319" s="1" t="s">
        <v>124</v>
      </c>
      <c r="K319" s="0" t="str">
        <f aca="false">HYPERLINK("https://lindat.mff.cuni.cz/services/SynSemClass55/SynSemClass55.html?veclass=vec01600", "vec01600 / roztáhnout (v41jzkA)")</f>
        <v>vec01600 / roztáhnout (v41jzkA)</v>
      </c>
      <c r="L319" s="0" t="n">
        <v>0.11466</v>
      </c>
      <c r="M319" s="5" t="s">
        <v>30</v>
      </c>
      <c r="P319" s="0" t="str">
        <f aca="false">HYPERLINK("https://lindat.mff.cuni.cz/services/SynSemClass55/SynSemClass55.html?veclass=vec00121", "vec00121 / soupeřit (v41kyvA)")</f>
        <v>vec00121 / soupeřit (v41kyvA)</v>
      </c>
      <c r="Q319" s="0" t="n">
        <v>0.11153</v>
      </c>
      <c r="R319" s="5" t="s">
        <v>30</v>
      </c>
      <c r="U319" s="0" t="str">
        <f aca="false">HYPERLINK("https://lindat.mff.cuni.cz/services/SynSemClass55/SynSemClass55.html?veclass=vec01578", "vec01578 / natahovat (v41dekB)")</f>
        <v>vec01578 / natahovat (v41dekB)</v>
      </c>
      <c r="V319" s="0" t="n">
        <v>0.08173</v>
      </c>
      <c r="W319" s="5" t="s">
        <v>30</v>
      </c>
      <c r="Z319" s="0" t="str">
        <f aca="false">HYPERLINK("https://lindat.mff.cuni.cz/services/SynSemClass55/SynSemClass55.html?veclass=vec01845", "vec01845 / prostrkat (v41hnvA)")</f>
        <v>vec01845 / prostrkat (v41hnvA)</v>
      </c>
      <c r="AA319" s="0" t="n">
        <v>0.05883</v>
      </c>
      <c r="AB319" s="5" t="s">
        <v>30</v>
      </c>
      <c r="AE319" s="0" t="str">
        <f aca="false">HYPERLINK("https://lindat.mff.cuni.cz/services/SynSemClass55/SynSemClass55.html?veclass=vec00019", "vec00019 / handrkovat se (v41atvA)")</f>
        <v>vec00019 / handrkovat se (v41atvA)</v>
      </c>
      <c r="AF319" s="0" t="n">
        <v>0.03598</v>
      </c>
      <c r="AG319" s="5" t="s">
        <v>30</v>
      </c>
    </row>
    <row r="321" customFormat="false" ht="12.75" hidden="false" customHeight="false" outlineLevel="0" collapsed="false">
      <c r="A321" s="0" t="str">
        <f aca="false">HYPERLINK("https://lindat.mff.cuni.cz/services/PDT-Vallex4.5/PDT-Vallex4.5.html?verb=přetrhnout", "přetrhnout")</f>
        <v>přetrhnout</v>
      </c>
      <c r="B321" s="0" t="str">
        <f aca="false">HYPERLINK("https://lindat.mff.cuni.cz/services/PDT-Vallex4.5/PDT-Vallex4.5.html?verb=přetrhnout#v41ilmA", "v41ilmA")</f>
        <v>v41ilmA</v>
      </c>
      <c r="E321" s="0" t="n">
        <v>433</v>
      </c>
      <c r="F321" s="0" t="n">
        <v>0.09173</v>
      </c>
      <c r="G321" s="1" t="s">
        <v>31</v>
      </c>
      <c r="K321" s="0" t="str">
        <f aca="false">HYPERLINK("https://lindat.mff.cuni.cz/services/SynSemClass55/SynSemClass55.html?veclass=vec00681", "vec00681 / prasknout (v41gykA)")</f>
        <v>vec00681 / prasknout (v41gykA)</v>
      </c>
      <c r="L321" s="0" t="n">
        <v>0.09173</v>
      </c>
      <c r="M321" s="5" t="s">
        <v>30</v>
      </c>
      <c r="P321" s="0" t="str">
        <f aca="false">HYPERLINK("https://lindat.mff.cuni.cz/services/SynSemClass55/SynSemClass55.html?veclass=vec01286", "vec01286 / přerušit (v41ihsD)")</f>
        <v>vec01286 / přerušit (v41ihsD)</v>
      </c>
      <c r="Q321" s="0" t="n">
        <v>0.0657</v>
      </c>
      <c r="R321" s="5" t="s">
        <v>30</v>
      </c>
      <c r="U321" s="0" t="str">
        <f aca="false">HYPERLINK("https://lindat.mff.cuni.cz/services/SynSemClass55/SynSemClass55.html?veclass=vec00903", "vec00903 / rozcupovat (v41jmmA)")</f>
        <v>vec00903 / rozcupovat (v41jmmA)</v>
      </c>
      <c r="V321" s="0" t="n">
        <v>0.04818</v>
      </c>
      <c r="W321" s="5" t="s">
        <v>33</v>
      </c>
      <c r="Z321" s="0" t="str">
        <f aca="false">HYPERLINK("https://lindat.mff.cuni.cz/services/SynSemClass55/SynSemClass55.html?veclass=vec00885", "vec00885 / prolomit (v41hhaB)")</f>
        <v>vec00885 / prolomit (v41hhaB)</v>
      </c>
      <c r="AA321" s="0" t="n">
        <v>0.03538</v>
      </c>
      <c r="AB321" s="5" t="s">
        <v>30</v>
      </c>
      <c r="AE321" s="0" t="str">
        <f aca="false">HYPERLINK("https://lindat.mff.cuni.cz/services/SynSemClass55/SynSemClass55.html?veclass=vec00486", "vec00486 / pozdržet (v41gwdA)")</f>
        <v>vec00486 / pozdržet (v41gwdA)</v>
      </c>
      <c r="AF321" s="0" t="n">
        <v>0.02938</v>
      </c>
      <c r="AG321" s="5" t="s">
        <v>30</v>
      </c>
    </row>
    <row r="322" customFormat="false" ht="12.75" hidden="false" customHeight="false" outlineLevel="0" collapsed="false">
      <c r="A322" s="0" t="str">
        <f aca="false">HYPERLINK("https://lindat.mff.cuni.cz/services/PDT-Vallex4.5/PDT-Vallex4.5.html?verb=přetrhnout", "přetrhnout")</f>
        <v>přetrhnout</v>
      </c>
      <c r="B322" s="0" t="str">
        <f aca="false">HYPERLINK("https://lindat.mff.cuni.cz/services/PDT-Vallex4.5/PDT-Vallex4.5.html?verb=přetrhnout#v41ilmB", "v41ilmB")</f>
        <v>v41ilmB</v>
      </c>
      <c r="E322" s="0" t="n">
        <v>433</v>
      </c>
      <c r="F322" s="0" t="n">
        <v>0.09173</v>
      </c>
      <c r="G322" s="1" t="s">
        <v>125</v>
      </c>
      <c r="K322" s="0" t="str">
        <f aca="false">HYPERLINK("https://lindat.mff.cuni.cz/services/SynSemClass55/SynSemClass55.html?veclass=vec00681", "vec00681 / prasknout (v41gykA)")</f>
        <v>vec00681 / prasknout (v41gykA)</v>
      </c>
      <c r="L322" s="0" t="n">
        <v>0.09173</v>
      </c>
      <c r="M322" s="5" t="s">
        <v>30</v>
      </c>
      <c r="P322" s="0" t="str">
        <f aca="false">HYPERLINK("https://lindat.mff.cuni.cz/services/SynSemClass55/SynSemClass55.html?veclass=vec01286", "vec01286 / přerušit (v41ihsD)")</f>
        <v>vec01286 / přerušit (v41ihsD)</v>
      </c>
      <c r="Q322" s="0" t="n">
        <v>0.0657</v>
      </c>
      <c r="R322" s="5" t="s">
        <v>30</v>
      </c>
      <c r="U322" s="0" t="str">
        <f aca="false">HYPERLINK("https://lindat.mff.cuni.cz/services/SynSemClass55/SynSemClass55.html?veclass=vec00903", "vec00903 / rozcupovat (v41jmmA)")</f>
        <v>vec00903 / rozcupovat (v41jmmA)</v>
      </c>
      <c r="V322" s="0" t="n">
        <v>0.04818</v>
      </c>
      <c r="W322" s="5" t="s">
        <v>30</v>
      </c>
      <c r="Z322" s="0" t="str">
        <f aca="false">HYPERLINK("https://lindat.mff.cuni.cz/services/SynSemClass55/SynSemClass55.html?veclass=vec00885", "vec00885 / prolomit (v41hhaB)")</f>
        <v>vec00885 / prolomit (v41hhaB)</v>
      </c>
      <c r="AA322" s="0" t="n">
        <v>0.03538</v>
      </c>
      <c r="AB322" s="5" t="s">
        <v>30</v>
      </c>
      <c r="AE322" s="0" t="str">
        <f aca="false">HYPERLINK("https://lindat.mff.cuni.cz/services/SynSemClass55/SynSemClass55.html?veclass=vec00486", "vec00486 / pozdržet (v41gwdA)")</f>
        <v>vec00486 / pozdržet (v41gwdA)</v>
      </c>
      <c r="AF322" s="0" t="n">
        <v>0.02938</v>
      </c>
      <c r="AG322" s="5" t="s">
        <v>30</v>
      </c>
    </row>
    <row r="324" customFormat="false" ht="12.75" hidden="false" customHeight="false" outlineLevel="0" collapsed="false">
      <c r="A324" s="0" t="str">
        <f aca="false">HYPERLINK("https://lindat.mff.cuni.cz/services/PDT-Vallex4.5/PDT-Vallex4.5.html?verb=převézt", "převézt")</f>
        <v>převézt</v>
      </c>
      <c r="B324" s="0" t="str">
        <f aca="false">HYPERLINK("https://lindat.mff.cuni.cz/services/PDT-Vallex4.5/PDT-Vallex4.5.html?verb=převézt#v41imrB", "v41imrB")</f>
        <v>v41imrB</v>
      </c>
      <c r="E324" s="0" t="n">
        <v>418</v>
      </c>
      <c r="F324" s="0" t="n">
        <v>0.53521</v>
      </c>
      <c r="G324" s="1" t="s">
        <v>126</v>
      </c>
      <c r="K324" s="0" t="str">
        <f aca="false">HYPERLINK("https://lindat.mff.cuni.cz/services/SynSemClass55/SynSemClass55.html?veclass=vec00283", "vec00283 / převést (v41imqC)")</f>
        <v>vec00283 / převést (v41imqC)</v>
      </c>
      <c r="L324" s="0" t="n">
        <v>0.53521</v>
      </c>
      <c r="M324" s="5" t="s">
        <v>30</v>
      </c>
      <c r="P324" s="0" t="str">
        <f aca="false">HYPERLINK("https://lindat.mff.cuni.cz/services/SynSemClass55/SynSemClass55.html?veclass=vec00172", "vec00172 / vzít (v41pmaS)")</f>
        <v>vec00172 / vzít (v41pmaS)</v>
      </c>
      <c r="Q324" s="0" t="n">
        <v>0.33059</v>
      </c>
      <c r="R324" s="5" t="s">
        <v>30</v>
      </c>
      <c r="U324" s="0" t="str">
        <f aca="false">HYPERLINK("https://lindat.mff.cuni.cz/services/SynSemClass55/SynSemClass55.html?veclass=vec00011", "vec00011 / dovézt (v41ailB)")</f>
        <v>vec00011 / dovézt (v41ailB)</v>
      </c>
      <c r="V324" s="0" t="n">
        <v>0.04988</v>
      </c>
      <c r="W324" s="5" t="s">
        <v>30</v>
      </c>
      <c r="Z324" s="0" t="str">
        <f aca="false">HYPERLINK("https://lindat.mff.cuni.cz/services/SynSemClass55/SynSemClass55.html?veclass=vec01577", "vec01577 / nastěhovat (v41dcnA)")</f>
        <v>vec01577 / nastěhovat (v41dcnA)</v>
      </c>
      <c r="AA324" s="0" t="n">
        <v>0.04035</v>
      </c>
      <c r="AB324" s="5" t="s">
        <v>30</v>
      </c>
      <c r="AE324" s="0" t="str">
        <f aca="false">HYPERLINK("https://lindat.mff.cuni.cz/services/SynSemClass55/SynSemClass55.html?veclass=vec00894", "vec00894 / přeložit (v41idwB)")</f>
        <v>vec00894 / přeložit (v41idwB)</v>
      </c>
      <c r="AF324" s="0" t="n">
        <v>0.03396</v>
      </c>
      <c r="AG324" s="5" t="s">
        <v>30</v>
      </c>
    </row>
    <row r="326" customFormat="false" ht="12.75" hidden="false" customHeight="false" outlineLevel="0" collapsed="false">
      <c r="A326" s="0" t="str">
        <f aca="false">HYPERLINK("https://lindat.mff.cuni.cz/services/PDT-Vallex4.5/PDT-Vallex4.5.html?verb=převléci", "převléci")</f>
        <v>převléci</v>
      </c>
      <c r="B326" s="0" t="str">
        <f aca="false">HYPERLINK("https://lindat.mff.cuni.cz/services/PDT-Vallex4.5/PDT-Vallex4.5.html?verb=převléci#v41imvA", "v41imvA")</f>
        <v>v41imvA</v>
      </c>
      <c r="E326" s="0" t="n">
        <v>195</v>
      </c>
      <c r="F326" s="0" t="n">
        <v>0.05122</v>
      </c>
      <c r="G326" s="1" t="s">
        <v>31</v>
      </c>
      <c r="K326" s="0" t="str">
        <f aca="false">HYPERLINK("https://lindat.mff.cuni.cz/services/SynSemClass55/SynSemClass55.html?veclass=vec01050", "vec01050 / oblékat (v41dqoA)")</f>
        <v>vec01050 / oblékat (v41dqoA)</v>
      </c>
      <c r="L326" s="0" t="n">
        <v>0.05122</v>
      </c>
      <c r="M326" s="5" t="s">
        <v>33</v>
      </c>
      <c r="P326" s="0" t="str">
        <f aca="false">HYPERLINK("https://lindat.mff.cuni.cz/services/SynSemClass55/SynSemClass55.html?veclass=vec00629", "vec00629 / lehnout si (v41bzeA)")</f>
        <v>vec00629 / lehnout si (v41bzeA)</v>
      </c>
      <c r="Q326" s="0" t="n">
        <v>0.03921</v>
      </c>
      <c r="R326" s="5" t="s">
        <v>30</v>
      </c>
      <c r="U326" s="0" t="str">
        <f aca="false">HYPERLINK("https://lindat.mff.cuni.cz/services/SynSemClass55/SynSemClass55.html?veclass=vec00972", "vec00972 / vyšperkovat (v41pbiA)")</f>
        <v>vec00972 / vyšperkovat (v41pbiA)</v>
      </c>
      <c r="V326" s="0" t="n">
        <v>0.03065</v>
      </c>
      <c r="W326" s="5" t="s">
        <v>30</v>
      </c>
      <c r="Z326" s="0" t="str">
        <f aca="false">HYPERLINK("https://lindat.mff.cuni.cz/services/SynSemClass55/SynSemClass55.html?veclass=vec01500", "vec01500 / obouvat (v41drsA)")</f>
        <v>vec01500 / obouvat (v41drsA)</v>
      </c>
      <c r="AA326" s="0" t="n">
        <v>0.03039</v>
      </c>
      <c r="AB326" s="5" t="s">
        <v>30</v>
      </c>
      <c r="AE326" s="0" t="str">
        <f aca="false">HYPERLINK("https://lindat.mff.cuni.cz/services/SynSemClass55/SynSemClass55.html?veclass=vec00766", "vec00766 / vyzrát (v41pjjA)")</f>
        <v>vec00766 / vyzrát (v41pjjA)</v>
      </c>
      <c r="AF326" s="0" t="n">
        <v>0.02944</v>
      </c>
      <c r="AG326" s="5" t="s">
        <v>30</v>
      </c>
    </row>
    <row r="328" customFormat="false" ht="12.75" hidden="false" customHeight="false" outlineLevel="0" collapsed="false">
      <c r="A328" s="0" t="str">
        <f aca="false">HYPERLINK("https://lindat.mff.cuni.cz/services/PDT-Vallex4.5/PDT-Vallex4.5.html?verb=přibarvovat", "přibarvovat")</f>
        <v>přibarvovat</v>
      </c>
      <c r="B328" s="0" t="str">
        <f aca="false">HYPERLINK("https://lindat.mff.cuni.cz/services/PDT-Vallex4.5/PDT-Vallex4.5.html?verb=přibarvovat#v41ionA", "v41ionA")</f>
        <v>v41ionA</v>
      </c>
      <c r="E328" s="0" t="n">
        <v>5</v>
      </c>
      <c r="F328" s="0" t="n">
        <v>0.35731</v>
      </c>
      <c r="G328" s="1" t="s">
        <v>31</v>
      </c>
      <c r="K328" s="0" t="str">
        <f aca="false">HYPERLINK("https://lindat.mff.cuni.cz/services/SynSemClass55/SynSemClass55.html?veclass=vec01481", "vec01481 / zbarvit (v41qvlA)")</f>
        <v>vec01481 / zbarvit (v41qvlA)</v>
      </c>
      <c r="L328" s="0" t="n">
        <v>0.35731</v>
      </c>
      <c r="M328" s="5" t="s">
        <v>30</v>
      </c>
      <c r="P328" s="0" t="str">
        <f aca="false">HYPERLINK("https://lindat.mff.cuni.cz/services/SynSemClass55/SynSemClass55.html?veclass=vec01363", "vec01363 / vyzdobit (v41pieA)")</f>
        <v>vec01363 / vyzdobit (v41pieA)</v>
      </c>
      <c r="Q328" s="0" t="n">
        <v>0.09608</v>
      </c>
      <c r="R328" s="5" t="s">
        <v>30</v>
      </c>
      <c r="U328" s="0" t="str">
        <f aca="false">HYPERLINK("https://lindat.mff.cuni.cz/services/SynSemClass55/SynSemClass55.html?veclass=vec00782", "vec00782 / zdobit (v41qyhB)")</f>
        <v>vec00782 / zdobit (v41qyhB)</v>
      </c>
      <c r="V328" s="0" t="n">
        <v>0.05158</v>
      </c>
      <c r="W328" s="5" t="s">
        <v>30</v>
      </c>
      <c r="Z328" s="0" t="str">
        <f aca="false">HYPERLINK("https://lindat.mff.cuni.cz/services/SynSemClass55/SynSemClass55.html?veclass=vec00972", "vec00972 / vyšperkovat (v41pbiA)")</f>
        <v>vec00972 / vyšperkovat (v41pbiA)</v>
      </c>
      <c r="AA328" s="0" t="n">
        <v>0.03938</v>
      </c>
      <c r="AB328" s="5" t="s">
        <v>34</v>
      </c>
      <c r="AE328" s="0" t="str">
        <f aca="false">HYPERLINK("https://lindat.mff.cuni.cz/services/SynSemClass55/SynSemClass55.html?veclass=vec01182", "vec01182 / znečišťovat (v41rnoA)")</f>
        <v>vec01182 / znečišťovat (v41rnoA)</v>
      </c>
      <c r="AF328" s="0" t="n">
        <v>0.03631</v>
      </c>
      <c r="AG328" s="5" t="s">
        <v>30</v>
      </c>
    </row>
    <row r="330" customFormat="false" ht="12.75" hidden="false" customHeight="false" outlineLevel="0" collapsed="false">
      <c r="A330" s="0" t="str">
        <f aca="false">HYPERLINK("https://lindat.mff.cuni.cz/services/PDT-Vallex4.5/PDT-Vallex4.5.html?verb=přibíjet", "přibíjet")</f>
        <v>přibíjet</v>
      </c>
      <c r="B330" s="0" t="str">
        <f aca="false">HYPERLINK("https://lindat.mff.cuni.cz/services/PDT-Vallex4.5/PDT-Vallex4.5.html?verb=přibíjet#v41ioqA", "v41ioqA")</f>
        <v>v41ioqA</v>
      </c>
      <c r="E330" s="0" t="n">
        <v>34</v>
      </c>
      <c r="F330" s="0" t="n">
        <v>0.16785</v>
      </c>
      <c r="G330" s="1" t="s">
        <v>31</v>
      </c>
      <c r="K330" s="0" t="str">
        <f aca="false">HYPERLINK("https://lindat.mff.cuni.cz/services/SynSemClass55/SynSemClass55.html?veclass=vec00899", "vec00899 / připevnit (v41ivdA)")</f>
        <v>vec00899 / připevnit (v41ivdA)</v>
      </c>
      <c r="L330" s="0" t="n">
        <v>0.16785</v>
      </c>
      <c r="M330" s="5" t="s">
        <v>33</v>
      </c>
      <c r="P330" s="0" t="str">
        <f aca="false">HYPERLINK("https://lindat.mff.cuni.cz/services/SynSemClass55/SynSemClass55.html?veclass=vec01500", "vec01500 / obouvat (v41drsA)")</f>
        <v>vec01500 / obouvat (v41drsA)</v>
      </c>
      <c r="Q330" s="0" t="n">
        <v>0.08188</v>
      </c>
      <c r="R330" s="5" t="s">
        <v>30</v>
      </c>
      <c r="U330" s="0" t="str">
        <f aca="false">HYPERLINK("https://lindat.mff.cuni.cz/services/SynSemClass55/SynSemClass55.html?veclass=vec01403", "vec01403 / kopat (v41bsgD)")</f>
        <v>vec01403 / kopat (v41bsgD)</v>
      </c>
      <c r="V330" s="0" t="n">
        <v>0.06121</v>
      </c>
      <c r="W330" s="5" t="s">
        <v>30</v>
      </c>
      <c r="Z330" s="0" t="str">
        <f aca="false">HYPERLINK("https://lindat.mff.cuni.cz/services/SynSemClass55/SynSemClass55.html?veclass=vec00943", "vec00943 / utáhnout (v41mzjC)")</f>
        <v>vec00943 / utáhnout (v41mzjC)</v>
      </c>
      <c r="AA330" s="0" t="n">
        <v>0.05774</v>
      </c>
      <c r="AB330" s="5" t="s">
        <v>30</v>
      </c>
      <c r="AE330" s="0" t="str">
        <f aca="false">HYPERLINK("https://lindat.mff.cuni.cz/services/SynSemClass55/SynSemClass55.html?veclass=vec01668", "vec01668 / přisunout (v41izrA)")</f>
        <v>vec01668 / přisunout (v41izrA)</v>
      </c>
      <c r="AF330" s="0" t="n">
        <v>0.05337</v>
      </c>
      <c r="AG330" s="5" t="s">
        <v>30</v>
      </c>
    </row>
    <row r="332" customFormat="false" ht="12.75" hidden="false" customHeight="false" outlineLevel="0" collapsed="false">
      <c r="A332" s="0" t="str">
        <f aca="false">HYPERLINK("https://lindat.mff.cuni.cz/services/PDT-Vallex4.5/PDT-Vallex4.5.html?verb=přihrnout", "přihrnout")</f>
        <v>přihrnout</v>
      </c>
      <c r="B332" s="0" t="str">
        <f aca="false">HYPERLINK("https://lindat.mff.cuni.cz/services/PDT-Vallex4.5/PDT-Vallex4.5.html?verb=přihrnout#v41irkA", "v41irkA")</f>
        <v>v41irkA</v>
      </c>
      <c r="E332" s="0" t="n">
        <v>81</v>
      </c>
      <c r="F332" s="0" t="n">
        <v>0.07444</v>
      </c>
      <c r="G332" s="1" t="s">
        <v>127</v>
      </c>
      <c r="K332" s="0" t="str">
        <f aca="false">HYPERLINK("https://lindat.mff.cuni.cz/services/SynSemClass55/SynSemClass55.html?veclass=vec00833", "vec00833 / mačkat se (v41cdaA)")</f>
        <v>vec00833 / mačkat se (v41cdaA)</v>
      </c>
      <c r="L332" s="0" t="n">
        <v>0.07444</v>
      </c>
      <c r="M332" s="5" t="s">
        <v>30</v>
      </c>
      <c r="P332" s="0" t="str">
        <f aca="false">HYPERLINK("https://lindat.mff.cuni.cz/services/SynSemClass55/SynSemClass55.html?veclass=vec00665", "vec00665 / plazit se (v41fnbA)")</f>
        <v>vec00665 / plazit se (v41fnbA)</v>
      </c>
      <c r="Q332" s="0" t="n">
        <v>0.06169</v>
      </c>
      <c r="R332" s="5" t="s">
        <v>30</v>
      </c>
      <c r="U332" s="0" t="str">
        <f aca="false">HYPERLINK("https://lindat.mff.cuni.cz/services/SynSemClass55/SynSemClass55.html?veclass=vec00713", "vec00713 / skočit (v41kraD)")</f>
        <v>vec00713 / skočit (v41kraD)</v>
      </c>
      <c r="V332" s="0" t="n">
        <v>0.04487</v>
      </c>
      <c r="W332" s="5" t="s">
        <v>30</v>
      </c>
      <c r="Z332" s="0" t="str">
        <f aca="false">HYPERLINK("https://lindat.mff.cuni.cz/services/SynSemClass55/SynSemClass55.html?veclass=vec00218", "vec00218 / dostat se (v41afyI)")</f>
        <v>vec00218 / dostat se (v41afyI)</v>
      </c>
      <c r="AA332" s="0" t="n">
        <v>0.03878</v>
      </c>
      <c r="AB332" s="5" t="s">
        <v>30</v>
      </c>
      <c r="AE332" s="0" t="str">
        <f aca="false">HYPERLINK("https://lindat.mff.cuni.cz/services/SynSemClass55/SynSemClass55.html?veclass=vec00710", "vec00710 / shromáždit se (v41kndA)")</f>
        <v>vec00710 / shromáždit se (v41kndA)</v>
      </c>
      <c r="AF332" s="0" t="n">
        <v>0.0339</v>
      </c>
      <c r="AG332" s="5" t="s">
        <v>30</v>
      </c>
    </row>
    <row r="334" customFormat="false" ht="12.75" hidden="false" customHeight="false" outlineLevel="0" collapsed="false">
      <c r="A334" s="0" t="str">
        <f aca="false">HYPERLINK("https://lindat.mff.cuni.cz/services/PDT-Vallex4.5/PDT-Vallex4.5.html?verb=přihřát si", "přihřát si")</f>
        <v>přihřát si</v>
      </c>
      <c r="B334" s="0" t="str">
        <f aca="false">HYPERLINK("https://lindat.mff.cuni.cz/services/PDT-Vallex4.5/PDT-Vallex4.5.html?verb=přihřát si#v41irnA", "v41irnA")</f>
        <v>v41irnA</v>
      </c>
      <c r="E334" s="0" t="n">
        <v>14</v>
      </c>
      <c r="F334" s="0" t="n">
        <v>0.42975</v>
      </c>
      <c r="G334" s="1" t="n">
        <v>0</v>
      </c>
      <c r="H334" s="1" t="s">
        <v>128</v>
      </c>
      <c r="I334" s="1" t="s">
        <v>129</v>
      </c>
      <c r="K334" s="0" t="str">
        <f aca="false">HYPERLINK("https://lindat.mff.cuni.cz/services/SynSemClass55/SynSemClass55.html?veclass=vec01553", "vec01553 / hřát (v41azjA)")</f>
        <v>vec01553 / hřát (v41azjA)</v>
      </c>
      <c r="L334" s="0" t="n">
        <v>0.42975</v>
      </c>
      <c r="M334" s="5" t="s">
        <v>30</v>
      </c>
      <c r="P334" s="0" t="str">
        <f aca="false">HYPERLINK("https://lindat.mff.cuni.cz/services/SynSemClass55/SynSemClass55.html?veclass=vec01617", "vec01617 / vařit (v41ngvC)")</f>
        <v>vec01617 / vařit (v41ngvC)</v>
      </c>
      <c r="Q334" s="0" t="n">
        <v>0.13256</v>
      </c>
      <c r="R334" s="5" t="s">
        <v>30</v>
      </c>
      <c r="U334" s="0" t="str">
        <f aca="false">HYPERLINK("https://lindat.mff.cuni.cz/services/SynSemClass55/SynSemClass55.html?veclass=vec01610", "vec01610 / topit (v41maaA)")</f>
        <v>vec01610 / topit (v41maaA)</v>
      </c>
      <c r="V334" s="0" t="n">
        <v>0.10802</v>
      </c>
      <c r="W334" s="5" t="s">
        <v>30</v>
      </c>
      <c r="Z334" s="0" t="str">
        <f aca="false">HYPERLINK("https://lindat.mff.cuni.cz/services/SynSemClass55/SynSemClass55.html?veclass=vec01887", "vec01887 / slunit se (v41kueA)")</f>
        <v>vec01887 / slunit se (v41kueA)</v>
      </c>
      <c r="AA334" s="0" t="n">
        <v>0.09131</v>
      </c>
      <c r="AB334" s="5" t="s">
        <v>30</v>
      </c>
      <c r="AE334" s="0" t="str">
        <f aca="false">HYPERLINK("https://lindat.mff.cuni.cz/services/SynSemClass55/SynSemClass55.html?veclass=vec00915", "vec00915 / rozvířit (v41kbpA)")</f>
        <v>vec00915 / rozvířit (v41kbpA)</v>
      </c>
      <c r="AF334" s="0" t="n">
        <v>0.07943</v>
      </c>
      <c r="AG334" s="5" t="s">
        <v>30</v>
      </c>
    </row>
    <row r="336" customFormat="false" ht="12.75" hidden="false" customHeight="false" outlineLevel="0" collapsed="false">
      <c r="A336" s="0" t="str">
        <f aca="false">HYPERLINK("https://lindat.mff.cuni.cz/services/PDT-Vallex4.5/PDT-Vallex4.5.html?verb=přicházet si", "přicházet si")</f>
        <v>přicházet si</v>
      </c>
      <c r="B336" s="0" t="str">
        <f aca="false">HYPERLINK("https://lindat.mff.cuni.cz/services/PDT-Vallex4.5/PDT-Vallex4.5.html?verb=přicházet si#v41irrA", "v41irrA")</f>
        <v>v41irrA</v>
      </c>
      <c r="E336" s="0" t="n">
        <v>2404</v>
      </c>
      <c r="F336" s="0" t="n">
        <v>0.46365</v>
      </c>
      <c r="G336" s="1" t="n">
        <v>0</v>
      </c>
      <c r="H336" s="1" t="s">
        <v>130</v>
      </c>
      <c r="I336" s="1" t="s">
        <v>131</v>
      </c>
      <c r="K336" s="0" t="str">
        <f aca="false">HYPERLINK("https://lindat.mff.cuni.cz/services/SynSemClass55/SynSemClass55.html?veclass=vec00218", "vec00218 / dostat se (v41afyI)")</f>
        <v>vec00218 / dostat se (v41afyI)</v>
      </c>
      <c r="L336" s="0" t="n">
        <v>0.46365</v>
      </c>
      <c r="M336" s="5" t="s">
        <v>30</v>
      </c>
      <c r="P336" s="0" t="str">
        <f aca="false">HYPERLINK("https://lindat.mff.cuni.cz/services/SynSemClass55/SynSemClass55.html?veclass=vec00097", "vec00097 / přicházet (v41irqL)")</f>
        <v>vec00097 / přicházet (v41irqL)</v>
      </c>
      <c r="Q336" s="0" t="n">
        <v>0.0929</v>
      </c>
      <c r="R336" s="5" t="s">
        <v>30</v>
      </c>
      <c r="U336" s="0" t="str">
        <f aca="false">HYPERLINK("https://lindat.mff.cuni.cz/services/SynSemClass55/SynSemClass55.html?veclass=vec00071", "vec00071 / pocházet (v41fyjB)")</f>
        <v>vec00071 / pocházet (v41fyjB)</v>
      </c>
      <c r="V336" s="0" t="n">
        <v>0.08454</v>
      </c>
      <c r="W336" s="5" t="s">
        <v>30</v>
      </c>
      <c r="Z336" s="0" t="str">
        <f aca="false">HYPERLINK("https://lindat.mff.cuni.cz/services/SynSemClass55/SynSemClass55.html?veclass=vec00227", "vec00227 / jít (v41bikAI)")</f>
        <v>vec00227 / jít (v41bikAI)</v>
      </c>
      <c r="AA336" s="0" t="n">
        <v>0.05646</v>
      </c>
      <c r="AB336" s="5" t="s">
        <v>30</v>
      </c>
      <c r="AE336" s="0" t="str">
        <f aca="false">HYPERLINK("https://lindat.mff.cuni.cz/services/SynSemClass55/SynSemClass55.html?veclass=vec00086", "vec00086 / projevit se (v41hfeC)")</f>
        <v>vec00086 / projevit se (v41hfeC)</v>
      </c>
      <c r="AF336" s="0" t="n">
        <v>0.04811</v>
      </c>
      <c r="AG336" s="5" t="s">
        <v>30</v>
      </c>
    </row>
    <row r="338" customFormat="false" ht="12.75" hidden="false" customHeight="false" outlineLevel="0" collapsed="false">
      <c r="A338" s="0" t="str">
        <f aca="false">HYPERLINK("https://lindat.mff.cuni.cz/services/PDT-Vallex4.5/PDT-Vallex4.5.html?verb=přijet", "přijet")</f>
        <v>přijet</v>
      </c>
      <c r="B338" s="0" t="str">
        <f aca="false">HYPERLINK("https://lindat.mff.cuni.cz/services/PDT-Vallex4.5/PDT-Vallex4.5.html?verb=přijet#v41isaA", "v41isaA")</f>
        <v>v41isaA</v>
      </c>
      <c r="E338" s="0" t="n">
        <v>5000</v>
      </c>
      <c r="F338" s="0" t="n">
        <v>0.92075</v>
      </c>
      <c r="G338" s="1" t="n">
        <v>0</v>
      </c>
      <c r="I338" s="1" t="s">
        <v>132</v>
      </c>
      <c r="K338" s="0" t="str">
        <f aca="false">HYPERLINK("https://lindat.mff.cuni.cz/services/SynSemClass55/SynSemClass55.html?veclass=vec00218", "vec00218 / dostat se (v41afyI)")</f>
        <v>vec00218 / dostat se (v41afyI)</v>
      </c>
      <c r="L338" s="0" t="n">
        <v>0.92075</v>
      </c>
      <c r="M338" s="5" t="s">
        <v>30</v>
      </c>
      <c r="P338" s="0" t="str">
        <f aca="false">HYPERLINK("https://lindat.mff.cuni.cz/services/SynSemClass55/SynSemClass55.html?veclass=vec00042", "vec00042 / navštěvovat (v41dhjB)")</f>
        <v>vec00042 / navštěvovat (v41dhjB)</v>
      </c>
      <c r="Q338" s="0" t="n">
        <v>0.02702</v>
      </c>
      <c r="R338" s="5" t="s">
        <v>30</v>
      </c>
      <c r="U338" s="0" t="str">
        <f aca="false">HYPERLINK("https://lindat.mff.cuni.cz/services/SynSemClass55/SynSemClass55.html?veclass=vec00086", "vec00086 / projevit se (v41hfeC)")</f>
        <v>vec00086 / projevit se (v41hfeC)</v>
      </c>
      <c r="V338" s="0" t="n">
        <v>0.01695</v>
      </c>
      <c r="W338" s="5" t="s">
        <v>30</v>
      </c>
      <c r="Z338" s="0" t="str">
        <f aca="false">HYPERLINK("https://lindat.mff.cuni.cz/services/SynSemClass55/SynSemClass55.html?veclass=vec00403", "vec00403 / cestovat (v41kpA)")</f>
        <v>vec00403 / cestovat (v41kpA)</v>
      </c>
      <c r="AA338" s="0" t="n">
        <v>0.01469</v>
      </c>
      <c r="AB338" s="5" t="s">
        <v>30</v>
      </c>
      <c r="AE338" s="0" t="str">
        <f aca="false">HYPERLINK("https://lindat.mff.cuni.cz/services/SynSemClass55/SynSemClass55.html?veclass=vec00227", "vec00227 / jít (v41bikAI)")</f>
        <v>vec00227 / jít (v41bikAI)</v>
      </c>
      <c r="AF338" s="0" t="n">
        <v>0.01231</v>
      </c>
      <c r="AG338" s="5" t="s">
        <v>30</v>
      </c>
    </row>
    <row r="340" customFormat="false" ht="12.75" hidden="false" customHeight="false" outlineLevel="0" collapsed="false">
      <c r="A340" s="0" t="str">
        <f aca="false">HYPERLINK("https://lindat.mff.cuni.cz/services/PDT-Vallex4.5/PDT-Vallex4.5.html?verb=přilít", "přilít")</f>
        <v>přilít</v>
      </c>
      <c r="B340" s="0" t="str">
        <f aca="false">HYPERLINK("https://lindat.mff.cuni.cz/services/PDT-Vallex4.5/PDT-Vallex4.5.html?verb=přilít#v41itrA", "v41itrA")</f>
        <v>v41itrA</v>
      </c>
      <c r="E340" s="0" t="n">
        <v>67</v>
      </c>
      <c r="F340" s="0" t="n">
        <v>0.14624</v>
      </c>
      <c r="G340" s="1" t="s">
        <v>31</v>
      </c>
      <c r="K340" s="0" t="str">
        <f aca="false">HYPERLINK("https://lindat.mff.cuni.cz/services/SynSemClass55/SynSemClass55.html?veclass=vec01300", "vec01300 / přitopit (v41jaoB)")</f>
        <v>vec01300 / přitopit (v41jaoB)</v>
      </c>
      <c r="L340" s="0" t="n">
        <v>0.14624</v>
      </c>
      <c r="M340" s="5" t="s">
        <v>30</v>
      </c>
      <c r="P340" s="0" t="str">
        <f aca="false">HYPERLINK("https://lindat.mff.cuni.cz/services/SynSemClass55/SynSemClass55.html?veclass=vec00407", "vec00407 / doplnit (v41acpC)")</f>
        <v>vec00407 / doplnit (v41acpC)</v>
      </c>
      <c r="Q340" s="0" t="n">
        <v>0.11353</v>
      </c>
      <c r="R340" s="5" t="s">
        <v>34</v>
      </c>
      <c r="U340" s="0" t="str">
        <f aca="false">HYPERLINK("https://lindat.mff.cuni.cz/services/SynSemClass55/SynSemClass55.html?veclass=vec01893", "vec01893 / stříkat (v41lnpB)")</f>
        <v>vec01893 / stříkat (v41lnpB)</v>
      </c>
      <c r="V340" s="0" t="n">
        <v>0.07737</v>
      </c>
      <c r="W340" s="5" t="s">
        <v>30</v>
      </c>
      <c r="Z340" s="0" t="str">
        <f aca="false">HYPERLINK("https://lindat.mff.cuni.cz/services/SynSemClass55/SynSemClass55.html?veclass=vec01942", "vec01942 / vylít (v41oijA)")</f>
        <v>vec01942 / vylít (v41oijA)</v>
      </c>
      <c r="AA340" s="0" t="n">
        <v>0.06698</v>
      </c>
      <c r="AB340" s="5" t="s">
        <v>30</v>
      </c>
      <c r="AE340" s="0" t="str">
        <f aca="false">HYPERLINK("https://lindat.mff.cuni.cz/services/SynSemClass55/SynSemClass55.html?veclass=vec01599", "vec01599 / přihodit (v41irdA)")</f>
        <v>vec01599 / přihodit (v41irdA)</v>
      </c>
      <c r="AF340" s="0" t="n">
        <v>0.06698</v>
      </c>
      <c r="AG340" s="5" t="s">
        <v>30</v>
      </c>
    </row>
    <row r="342" customFormat="false" ht="12.75" hidden="false" customHeight="false" outlineLevel="0" collapsed="false">
      <c r="A342" s="0" t="str">
        <f aca="false">HYPERLINK("https://lindat.mff.cuni.cz/services/PDT-Vallex4.5/PDT-Vallex4.5.html?verb=přilívat", "přilívat")</f>
        <v>přilívat</v>
      </c>
      <c r="B342" s="0" t="str">
        <f aca="false">HYPERLINK("https://lindat.mff.cuni.cz/services/PDT-Vallex4.5/PDT-Vallex4.5.html?verb=přilívat#v41ituA", "v41ituA")</f>
        <v>v41ituA</v>
      </c>
      <c r="E342" s="0" t="n">
        <v>6</v>
      </c>
      <c r="F342" s="0" t="n">
        <v>0.43344</v>
      </c>
      <c r="G342" s="1" t="s">
        <v>133</v>
      </c>
      <c r="K342" s="0" t="str">
        <f aca="false">HYPERLINK("https://lindat.mff.cuni.cz/services/SynSemClass55/SynSemClass55.html?veclass=vec01300", "vec01300 / přitopit (v41jaoB)")</f>
        <v>vec01300 / přitopit (v41jaoB)</v>
      </c>
      <c r="L342" s="0" t="n">
        <v>0.43344</v>
      </c>
      <c r="M342" s="5" t="s">
        <v>30</v>
      </c>
      <c r="P342" s="0" t="str">
        <f aca="false">HYPERLINK("https://lindat.mff.cuni.cz/services/SynSemClass55/SynSemClass55.html?veclass=vec01893", "vec01893 / stříkat (v41lnpB)")</f>
        <v>vec01893 / stříkat (v41lnpB)</v>
      </c>
      <c r="Q342" s="0" t="n">
        <v>0.17449</v>
      </c>
      <c r="R342" s="5" t="s">
        <v>30</v>
      </c>
      <c r="U342" s="0" t="str">
        <f aca="false">HYPERLINK("https://lindat.mff.cuni.cz/services/SynSemClass55/SynSemClass55.html?veclass=vec01942", "vec01942 / vylít (v41oijA)")</f>
        <v>vec01942 / vylít (v41oijA)</v>
      </c>
      <c r="V342" s="0" t="n">
        <v>0.12758</v>
      </c>
      <c r="W342" s="5" t="s">
        <v>30</v>
      </c>
      <c r="Z342" s="0" t="str">
        <f aca="false">HYPERLINK("https://lindat.mff.cuni.cz/services/SynSemClass55/SynSemClass55.html?veclass=vec01599", "vec01599 / přihodit (v41irdA)")</f>
        <v>vec01599 / přihodit (v41irdA)</v>
      </c>
      <c r="AA342" s="0" t="n">
        <v>0.06823</v>
      </c>
      <c r="AB342" s="5" t="s">
        <v>30</v>
      </c>
      <c r="AE342" s="0" t="str">
        <f aca="false">HYPERLINK("https://lindat.mff.cuni.cz/services/SynSemClass55/SynSemClass55.html?veclass=vec00407", "vec00407 / doplnit (v41acpC)")</f>
        <v>vec00407 / doplnit (v41acpC)</v>
      </c>
      <c r="AF342" s="0" t="n">
        <v>0.04516</v>
      </c>
      <c r="AG342" s="5" t="s">
        <v>30</v>
      </c>
    </row>
    <row r="344" customFormat="false" ht="12.75" hidden="false" customHeight="false" outlineLevel="0" collapsed="false">
      <c r="A344" s="0" t="str">
        <f aca="false">HYPERLINK("https://lindat.mff.cuni.cz/services/PDT-Vallex4.5/PDT-Vallex4.5.html?verb=přimknout se", "přimknout se")</f>
        <v>přimknout se</v>
      </c>
      <c r="B344" s="0" t="str">
        <f aca="false">HYPERLINK("https://lindat.mff.cuni.cz/services/PDT-Vallex4.5/PDT-Vallex4.5.html?verb=přimknout se#v41iueB", "v41iueB")</f>
        <v>v41iueB</v>
      </c>
      <c r="E344" s="0" t="n">
        <v>129</v>
      </c>
      <c r="F344" s="0" t="n">
        <v>0.19037</v>
      </c>
      <c r="G344" s="1" t="n">
        <v>0</v>
      </c>
      <c r="I344" s="1" t="s">
        <v>134</v>
      </c>
      <c r="K344" s="0" t="str">
        <f aca="false">HYPERLINK("https://lindat.mff.cuni.cz/services/SynSemClass55/SynSemClass55.html?veclass=vec00899", "vec00899 / připevnit (v41ivdA)")</f>
        <v>vec00899 / připevnit (v41ivdA)</v>
      </c>
      <c r="L344" s="0" t="n">
        <v>0.19037</v>
      </c>
      <c r="M344" s="5" t="s">
        <v>30</v>
      </c>
      <c r="P344" s="0" t="str">
        <f aca="false">HYPERLINK("https://lindat.mff.cuni.cz/services/SynSemClass55/SynSemClass55.html?veclass=vec01912", "vec01912 / upnout se (v41msbA)")</f>
        <v>vec01912 / upnout se (v41msbA)</v>
      </c>
      <c r="Q344" s="0" t="n">
        <v>0.11194</v>
      </c>
      <c r="R344" s="5" t="s">
        <v>30</v>
      </c>
      <c r="U344" s="0" t="str">
        <f aca="false">HYPERLINK("https://lindat.mff.cuni.cz/services/SynSemClass55/SynSemClass55.html?veclass=vec00943", "vec00943 / utáhnout (v41mzjC)")</f>
        <v>vec00943 / utáhnout (v41mzjC)</v>
      </c>
      <c r="V344" s="0" t="n">
        <v>0.03274</v>
      </c>
      <c r="W344" s="5" t="s">
        <v>30</v>
      </c>
      <c r="Z344" s="0" t="str">
        <f aca="false">HYPERLINK("https://lindat.mff.cuni.cz/services/SynSemClass55/SynSemClass55.html?veclass=vec00833", "vec00833 / mačkat se (v41cdaA)")</f>
        <v>vec00833 / mačkat se (v41cdaA)</v>
      </c>
      <c r="AA344" s="0" t="n">
        <v>0.03214</v>
      </c>
      <c r="AB344" s="5" t="s">
        <v>30</v>
      </c>
      <c r="AE344" s="0" t="str">
        <f aca="false">HYPERLINK("https://lindat.mff.cuni.cz/services/SynSemClass55/SynSemClass55.html?veclass=vec01668", "vec01668 / přisunout (v41izrA)")</f>
        <v>vec01668 / přisunout (v41izrA)</v>
      </c>
      <c r="AF344" s="0" t="n">
        <v>0.03176</v>
      </c>
      <c r="AG344" s="5" t="s">
        <v>30</v>
      </c>
    </row>
    <row r="346" customFormat="false" ht="12.75" hidden="false" customHeight="false" outlineLevel="0" collapsed="false">
      <c r="A346" s="0" t="str">
        <f aca="false">HYPERLINK("https://lindat.mff.cuni.cz/services/PDT-Vallex4.5/PDT-Vallex4.5.html?verb=přiostřit", "přiostřit")</f>
        <v>přiostřit</v>
      </c>
      <c r="B346" s="0" t="str">
        <f aca="false">HYPERLINK("https://lindat.mff.cuni.cz/services/PDT-Vallex4.5/PDT-Vallex4.5.html?verb=přiostřit#v41iutA", "v41iutA")</f>
        <v>v41iutA</v>
      </c>
      <c r="E346" s="0" t="n">
        <v>24</v>
      </c>
      <c r="F346" s="0" t="n">
        <v>0.29326</v>
      </c>
      <c r="G346" s="1" t="s">
        <v>135</v>
      </c>
      <c r="K346" s="0" t="str">
        <f aca="false">HYPERLINK("https://lindat.mff.cuni.cz/services/SynSemClass55/SynSemClass55.html?veclass=vec01498", "vec01498 / napnout se (v41cxgA)")</f>
        <v>vec01498 / napnout se (v41cxgA)</v>
      </c>
      <c r="L346" s="0" t="n">
        <v>0.29326</v>
      </c>
      <c r="M346" s="5" t="s">
        <v>30</v>
      </c>
      <c r="P346" s="0" t="str">
        <f aca="false">HYPERLINK("https://lindat.mff.cuni.cz/services/SynSemClass55/SynSemClass55.html?veclass=vec00785", "vec00785 / zhoršit (v41rcrA)")</f>
        <v>vec00785 / zhoršit (v41rcrA)</v>
      </c>
      <c r="Q346" s="0" t="n">
        <v>0.09211</v>
      </c>
      <c r="R346" s="5" t="s">
        <v>30</v>
      </c>
      <c r="U346" s="0" t="str">
        <f aca="false">HYPERLINK("https://lindat.mff.cuni.cz/services/SynSemClass55/SynSemClass55.html?veclass=vec01301", "vec01301 / přitvrdit (v41javA)")</f>
        <v>vec01301 / přitvrdit (v41javA)</v>
      </c>
      <c r="V346" s="0" t="n">
        <v>0.08426</v>
      </c>
      <c r="W346" s="5" t="s">
        <v>30</v>
      </c>
      <c r="Z346" s="0" t="str">
        <f aca="false">HYPERLINK("https://lindat.mff.cuni.cz/services/SynSemClass55/SynSemClass55.html?veclass=vec00539", "vec00539 / upevnit (v41mquD)")</f>
        <v>vec00539 / upevnit (v41mquD)</v>
      </c>
      <c r="AA346" s="0" t="n">
        <v>0.03922</v>
      </c>
      <c r="AB346" s="5" t="s">
        <v>30</v>
      </c>
      <c r="AE346" s="0" t="str">
        <f aca="false">HYPERLINK("https://lindat.mff.cuni.cz/services/SynSemClass55/SynSemClass55.html?veclass=vec00730", "vec00730 / stupňovat se (v41lnxA)")</f>
        <v>vec00730 / stupňovat se (v41lnxA)</v>
      </c>
      <c r="AF346" s="0" t="n">
        <v>0.03714</v>
      </c>
      <c r="AG346" s="5" t="s">
        <v>30</v>
      </c>
    </row>
    <row r="348" customFormat="false" ht="12.75" hidden="false" customHeight="false" outlineLevel="0" collapsed="false">
      <c r="A348" s="0" t="str">
        <f aca="false">HYPERLINK("https://lindat.mff.cuni.cz/services/PDT-Vallex4.5/PDT-Vallex4.5.html?verb=přistát", "přistát")</f>
        <v>přistát</v>
      </c>
      <c r="B348" s="0" t="str">
        <f aca="false">HYPERLINK("https://lindat.mff.cuni.cz/services/PDT-Vallex4.5/PDT-Vallex4.5.html?verb=přistát#v41iyzB", "v41iyzB")</f>
        <v>v41iyzB</v>
      </c>
      <c r="E348" s="0" t="n">
        <v>1576</v>
      </c>
      <c r="F348" s="0" t="n">
        <v>0.57228</v>
      </c>
      <c r="G348" s="1" t="s">
        <v>31</v>
      </c>
      <c r="K348" s="0" t="str">
        <f aca="false">HYPERLINK("https://lindat.mff.cuni.cz/services/SynSemClass55/SynSemClass55.html?veclass=vec00901", "vec00901 / přistát (v41iyzA)")</f>
        <v>vec00901 / přistát (v41iyzA)</v>
      </c>
      <c r="L348" s="0" t="n">
        <v>0.57228</v>
      </c>
      <c r="M348" s="5" t="s">
        <v>33</v>
      </c>
      <c r="P348" s="0" t="str">
        <f aca="false">HYPERLINK("https://lindat.mff.cuni.cz/services/SynSemClass55/SynSemClass55.html?veclass=vec00218", "vec00218 / dostat se (v41afyI)")</f>
        <v>vec00218 / dostat se (v41afyI)</v>
      </c>
      <c r="Q348" s="0" t="n">
        <v>0.08202</v>
      </c>
      <c r="R348" s="5" t="s">
        <v>30</v>
      </c>
      <c r="U348" s="0" t="str">
        <f aca="false">HYPERLINK("https://lindat.mff.cuni.cz/services/SynSemClass55/SynSemClass55.html?veclass=vec00579", "vec00579 / zastavit se (v41qmhA)")</f>
        <v>vec00579 / zastavit se (v41qmhA)</v>
      </c>
      <c r="V348" s="0" t="n">
        <v>0.04994</v>
      </c>
      <c r="W348" s="5" t="s">
        <v>30</v>
      </c>
      <c r="Z348" s="0" t="str">
        <f aca="false">HYPERLINK("https://lindat.mff.cuni.cz/services/SynSemClass55/SynSemClass55.html?veclass=vec01390", "vec01390 / blížit se (v41gbC)")</f>
        <v>vec01390 / blížit se (v41gbC)</v>
      </c>
      <c r="AA348" s="0" t="n">
        <v>0.03074</v>
      </c>
      <c r="AB348" s="5" t="s">
        <v>30</v>
      </c>
      <c r="AE348" s="0" t="str">
        <f aca="false">HYPERLINK("https://lindat.mff.cuni.cz/services/SynSemClass55/SynSemClass55.html?veclass=vec01113", "vec01113 / skákat (v41kpoB)")</f>
        <v>vec01113 / skákat (v41kpoB)</v>
      </c>
      <c r="AF348" s="0" t="n">
        <v>0.01838</v>
      </c>
      <c r="AG348" s="5" t="s">
        <v>30</v>
      </c>
    </row>
    <row r="350" customFormat="false" ht="12.75" hidden="false" customHeight="false" outlineLevel="0" collapsed="false">
      <c r="A350" s="0" t="str">
        <f aca="false">HYPERLINK("https://lindat.mff.cuni.cz/services/PDT-Vallex4.5/PDT-Vallex4.5.html?verb=přitížit se", "přitížit se")</f>
        <v>přitížit se</v>
      </c>
      <c r="B350" s="0" t="str">
        <f aca="false">HYPERLINK("https://lindat.mff.cuni.cz/services/PDT-Vallex4.5/PDT-Vallex4.5.html?verb=přitížit se#v41jaiA", "v41jaiA")</f>
        <v>v41jaiA</v>
      </c>
      <c r="E350" s="0" t="n">
        <v>54</v>
      </c>
      <c r="F350" s="0" t="n">
        <v>0.06903</v>
      </c>
      <c r="G350" s="1" t="n">
        <v>0</v>
      </c>
      <c r="I350" s="1" t="s">
        <v>136</v>
      </c>
      <c r="K350" s="0" t="str">
        <f aca="false">HYPERLINK("https://lindat.mff.cuni.cz/services/SynSemClass55/SynSemClass55.html?veclass=vec00547", "vec00547 / vadit (v41nfwA)")</f>
        <v>vec00547 / vadit (v41nfwA)</v>
      </c>
      <c r="L350" s="0" t="n">
        <v>0.06903</v>
      </c>
      <c r="M350" s="5" t="s">
        <v>30</v>
      </c>
      <c r="P350" s="0" t="str">
        <f aca="false">HYPERLINK("https://lindat.mff.cuni.cz/services/SynSemClass55/SynSemClass55.html?veclass=vec00740", "vec00740 / utrpět (v41nbkB)")</f>
        <v>vec00740 / utrpět (v41nbkB)</v>
      </c>
      <c r="Q350" s="0" t="n">
        <v>0.06654</v>
      </c>
      <c r="R350" s="5" t="s">
        <v>30</v>
      </c>
      <c r="U350" s="0" t="str">
        <f aca="false">HYPERLINK("https://lindat.mff.cuni.cz/services/SynSemClass55/SynSemClass55.html?veclass=vec01820", "vec01820 / poranit se (v41givA)")</f>
        <v>vec01820 / poranit se (v41givA)</v>
      </c>
      <c r="V350" s="0" t="n">
        <v>0.05053</v>
      </c>
      <c r="W350" s="5" t="s">
        <v>30</v>
      </c>
      <c r="Z350" s="0" t="str">
        <f aca="false">HYPERLINK("https://lindat.mff.cuni.cz/services/SynSemClass55/SynSemClass55.html?veclass=vec01613", "vec01613 / unavit (v41mqbA)")</f>
        <v>vec01613 / unavit (v41mqbA)</v>
      </c>
      <c r="AA350" s="0" t="n">
        <v>0.05002</v>
      </c>
      <c r="AB350" s="5" t="s">
        <v>30</v>
      </c>
      <c r="AE350" s="0" t="str">
        <f aca="false">HYPERLINK("https://lindat.mff.cuni.cz/services/SynSemClass55/SynSemClass55.html?veclass=vec00372", "vec00372 / zasáhnout (v41qjyA)")</f>
        <v>vec00372 / zasáhnout (v41qjyA)</v>
      </c>
      <c r="AF350" s="0" t="n">
        <v>0.04991</v>
      </c>
      <c r="AG350" s="5" t="s">
        <v>30</v>
      </c>
    </row>
    <row r="352" customFormat="false" ht="12.75" hidden="false" customHeight="false" outlineLevel="0" collapsed="false">
      <c r="A352" s="0" t="str">
        <f aca="false">HYPERLINK("https://lindat.mff.cuni.cz/services/PDT-Vallex4.5/PDT-Vallex4.5.html?verb=ptát se", "ptát se")</f>
        <v>ptát se</v>
      </c>
      <c r="B352" s="0" t="str">
        <f aca="false">HYPERLINK("https://lindat.mff.cuni.cz/services/PDT-Vallex4.5/PDT-Vallex4.5.html?verb=ptát se#v41jdfB", "v41jdfB")</f>
        <v>v41jdfB</v>
      </c>
      <c r="E352" s="0" t="n">
        <v>5000</v>
      </c>
      <c r="F352" s="0" t="n">
        <v>0.93034</v>
      </c>
      <c r="G352" s="1" t="s">
        <v>137</v>
      </c>
      <c r="K352" s="0" t="str">
        <f aca="false">HYPERLINK("https://lindat.mff.cuni.cz/services/SynSemClass55/SynSemClass55.html?veclass=vec00384", "vec00384 / zeptat se (v41raoA)")</f>
        <v>vec00384 / zeptat se (v41raoA)</v>
      </c>
      <c r="L352" s="0" t="n">
        <v>0.93034</v>
      </c>
      <c r="M352" s="5" t="s">
        <v>30</v>
      </c>
      <c r="P352" s="0" t="str">
        <f aca="false">HYPERLINK("https://lindat.mff.cuni.cz/services/SynSemClass55/SynSemClass55.html?veclass=vec01529", "vec01529 / špitnout (v41lutA)")</f>
        <v>vec01529 / špitnout (v41lutA)</v>
      </c>
      <c r="Q352" s="0" t="n">
        <v>0.01946</v>
      </c>
      <c r="R352" s="5" t="s">
        <v>30</v>
      </c>
      <c r="U352" s="0" t="str">
        <f aca="false">HYPERLINK("https://lindat.mff.cuni.cz/services/SynSemClass55/SynSemClass55.html?veclass=vec00499", "vec00499 / přidat (v41ipvA)")</f>
        <v>vec00499 / přidat (v41ipvA)</v>
      </c>
      <c r="V352" s="0" t="n">
        <v>0.00719</v>
      </c>
      <c r="W352" s="5" t="s">
        <v>30</v>
      </c>
      <c r="Z352" s="0" t="str">
        <f aca="false">HYPERLINK("https://lindat.mff.cuni.cz/services/SynSemClass55/SynSemClass55.html?veclass=vec01301", "vec01301 / přitvrdit (v41javA)")</f>
        <v>vec01301 / přitvrdit (v41javA)</v>
      </c>
      <c r="AA352" s="0" t="n">
        <v>0.00698</v>
      </c>
      <c r="AB352" s="5" t="s">
        <v>30</v>
      </c>
      <c r="AE352" s="0" t="str">
        <f aca="false">HYPERLINK("https://lindat.mff.cuni.cz/services/SynSemClass55/SynSemClass55.html?veclass=vec00250", "vec00250 / odpovídat (v41egyF)")</f>
        <v>vec00250 / odpovídat (v41egyF)</v>
      </c>
      <c r="AF352" s="0" t="n">
        <v>0.00641</v>
      </c>
      <c r="AG352" s="5" t="s">
        <v>30</v>
      </c>
    </row>
    <row r="354" customFormat="false" ht="12.75" hidden="false" customHeight="false" outlineLevel="0" collapsed="false">
      <c r="A354" s="0" t="str">
        <f aca="false">HYPERLINK("https://lindat.mff.cuni.cz/services/PDT-Vallex4.5/PDT-Vallex4.5.html?verb=racionalizovat", "racionalizovat")</f>
        <v>racionalizovat</v>
      </c>
      <c r="B354" s="0" t="str">
        <f aca="false">HYPERLINK("https://lindat.mff.cuni.cz/services/PDT-Vallex4.5/PDT-Vallex4.5.html?verb=racionalizovat#v41jeoA", "v41jeoA")</f>
        <v>v41jeoA</v>
      </c>
      <c r="E354" s="0" t="n">
        <v>3</v>
      </c>
      <c r="F354" s="0" t="n">
        <v>0.07513</v>
      </c>
      <c r="G354" s="1" t="s">
        <v>138</v>
      </c>
      <c r="I354" s="6" t="s">
        <v>139</v>
      </c>
      <c r="K354" s="0" t="str">
        <f aca="false">HYPERLINK("https://lindat.mff.cuni.cz/services/SynSemClass55/SynSemClass55.html?veclass=vec00801", "vec00801 / bagatelizovat (v41dnA)")</f>
        <v>vec00801 / bagatelizovat (v41dnA)</v>
      </c>
      <c r="L354" s="0" t="n">
        <v>0.07513</v>
      </c>
      <c r="M354" s="5" t="s">
        <v>30</v>
      </c>
      <c r="P354" s="0" t="str">
        <f aca="false">HYPERLINK("https://lindat.mff.cuni.cz/services/SynSemClass55/SynSemClass55.html?veclass=vec01361", "vec01361 / vyvodit (v41pgzA)")</f>
        <v>vec01361 / vyvodit (v41pgzA)</v>
      </c>
      <c r="Q354" s="0" t="n">
        <v>0.03735</v>
      </c>
      <c r="R354" s="5" t="s">
        <v>30</v>
      </c>
      <c r="U354" s="0" t="str">
        <f aca="false">HYPERLINK("https://lindat.mff.cuni.cz/services/SynSemClass55/SynSemClass55.html?veclass=vec01184", "vec01184 / zobecňovat (v41rqhA)")</f>
        <v>vec01184 / zobecňovat (v41rqhA)</v>
      </c>
      <c r="V354" s="0" t="n">
        <v>0.03502</v>
      </c>
      <c r="W354" s="5" t="s">
        <v>30</v>
      </c>
      <c r="Z354" s="0" t="str">
        <f aca="false">HYPERLINK("https://lindat.mff.cuni.cz/services/SynSemClass55/SynSemClass55.html?veclass=vec00464", "vec00464 / ospravedlňovat (v41fakA)")</f>
        <v>vec00464 / ospravedlňovat (v41fakA)</v>
      </c>
      <c r="AA354" s="0" t="n">
        <v>0.03369</v>
      </c>
      <c r="AB354" s="5" t="s">
        <v>30</v>
      </c>
      <c r="AE354" s="0" t="str">
        <f aca="false">HYPERLINK("https://lindat.mff.cuni.cz/services/SynSemClass55/SynSemClass55.html?veclass=vec00201", "vec00201 / argumentovat (v41ceA)")</f>
        <v>vec00201 / argumentovat (v41ceA)</v>
      </c>
      <c r="AF354" s="0" t="n">
        <v>0.03195</v>
      </c>
      <c r="AG354" s="5" t="s">
        <v>30</v>
      </c>
    </row>
    <row r="356" customFormat="false" ht="12.75" hidden="false" customHeight="false" outlineLevel="0" collapsed="false">
      <c r="A356" s="0" t="str">
        <f aca="false">HYPERLINK("https://lindat.mff.cuni.cz/services/PDT-Vallex4.5/PDT-Vallex4.5.html?verb=ranit", "ranit")</f>
        <v>ranit</v>
      </c>
      <c r="B356" s="0" t="str">
        <f aca="false">HYPERLINK("https://lindat.mff.cuni.cz/services/PDT-Vallex4.5/PDT-Vallex4.5.html?verb=ranit#v41jffA", "v41jffA")</f>
        <v>v41jffA</v>
      </c>
      <c r="E356" s="0" t="n">
        <v>505</v>
      </c>
      <c r="F356" s="0" t="n">
        <v>0.34654</v>
      </c>
      <c r="G356" s="1" t="s">
        <v>140</v>
      </c>
      <c r="K356" s="0" t="str">
        <f aca="false">HYPERLINK("https://lindat.mff.cuni.cz/services/SynSemClass55/SynSemClass55.html?veclass=vec00372", "vec00372 / zasáhnout (v41qjyA)")</f>
        <v>vec00372 / zasáhnout (v41qjyA)</v>
      </c>
      <c r="L356" s="0" t="n">
        <v>0.34654</v>
      </c>
      <c r="M356" s="5" t="s">
        <v>30</v>
      </c>
      <c r="P356" s="0" t="str">
        <f aca="false">HYPERLINK("https://lindat.mff.cuni.cz/services/SynSemClass55/SynSemClass55.html?veclass=vec01656", "vec01656 / postřelit (v41gobA)")</f>
        <v>vec01656 / postřelit (v41gobA)</v>
      </c>
      <c r="Q356" s="0" t="n">
        <v>0.17814</v>
      </c>
      <c r="R356" s="5" t="s">
        <v>30</v>
      </c>
      <c r="U356" s="0" t="str">
        <f aca="false">HYPERLINK("https://lindat.mff.cuni.cz/services/SynSemClass55/SynSemClass55.html?veclass=vec01820", "vec01820 / poranit se (v41givA)")</f>
        <v>vec01820 / poranit se (v41givA)</v>
      </c>
      <c r="V356" s="0" t="n">
        <v>0.10919</v>
      </c>
      <c r="W356" s="5" t="s">
        <v>30</v>
      </c>
      <c r="Z356" s="0" t="str">
        <f aca="false">HYPERLINK("https://lindat.mff.cuni.cz/services/SynSemClass55/SynSemClass55.html?veclass=vec01488", "vec01488 / boxovat (v41hkA)")</f>
        <v>vec01488 / boxovat (v41hkA)</v>
      </c>
      <c r="AA356" s="0" t="n">
        <v>0.03356</v>
      </c>
      <c r="AB356" s="5" t="s">
        <v>30</v>
      </c>
      <c r="AE356" s="0" t="str">
        <f aca="false">HYPERLINK("https://lindat.mff.cuni.cz/services/SynSemClass55/SynSemClass55.html?veclass=vec00992", "vec00992 / zbít (v41qvwA)")</f>
        <v>vec00992 / zbít (v41qvwA)</v>
      </c>
      <c r="AF356" s="0" t="n">
        <v>0.0272</v>
      </c>
      <c r="AG356" s="5" t="s">
        <v>30</v>
      </c>
    </row>
    <row r="358" customFormat="false" ht="12.75" hidden="false" customHeight="false" outlineLevel="0" collapsed="false">
      <c r="A358" s="0" t="str">
        <f aca="false">HYPERLINK("https://lindat.mff.cuni.cz/services/PDT-Vallex4.5/PDT-Vallex4.5.html?verb=razítkovat", "razítkovat")</f>
        <v>razítkovat</v>
      </c>
      <c r="B358" s="0" t="str">
        <f aca="false">HYPERLINK("https://lindat.mff.cuni.cz/services/PDT-Vallex4.5/PDT-Vallex4.5.html?verb=razítkovat#v41jfjA", "v41jfjA")</f>
        <v>v41jfjA</v>
      </c>
      <c r="E358" s="0" t="n">
        <v>10</v>
      </c>
      <c r="F358" s="0" t="n">
        <v>0.37388</v>
      </c>
      <c r="G358" s="1" t="s">
        <v>31</v>
      </c>
      <c r="K358" s="0" t="str">
        <f aca="false">HYPERLINK("https://lindat.mff.cuni.cz/services/SynSemClass55/SynSemClass55.html?veclass=vec00858", "vec00858 / orazítkovat (v41exyA)")</f>
        <v>vec00858 / orazítkovat (v41exyA)</v>
      </c>
      <c r="L358" s="0" t="n">
        <v>0.37388</v>
      </c>
      <c r="M358" s="5" t="s">
        <v>33</v>
      </c>
      <c r="P358" s="0" t="str">
        <f aca="false">HYPERLINK("https://lindat.mff.cuni.cz/services/SynSemClass55/SynSemClass55.html?veclass=vec01479", "vec01479 / zalepit (v41pziB)")</f>
        <v>vec01479 / zalepit (v41pziB)</v>
      </c>
      <c r="Q358" s="0" t="n">
        <v>0.03137</v>
      </c>
      <c r="R358" s="5" t="s">
        <v>30</v>
      </c>
      <c r="U358" s="0" t="str">
        <f aca="false">HYPERLINK("https://lindat.mff.cuni.cz/services/SynSemClass55/SynSemClass55.html?veclass=vec01855", "vec01855 / přetisknout (v41ilfA)")</f>
        <v>vec01855 / přetisknout (v41ilfA)</v>
      </c>
      <c r="V358" s="0" t="n">
        <v>0.02944</v>
      </c>
      <c r="W358" s="5" t="s">
        <v>30</v>
      </c>
      <c r="Z358" s="0" t="str">
        <f aca="false">HYPERLINK("https://lindat.mff.cuni.cz/services/SynSemClass55/SynSemClass55.html?veclass=vec00962", "vec00962 / vymazat (v41ojwA)")</f>
        <v>vec00962 / vymazat (v41ojwA)</v>
      </c>
      <c r="AA358" s="0" t="n">
        <v>0.02453</v>
      </c>
      <c r="AB358" s="5" t="s">
        <v>30</v>
      </c>
      <c r="AE358" s="0" t="str">
        <f aca="false">HYPERLINK("https://lindat.mff.cuni.cz/services/SynSemClass55/SynSemClass55.html?veclass=vec01341", "vec01341 / uvěřit (v41ndiA)")</f>
        <v>vec01341 / uvěřit (v41ndiA)</v>
      </c>
      <c r="AF358" s="0" t="n">
        <v>0.02204</v>
      </c>
      <c r="AG358" s="5" t="s">
        <v>30</v>
      </c>
    </row>
    <row r="360" customFormat="false" ht="12.75" hidden="false" customHeight="false" outlineLevel="0" collapsed="false">
      <c r="A360" s="0" t="str">
        <f aca="false">HYPERLINK("https://lindat.mff.cuni.cz/services/PDT-Vallex4.5/PDT-Vallex4.5.html?verb=referovat", "referovat")</f>
        <v>referovat</v>
      </c>
      <c r="B360" s="0" t="str">
        <f aca="false">HYPERLINK("https://lindat.mff.cuni.cz/services/PDT-Vallex4.5/PDT-Vallex4.5.html?verb=referovat#v41jgtA", "v41jgtA")</f>
        <v>v41jgtA</v>
      </c>
      <c r="E360" s="0" t="n">
        <v>165</v>
      </c>
      <c r="F360" s="0" t="n">
        <v>0.60752</v>
      </c>
      <c r="G360" s="1" t="s">
        <v>31</v>
      </c>
      <c r="K360" s="0" t="str">
        <f aca="false">HYPERLINK("https://lindat.mff.cuni.cz/services/SynSemClass55/SynSemClass55.html?veclass=vec00060", "vec00060 / oznámit (v41fgeD)")</f>
        <v>vec00060 / oznámit (v41fgeD)</v>
      </c>
      <c r="L360" s="0" t="n">
        <v>0.60752</v>
      </c>
      <c r="M360" s="5" t="s">
        <v>33</v>
      </c>
      <c r="P360" s="0" t="str">
        <f aca="false">HYPERLINK("https://lindat.mff.cuni.cz/services/SynSemClass55/SynSemClass55.html?veclass=vec01353", "vec01353 / vyprávět (v41orhA)")</f>
        <v>vec01353 / vyprávět (v41orhA)</v>
      </c>
      <c r="Q360" s="0" t="n">
        <v>0.15432</v>
      </c>
      <c r="R360" s="5" t="s">
        <v>30</v>
      </c>
      <c r="U360" s="0" t="str">
        <f aca="false">HYPERLINK("https://lindat.mff.cuni.cz/services/SynSemClass55/SynSemClass55.html?veclass=vec00031", "vec00031 / mluvit (v41chxD)")</f>
        <v>vec00031 / mluvit (v41chxD)</v>
      </c>
      <c r="V360" s="0" t="n">
        <v>0.034</v>
      </c>
      <c r="W360" s="5" t="s">
        <v>30</v>
      </c>
      <c r="Z360" s="0" t="str">
        <f aca="false">HYPERLINK("https://lindat.mff.cuni.cz/services/SynSemClass55/SynSemClass55.html?veclass=vec00561", "vec00561 / vypovídat (v41oqqF)")</f>
        <v>vec00561 / vypovídat (v41oqqF)</v>
      </c>
      <c r="AA360" s="0" t="n">
        <v>0.02259</v>
      </c>
      <c r="AB360" s="5" t="s">
        <v>30</v>
      </c>
      <c r="AE360" s="0" t="str">
        <f aca="false">HYPERLINK("https://lindat.mff.cuni.cz/services/SynSemClass55/SynSemClass55.html?veclass=vec00994", "vec00994 / zmínit se (v41rkqB)")</f>
        <v>vec00994 / zmínit se (v41rkqB)</v>
      </c>
      <c r="AF360" s="0" t="n">
        <v>0.0141</v>
      </c>
      <c r="AG360" s="5" t="s">
        <v>34</v>
      </c>
    </row>
    <row r="362" customFormat="false" ht="12.75" hidden="false" customHeight="false" outlineLevel="0" collapsed="false">
      <c r="A362" s="0" t="str">
        <f aca="false">HYPERLINK("https://lindat.mff.cuni.cz/services/PDT-Vallex4.5/PDT-Vallex4.5.html?verb=rotovat", "rotovat")</f>
        <v>rotovat</v>
      </c>
      <c r="B362" s="0" t="str">
        <f aca="false">HYPERLINK("https://lindat.mff.cuni.cz/services/PDT-Vallex4.5/PDT-Vallex4.5.html?verb=rotovat#v41jlhA", "v41jlhA")</f>
        <v>v41jlhA</v>
      </c>
      <c r="E362" s="0" t="n">
        <v>73</v>
      </c>
      <c r="F362" s="0" t="n">
        <v>0.16229</v>
      </c>
      <c r="G362" s="1" t="s">
        <v>31</v>
      </c>
      <c r="K362" s="0" t="str">
        <f aca="false">HYPERLINK("https://lindat.mff.cuni.cz/services/SynSemClass55/SynSemClass55.html?veclass=vec00626", "vec00626 / kymácet se (v41bxpA)")</f>
        <v>vec00626 / kymácet se (v41bxpA)</v>
      </c>
      <c r="L362" s="0" t="n">
        <v>0.16229</v>
      </c>
      <c r="M362" s="5" t="s">
        <v>30</v>
      </c>
      <c r="P362" s="0" t="str">
        <f aca="false">HYPERLINK("https://lindat.mff.cuni.cz/services/SynSemClass55/SynSemClass55.html?veclass=vec00831", "vec00831 / kroužit (v41bvnA)")</f>
        <v>vec00831 / kroužit (v41bvnA)</v>
      </c>
      <c r="Q362" s="0" t="n">
        <v>0.14951</v>
      </c>
      <c r="R362" s="5" t="s">
        <v>34</v>
      </c>
      <c r="U362" s="0" t="str">
        <f aca="false">HYPERLINK("https://lindat.mff.cuni.cz/services/SynSemClass55/SynSemClass55.html?veclass=vec01566", "vec01566 / míhat se (v41cgbA)")</f>
        <v>vec01566 / míhat se (v41cgbA)</v>
      </c>
      <c r="V362" s="0" t="n">
        <v>0.10689</v>
      </c>
      <c r="W362" s="5" t="s">
        <v>30</v>
      </c>
      <c r="Z362" s="0" t="str">
        <f aca="false">HYPERLINK("https://lindat.mff.cuni.cz/services/SynSemClass55/SynSemClass55.html?veclass=vec01147", "vec01147 / vlnit se (v41nnjA)")</f>
        <v>vec01147 / vlnit se (v41nnjA)</v>
      </c>
      <c r="AA362" s="0" t="n">
        <v>0.05264</v>
      </c>
      <c r="AB362" s="5" t="s">
        <v>30</v>
      </c>
      <c r="AE362" s="0" t="str">
        <f aca="false">HYPERLINK("https://lindat.mff.cuni.cz/services/SynSemClass55/SynSemClass55.html?veclass=vec01634", "vec01634 / zmítat se (v41rldA)")</f>
        <v>vec01634 / zmítat se (v41rldA)</v>
      </c>
      <c r="AF362" s="0" t="n">
        <v>0.05169</v>
      </c>
      <c r="AG362" s="5" t="s">
        <v>30</v>
      </c>
    </row>
    <row r="364" customFormat="false" ht="12.75" hidden="false" customHeight="false" outlineLevel="0" collapsed="false">
      <c r="A364" s="0" t="str">
        <f aca="false">HYPERLINK("https://lindat.mff.cuni.cz/services/PDT-Vallex4.5/PDT-Vallex4.5.html?verb=rozesílat", "rozesílat")</f>
        <v>rozesílat</v>
      </c>
      <c r="B364" s="0" t="str">
        <f aca="false">HYPERLINK("https://lindat.mff.cuni.cz/services/PDT-Vallex4.5/PDT-Vallex4.5.html?verb=rozesílat#v41joyB", "v41joyB")</f>
        <v>v41joyB</v>
      </c>
      <c r="E364" s="0" t="n">
        <v>67</v>
      </c>
      <c r="F364" s="0" t="n">
        <v>0.96379</v>
      </c>
      <c r="G364" s="1" t="s">
        <v>31</v>
      </c>
      <c r="K364" s="0" t="str">
        <f aca="false">HYPERLINK("https://lindat.mff.cuni.cz/services/SynSemClass55/SynSemClass55.html?veclass=vec00209", "vec00209 / distribuovat (v41uwB)")</f>
        <v>vec00209 / distribuovat (v41uwB)</v>
      </c>
      <c r="L364" s="0" t="n">
        <v>0.96379</v>
      </c>
      <c r="M364" s="5" t="s">
        <v>33</v>
      </c>
      <c r="P364" s="0" t="str">
        <f aca="false">HYPERLINK("https://lindat.mff.cuni.cz/services/SynSemClass55/SynSemClass55.html?veclass=vec01795", "vec01795 / odbavovat (v41dvtA)")</f>
        <v>vec01795 / odbavovat (v41dvtA)</v>
      </c>
      <c r="Q364" s="0" t="n">
        <v>0.01144</v>
      </c>
      <c r="R364" s="5" t="s">
        <v>30</v>
      </c>
      <c r="U364" s="0" t="str">
        <f aca="false">HYPERLINK("https://lindat.mff.cuni.cz/services/SynSemClass55/SynSemClass55.html?veclass=vec01491", "vec01491 / fasovat (v41appA)")</f>
        <v>vec01491 / fasovat (v41appA)</v>
      </c>
      <c r="V364" s="0" t="n">
        <v>0.0095</v>
      </c>
      <c r="W364" s="5" t="s">
        <v>30</v>
      </c>
      <c r="Z364" s="0" t="str">
        <f aca="false">HYPERLINK("https://lindat.mff.cuni.cz/services/SynSemClass55/SynSemClass55.html?veclass=vec00060", "vec00060 / oznámit (v41fgeD)")</f>
        <v>vec00060 / oznámit (v41fgeD)</v>
      </c>
      <c r="AA364" s="0" t="n">
        <v>0.00763</v>
      </c>
      <c r="AB364" s="5" t="s">
        <v>30</v>
      </c>
      <c r="AE364" s="0" t="str">
        <f aca="false">HYPERLINK("https://lindat.mff.cuni.cz/services/SynSemClass55/SynSemClass55.html?veclass=vec01665", "vec01665 / přenášet se (v41ifcA)")</f>
        <v>vec01665 / přenášet se (v41ifcA)</v>
      </c>
      <c r="AF364" s="0" t="n">
        <v>0.00739</v>
      </c>
      <c r="AG364" s="5" t="s">
        <v>30</v>
      </c>
    </row>
    <row r="366" customFormat="false" ht="12.75" hidden="false" customHeight="false" outlineLevel="0" collapsed="false">
      <c r="A366" s="0" t="str">
        <f aca="false">HYPERLINK("https://lindat.mff.cuni.cz/services/PDT-Vallex4.5/PDT-Vallex4.5.html?verb=rozežrat", "rozežrat")</f>
        <v>rozežrat</v>
      </c>
      <c r="B366" s="0" t="str">
        <f aca="false">HYPERLINK("https://lindat.mff.cuni.cz/services/PDT-Vallex4.5/PDT-Vallex4.5.html?verb=rozežrat#v41jptA", "v41jptA")</f>
        <v>v41jptA</v>
      </c>
      <c r="E366" s="0" t="n">
        <v>20</v>
      </c>
      <c r="F366" s="0" t="n">
        <v>0.14713</v>
      </c>
      <c r="G366" s="1" t="s">
        <v>98</v>
      </c>
      <c r="K366" s="0" t="str">
        <f aca="false">HYPERLINK("https://lindat.mff.cuni.cz/services/SynSemClass55/SynSemClass55.html?veclass=vec00576", "vec00576 / zaplavit (v41qflC)")</f>
        <v>vec00576 / zaplavit (v41qflC)</v>
      </c>
      <c r="L366" s="0" t="n">
        <v>0.14713</v>
      </c>
      <c r="M366" s="5" t="s">
        <v>30</v>
      </c>
      <c r="P366" s="0" t="str">
        <f aca="false">HYPERLINK("https://lindat.mff.cuni.cz/services/SynSemClass55/SynSemClass55.html?veclass=vec01514", "vec01514 / předávkovat (v41hvjA)")</f>
        <v>vec01514 / předávkovat (v41hvjA)</v>
      </c>
      <c r="Q366" s="0" t="n">
        <v>0.13118</v>
      </c>
      <c r="R366" s="5" t="s">
        <v>30</v>
      </c>
      <c r="U366" s="0" t="str">
        <f aca="false">HYPERLINK("https://lindat.mff.cuni.cz/services/SynSemClass55/SynSemClass55.html?veclass=vec00828", "vec00828 / jíst (v41bifB)")</f>
        <v>vec00828 / jíst (v41bifB)</v>
      </c>
      <c r="V366" s="0" t="n">
        <v>0.10702</v>
      </c>
      <c r="W366" s="5" t="s">
        <v>30</v>
      </c>
      <c r="Z366" s="0" t="str">
        <f aca="false">HYPERLINK("https://lindat.mff.cuni.cz/services/SynSemClass55/SynSemClass55.html?veclass=vec00790", "vec00790 / zkazit se (v41rfkA)")</f>
        <v>vec00790 / zkazit se (v41rfkA)</v>
      </c>
      <c r="AA366" s="0" t="n">
        <v>0.10601</v>
      </c>
      <c r="AB366" s="5" t="s">
        <v>30</v>
      </c>
      <c r="AE366" s="0" t="str">
        <f aca="false">HYPERLINK("https://lindat.mff.cuni.cz/services/SynSemClass55/SynSemClass55.html?veclass=vec00785", "vec00785 / zhoršit (v41rcrA)")</f>
        <v>vec00785 / zhoršit (v41rcrA)</v>
      </c>
      <c r="AF366" s="0" t="n">
        <v>0.04362</v>
      </c>
      <c r="AG366" s="5" t="s">
        <v>30</v>
      </c>
    </row>
    <row r="368" customFormat="false" ht="12.75" hidden="false" customHeight="false" outlineLevel="0" collapsed="false">
      <c r="A368" s="0" t="str">
        <f aca="false">HYPERLINK("https://lindat.mff.cuni.cz/services/PDT-Vallex4.5/PDT-Vallex4.5.html?verb=rozfázovat", "rozfázovat")</f>
        <v>rozfázovat</v>
      </c>
      <c r="B368" s="0" t="str">
        <f aca="false">HYPERLINK("https://lindat.mff.cuni.cz/services/PDT-Vallex4.5/PDT-Vallex4.5.html?verb=rozfázovat#v41jpuA", "v41jpuA")</f>
        <v>v41jpuA</v>
      </c>
      <c r="E368" s="0" t="n">
        <v>2</v>
      </c>
      <c r="F368" s="0" t="n">
        <v>0.26674</v>
      </c>
      <c r="G368" s="1" t="n">
        <v>0</v>
      </c>
      <c r="I368" s="1" t="s">
        <v>141</v>
      </c>
      <c r="K368" s="0" t="str">
        <f aca="false">HYPERLINK("https://lindat.mff.cuni.cz/services/SynSemClass55/SynSemClass55.html?veclass=vec00296", "vec00296 / rozdělit (v41jniC)")</f>
        <v>vec00296 / rozdělit (v41jniC)</v>
      </c>
      <c r="L368" s="0" t="n">
        <v>0.26674</v>
      </c>
      <c r="M368" s="5" t="s">
        <v>30</v>
      </c>
      <c r="P368" s="0" t="str">
        <f aca="false">HYPERLINK("https://lindat.mff.cuni.cz/services/SynSemClass55/SynSemClass55.html?veclass=vec01444", "vec01444 / skládat (v41kqdC)")</f>
        <v>vec01444 / skládat (v41kqdC)</v>
      </c>
      <c r="Q368" s="0" t="n">
        <v>0.14045</v>
      </c>
      <c r="R368" s="5" t="s">
        <v>30</v>
      </c>
      <c r="U368" s="0" t="str">
        <f aca="false">HYPERLINK("https://lindat.mff.cuni.cz/services/SynSemClass55/SynSemClass55.html?veclass=vec01744", "vec01744 / chátrat (v41bawA)")</f>
        <v>vec01744 / chátrat (v41bawA)</v>
      </c>
      <c r="V368" s="0" t="n">
        <v>0.09047</v>
      </c>
      <c r="W368" s="5" t="s">
        <v>30</v>
      </c>
      <c r="Z368" s="0" t="str">
        <f aca="false">HYPERLINK("https://lindat.mff.cuni.cz/services/SynSemClass55/SynSemClass55.html?veclass=vec01876", "vec01876 / rozpracovávat (v41jwrA)")</f>
        <v>vec01876 / rozpracovávat (v41jwrA)</v>
      </c>
      <c r="AA368" s="0" t="n">
        <v>0.0686</v>
      </c>
      <c r="AB368" s="5" t="s">
        <v>30</v>
      </c>
      <c r="AE368" s="0" t="str">
        <f aca="false">HYPERLINK("https://lindat.mff.cuni.cz/services/SynSemClass55/SynSemClass55.html?veclass=vec01576", "vec01576 / narovnat (v41czjA)")</f>
        <v>vec01576 / narovnat (v41czjA)</v>
      </c>
      <c r="AF368" s="0" t="n">
        <v>0.06068</v>
      </c>
      <c r="AG368" s="5" t="s">
        <v>30</v>
      </c>
    </row>
    <row r="370" customFormat="false" ht="12.75" hidden="false" customHeight="false" outlineLevel="0" collapsed="false">
      <c r="A370" s="0" t="str">
        <f aca="false">HYPERLINK("https://lindat.mff.cuni.cz/services/PDT-Vallex4.5/PDT-Vallex4.5.html?verb=rozhlédnout se", "rozhlédnout se")</f>
        <v>rozhlédnout se</v>
      </c>
      <c r="B370" s="0" t="str">
        <f aca="false">HYPERLINK("https://lindat.mff.cuni.cz/services/PDT-Vallex4.5/PDT-Vallex4.5.html?verb=rozhlédnout se#v41jqbA", "v41jqbA")</f>
        <v>v41jqbA</v>
      </c>
      <c r="E370" s="0" t="n">
        <v>3884</v>
      </c>
      <c r="F370" s="0" t="n">
        <v>0.92458</v>
      </c>
      <c r="G370" s="1" t="s">
        <v>142</v>
      </c>
      <c r="K370" s="0" t="str">
        <f aca="false">HYPERLINK("https://lindat.mff.cuni.cz/services/SynSemClass55/SynSemClass55.html?veclass=vec01263", "vec01263 / porozhlédnout se (v41gjlB)")</f>
        <v>vec01263 / porozhlédnout se (v41gjlB)</v>
      </c>
      <c r="L370" s="0" t="n">
        <v>0.92458</v>
      </c>
      <c r="M370" s="5" t="s">
        <v>30</v>
      </c>
      <c r="P370" s="0" t="str">
        <f aca="false">HYPERLINK("https://lindat.mff.cuni.cz/services/SynSemClass55/SynSemClass55.html?veclass=vec00869", "vec00869 / podívat se (v41fsdH)")</f>
        <v>vec00869 / podívat se (v41fsdH)</v>
      </c>
      <c r="Q370" s="0" t="n">
        <v>0.05221</v>
      </c>
      <c r="R370" s="5" t="s">
        <v>30</v>
      </c>
      <c r="U370" s="0" t="str">
        <f aca="false">HYPERLINK("https://lindat.mff.cuni.cz/services/SynSemClass55/SynSemClass55.html?veclass=vec01224", "vec01224 / listovat (v41cbiA)")</f>
        <v>vec01224 / listovat (v41cbiA)</v>
      </c>
      <c r="V370" s="0" t="n">
        <v>0.04682</v>
      </c>
      <c r="W370" s="5" t="s">
        <v>30</v>
      </c>
      <c r="Z370" s="0" t="str">
        <f aca="false">HYPERLINK("https://lindat.mff.cuni.cz/services/SynSemClass55/SynSemClass55.html?veclass=vec01515", "vec01515 / přeměřovat (v41iegA)")</f>
        <v>vec01515 / přeměřovat (v41iegA)</v>
      </c>
      <c r="AA370" s="0" t="n">
        <v>0.04148</v>
      </c>
      <c r="AB370" s="5" t="s">
        <v>30</v>
      </c>
      <c r="AE370" s="0" t="str">
        <f aca="false">HYPERLINK("https://lindat.mff.cuni.cz/services/SynSemClass55/SynSemClass55.html?veclass=vec00687", "vec00687 / pronásledovat (v41hiyA)")</f>
        <v>vec00687 / pronásledovat (v41hiyA)</v>
      </c>
      <c r="AF370" s="0" t="n">
        <v>0.02439</v>
      </c>
      <c r="AG370" s="5" t="s">
        <v>30</v>
      </c>
    </row>
    <row r="372" customFormat="false" ht="12.75" hidden="false" customHeight="false" outlineLevel="0" collapsed="false">
      <c r="A372" s="0" t="str">
        <f aca="false">HYPERLINK("https://lindat.mff.cuni.cz/services/PDT-Vallex4.5/PDT-Vallex4.5.html?verb=rozchvátit", "rozchvátit")</f>
        <v>rozchvátit</v>
      </c>
      <c r="B372" s="0" t="str">
        <f aca="false">HYPERLINK("https://lindat.mff.cuni.cz/services/PDT-Vallex4.5/PDT-Vallex4.5.html?verb=rozchvátit#v41jrhA", "v41jrhA")</f>
        <v>v41jrhA</v>
      </c>
      <c r="E372" s="0" t="n">
        <v>3</v>
      </c>
      <c r="F372" s="0" t="n">
        <v>0.0693</v>
      </c>
      <c r="G372" s="1" t="s">
        <v>143</v>
      </c>
      <c r="K372" s="0" t="str">
        <f aca="false">HYPERLINK("https://lindat.mff.cuni.cz/services/SynSemClass55/SynSemClass55.html?veclass=vec01219", "vec01219 / klouzat (v41bmaA)")</f>
        <v>vec01219 / klouzat (v41bmaA)</v>
      </c>
      <c r="L372" s="0" t="n">
        <v>0.0693</v>
      </c>
      <c r="M372" s="5" t="s">
        <v>30</v>
      </c>
      <c r="P372" s="0" t="str">
        <f aca="false">HYPERLINK("https://lindat.mff.cuni.cz/services/SynSemClass55/SynSemClass55.html?veclass=vec01874", "vec01874 / rozkřičet (v41jsfA)")</f>
        <v>vec01874 / rozkřičet (v41jsfA)</v>
      </c>
      <c r="Q372" s="0" t="n">
        <v>0.06771</v>
      </c>
      <c r="R372" s="5" t="s">
        <v>30</v>
      </c>
      <c r="U372" s="0" t="str">
        <f aca="false">HYPERLINK("https://lindat.mff.cuni.cz/services/SynSemClass55/SynSemClass55.html?veclass=vec01147", "vec01147 / vlnit se (v41nnjA)")</f>
        <v>vec01147 / vlnit se (v41nnjA)</v>
      </c>
      <c r="V372" s="0" t="n">
        <v>0.06587</v>
      </c>
      <c r="W372" s="5" t="s">
        <v>30</v>
      </c>
      <c r="Z372" s="0" t="str">
        <f aca="false">HYPERLINK("https://lindat.mff.cuni.cz/services/SynSemClass55/SynSemClass55.html?veclass=vec01744", "vec01744 / chátrat (v41bawA)")</f>
        <v>vec01744 / chátrat (v41bawA)</v>
      </c>
      <c r="AA372" s="0" t="n">
        <v>0.05517</v>
      </c>
      <c r="AB372" s="5" t="s">
        <v>30</v>
      </c>
      <c r="AE372" s="0" t="str">
        <f aca="false">HYPERLINK("https://lindat.mff.cuni.cz/services/SynSemClass55/SynSemClass55.html?veclass=vec00915", "vec00915 / rozvířit (v41kbpA)")</f>
        <v>vec00915 / rozvířit (v41kbpA)</v>
      </c>
      <c r="AF372" s="0" t="n">
        <v>0.05395</v>
      </c>
      <c r="AG372" s="5" t="s">
        <v>30</v>
      </c>
    </row>
    <row r="374" customFormat="false" ht="12.75" hidden="false" customHeight="false" outlineLevel="0" collapsed="false">
      <c r="A374" s="0" t="str">
        <f aca="false">HYPERLINK("https://lindat.mff.cuni.cz/services/PDT-Vallex4.5/PDT-Vallex4.5.html?verb=rozjet", "rozjet")</f>
        <v>rozjet</v>
      </c>
      <c r="B374" s="0" t="str">
        <f aca="false">HYPERLINK("https://lindat.mff.cuni.cz/services/PDT-Vallex4.5/PDT-Vallex4.5.html?verb=rozjet#v41jrkA", "v41jrkA")</f>
        <v>v41jrkA</v>
      </c>
      <c r="E374" s="0" t="n">
        <v>1632</v>
      </c>
      <c r="F374" s="0" t="n">
        <v>0.08765</v>
      </c>
      <c r="G374" s="1" t="s">
        <v>31</v>
      </c>
      <c r="K374" s="0" t="str">
        <f aca="false">HYPERLINK("https://lindat.mff.cuni.cz/services/SynSemClass55/SynSemClass55.html?veclass=vec00038", "vec00038 / nastartovat (v41dcfA)")</f>
        <v>vec00038 / nastartovat (v41dcfA)</v>
      </c>
      <c r="L374" s="0" t="n">
        <v>0.08765</v>
      </c>
      <c r="M374" s="5" t="s">
        <v>34</v>
      </c>
      <c r="N374" s="0" t="s">
        <v>144</v>
      </c>
      <c r="P374" s="0" t="str">
        <f aca="false">HYPERLINK("https://lindat.mff.cuni.cz/services/SynSemClass55/SynSemClass55.html?veclass=vec00097", "vec00097 / přicházet (v41irqL)")</f>
        <v>vec00097 / přicházet (v41irqL)</v>
      </c>
      <c r="Q374" s="0" t="n">
        <v>0.0784</v>
      </c>
      <c r="R374" s="5" t="s">
        <v>30</v>
      </c>
      <c r="U374" s="0" t="str">
        <f aca="false">HYPERLINK("https://lindat.mff.cuni.cz/services/SynSemClass55/SynSemClass55.html?veclass=vec00048", "vec00048 / odejít (v41dyrA)")</f>
        <v>vec00048 / odejít (v41dyrA)</v>
      </c>
      <c r="V374" s="0" t="n">
        <v>0.06129</v>
      </c>
      <c r="W374" s="5" t="s">
        <v>30</v>
      </c>
      <c r="Z374" s="0" t="str">
        <f aca="false">HYPERLINK("https://lindat.mff.cuni.cz/services/SynSemClass55/SynSemClass55.html?veclass=vec00227", "vec00227 / jít (v41bikAI)")</f>
        <v>vec00227 / jít (v41bikAI)</v>
      </c>
      <c r="AA374" s="0" t="n">
        <v>0.05768</v>
      </c>
      <c r="AB374" s="5" t="s">
        <v>30</v>
      </c>
      <c r="AE374" s="0" t="str">
        <f aca="false">HYPERLINK("https://lindat.mff.cuni.cz/services/SynSemClass55/SynSemClass55.html?veclass=vec00434", "vec00434 / mířit (v41chcC)")</f>
        <v>vec00434 / mířit (v41chcC)</v>
      </c>
      <c r="AF374" s="0" t="n">
        <v>0.03586</v>
      </c>
      <c r="AG374" s="5" t="s">
        <v>30</v>
      </c>
    </row>
    <row r="376" customFormat="false" ht="12.75" hidden="false" customHeight="false" outlineLevel="0" collapsed="false">
      <c r="A376" s="0" t="str">
        <f aca="false">HYPERLINK("https://lindat.mff.cuni.cz/services/PDT-Vallex4.5/PDT-Vallex4.5.html?verb=rozpočíst", "rozpočíst")</f>
        <v>rozpočíst</v>
      </c>
      <c r="B376" s="0" t="str">
        <f aca="false">HYPERLINK("https://lindat.mff.cuni.cz/services/PDT-Vallex4.5/PDT-Vallex4.5.html?verb=rozpočíst#v41jvtA", "v41jvtA")</f>
        <v>v41jvtA</v>
      </c>
      <c r="E376" s="0" t="n">
        <v>1</v>
      </c>
      <c r="F376" s="0" t="n">
        <v>0.09057</v>
      </c>
      <c r="G376" s="1" t="n">
        <v>0</v>
      </c>
      <c r="I376" s="1" t="s">
        <v>145</v>
      </c>
      <c r="K376" s="0" t="str">
        <f aca="false">HYPERLINK("https://lindat.mff.cuni.cz/services/SynSemClass55/SynSemClass55.html?veclass=vec00256", "vec00256 / plánovat (v41fmmA)")</f>
        <v>vec00256 / plánovat (v41fmmA)</v>
      </c>
      <c r="L376" s="0" t="n">
        <v>0.09057</v>
      </c>
      <c r="M376" s="5" t="s">
        <v>30</v>
      </c>
      <c r="P376" s="0" t="str">
        <f aca="false">HYPERLINK("https://lindat.mff.cuni.cz/services/SynSemClass55/SynSemClass55.html?veclass=vec01772", "vec01772 / načasovat (v41cmvB)")</f>
        <v>vec01772 / načasovat (v41cmvB)</v>
      </c>
      <c r="Q376" s="0" t="n">
        <v>0.03505</v>
      </c>
      <c r="R376" s="5" t="s">
        <v>30</v>
      </c>
      <c r="U376" s="0" t="str">
        <f aca="false">HYPERLINK("https://lindat.mff.cuni.cz/services/SynSemClass55/SynSemClass55.html?veclass=vec00166", "vec00166 / vypočítávat (v41opsB)")</f>
        <v>vec00166 / vypočítávat (v41opsB)</v>
      </c>
      <c r="V376" s="0" t="n">
        <v>0.03383</v>
      </c>
      <c r="W376" s="5" t="s">
        <v>30</v>
      </c>
      <c r="Z376" s="0" t="str">
        <f aca="false">HYPERLINK("https://lindat.mff.cuni.cz/services/SynSemClass55/SynSemClass55.html?veclass=vec00526", "vec00526 / strukturovat (v41lmtA)")</f>
        <v>vec00526 / strukturovat (v41lmtA)</v>
      </c>
      <c r="AA376" s="0" t="n">
        <v>0.03151</v>
      </c>
      <c r="AB376" s="5" t="s">
        <v>30</v>
      </c>
      <c r="AE376" s="0" t="str">
        <f aca="false">HYPERLINK("https://lindat.mff.cuni.cz/services/SynSemClass55/SynSemClass55.html?veclass=vec00778", "vec00778 / zaúčtovat (v41qrdA)")</f>
        <v>vec00778 / zaúčtovat (v41qrdA)</v>
      </c>
      <c r="AF376" s="0" t="n">
        <v>0.02582</v>
      </c>
      <c r="AG376" s="5" t="s">
        <v>30</v>
      </c>
    </row>
    <row r="378" customFormat="false" ht="12.75" hidden="false" customHeight="false" outlineLevel="0" collapsed="false">
      <c r="A378" s="0" t="str">
        <f aca="false">HYPERLINK("https://lindat.mff.cuni.cz/services/PDT-Vallex4.5/PDT-Vallex4.5.html?verb=rozpočíst se", "rozpočíst se")</f>
        <v>rozpočíst se</v>
      </c>
      <c r="B378" s="0" t="str">
        <f aca="false">HYPERLINK("https://lindat.mff.cuni.cz/services/PDT-Vallex4.5/PDT-Vallex4.5.html?verb=rozpočíst se#v41jvuA", "v41jvuA")</f>
        <v>v41jvuA</v>
      </c>
      <c r="E378" s="0" t="n">
        <v>1</v>
      </c>
      <c r="F378" s="0" t="n">
        <v>0.09057</v>
      </c>
      <c r="G378" s="1" t="s">
        <v>146</v>
      </c>
      <c r="K378" s="0" t="str">
        <f aca="false">HYPERLINK("https://lindat.mff.cuni.cz/services/SynSemClass55/SynSemClass55.html?veclass=vec00256", "vec00256 / plánovat (v41fmmA)")</f>
        <v>vec00256 / plánovat (v41fmmA)</v>
      </c>
      <c r="L378" s="0" t="n">
        <v>0.09057</v>
      </c>
      <c r="M378" s="5" t="s">
        <v>30</v>
      </c>
      <c r="P378" s="0" t="str">
        <f aca="false">HYPERLINK("https://lindat.mff.cuni.cz/services/SynSemClass55/SynSemClass55.html?veclass=vec01772", "vec01772 / načasovat (v41cmvB)")</f>
        <v>vec01772 / načasovat (v41cmvB)</v>
      </c>
      <c r="Q378" s="0" t="n">
        <v>0.03505</v>
      </c>
      <c r="R378" s="5" t="s">
        <v>30</v>
      </c>
      <c r="U378" s="0" t="str">
        <f aca="false">HYPERLINK("https://lindat.mff.cuni.cz/services/SynSemClass55/SynSemClass55.html?veclass=vec00166", "vec00166 / vypočítávat (v41opsB)")</f>
        <v>vec00166 / vypočítávat (v41opsB)</v>
      </c>
      <c r="V378" s="0" t="n">
        <v>0.03383</v>
      </c>
      <c r="W378" s="5" t="s">
        <v>30</v>
      </c>
      <c r="Z378" s="0" t="str">
        <f aca="false">HYPERLINK("https://lindat.mff.cuni.cz/services/SynSemClass55/SynSemClass55.html?veclass=vec00526", "vec00526 / strukturovat (v41lmtA)")</f>
        <v>vec00526 / strukturovat (v41lmtA)</v>
      </c>
      <c r="AA378" s="0" t="n">
        <v>0.03151</v>
      </c>
      <c r="AB378" s="5" t="s">
        <v>30</v>
      </c>
      <c r="AE378" s="0" t="str">
        <f aca="false">HYPERLINK("https://lindat.mff.cuni.cz/services/SynSemClass55/SynSemClass55.html?veclass=vec00778", "vec00778 / zaúčtovat (v41qrdA)")</f>
        <v>vec00778 / zaúčtovat (v41qrdA)</v>
      </c>
      <c r="AF378" s="0" t="n">
        <v>0.02582</v>
      </c>
      <c r="AG378" s="5" t="s">
        <v>30</v>
      </c>
    </row>
    <row r="380" customFormat="false" ht="12.75" hidden="false" customHeight="false" outlineLevel="0" collapsed="false">
      <c r="A380" s="0" t="str">
        <f aca="false">HYPERLINK("https://lindat.mff.cuni.cz/services/PDT-Vallex4.5/PDT-Vallex4.5.html?verb=rozpoltit", "rozpoltit")</f>
        <v>rozpoltit</v>
      </c>
      <c r="B380" s="0" t="str">
        <f aca="false">HYPERLINK("https://lindat.mff.cuni.cz/services/PDT-Vallex4.5/PDT-Vallex4.5.html?verb=rozpoltit#v41jvzA", "v41jvzA")</f>
        <v>v41jvzA</v>
      </c>
      <c r="E380" s="0" t="n">
        <v>58</v>
      </c>
      <c r="F380" s="0" t="n">
        <v>0.2145</v>
      </c>
      <c r="G380" s="1" t="s">
        <v>31</v>
      </c>
      <c r="K380" s="0" t="str">
        <f aca="false">HYPERLINK("https://lindat.mff.cuni.cz/services/SynSemClass55/SynSemClass55.html?veclass=vec00296", "vec00296 / rozdělit (v41jniC)")</f>
        <v>vec00296 / rozdělit (v41jniC)</v>
      </c>
      <c r="L380" s="0" t="n">
        <v>0.2145</v>
      </c>
      <c r="M380" s="5" t="s">
        <v>33</v>
      </c>
      <c r="P380" s="0" t="str">
        <f aca="false">HYPERLINK("https://lindat.mff.cuni.cz/services/SynSemClass55/SynSemClass55.html?veclass=vec00903", "vec00903 / rozcupovat (v41jmmA)")</f>
        <v>vec00903 / rozcupovat (v41jmmA)</v>
      </c>
      <c r="Q380" s="0" t="n">
        <v>0.15876</v>
      </c>
      <c r="R380" s="5" t="s">
        <v>30</v>
      </c>
      <c r="U380" s="0" t="str">
        <f aca="false">HYPERLINK("https://lindat.mff.cuni.cz/services/SynSemClass55/SynSemClass55.html?veclass=vec01305", "vec01305 / rozdělit se (v41jnjB)")</f>
        <v>vec01305 / rozdělit se (v41jnjB)</v>
      </c>
      <c r="V380" s="0" t="n">
        <v>0.0614</v>
      </c>
      <c r="W380" s="5" t="s">
        <v>30</v>
      </c>
      <c r="Z380" s="0" t="str">
        <f aca="false">HYPERLINK("https://lindat.mff.cuni.cz/services/SynSemClass55/SynSemClass55.html?veclass=vec00910", "vec00910 / rozptýlit (v41jxiB)")</f>
        <v>vec00910 / rozptýlit (v41jxiB)</v>
      </c>
      <c r="AA380" s="0" t="n">
        <v>0.03539</v>
      </c>
      <c r="AB380" s="5" t="s">
        <v>30</v>
      </c>
      <c r="AE380" s="0" t="str">
        <f aca="false">HYPERLINK("https://lindat.mff.cuni.cz/services/SynSemClass55/SynSemClass55.html?veclass=vec01871", "vec01871 / rozhýbat (v41jrcA)")</f>
        <v>vec01871 / rozhýbat (v41jrcA)</v>
      </c>
      <c r="AF380" s="0" t="n">
        <v>0.0272</v>
      </c>
      <c r="AG380" s="5" t="s">
        <v>30</v>
      </c>
    </row>
    <row r="382" customFormat="false" ht="12.75" hidden="false" customHeight="false" outlineLevel="0" collapsed="false">
      <c r="A382" s="0" t="str">
        <f aca="false">HYPERLINK("https://lindat.mff.cuni.cz/services/PDT-Vallex4.5/PDT-Vallex4.5.html?verb=rozpustit", "rozpustit")</f>
        <v>rozpustit</v>
      </c>
      <c r="B382" s="0" t="str">
        <f aca="false">HYPERLINK("https://lindat.mff.cuni.cz/services/PDT-Vallex4.5/PDT-Vallex4.5.html?verb=rozpustit#v41jxoB", "v41jxoB")</f>
        <v>v41jxoB</v>
      </c>
      <c r="E382" s="0" t="n">
        <v>345</v>
      </c>
      <c r="F382" s="0" t="n">
        <v>0.21891</v>
      </c>
      <c r="G382" s="1" t="n">
        <v>0</v>
      </c>
      <c r="I382" s="1" t="s">
        <v>147</v>
      </c>
      <c r="K382" s="0" t="str">
        <f aca="false">HYPERLINK("https://lindat.mff.cuni.cz/services/SynSemClass55/SynSemClass55.html?veclass=vec00198", "vec00198 / zrušit (v41rxfA)")</f>
        <v>vec00198 / zrušit (v41rxfA)</v>
      </c>
      <c r="L382" s="0" t="n">
        <v>0.21891</v>
      </c>
      <c r="M382" s="5" t="s">
        <v>30</v>
      </c>
      <c r="P382" s="0" t="str">
        <f aca="false">HYPERLINK("https://lindat.mff.cuni.cz/services/SynSemClass55/SynSemClass55.html?veclass=vec01305", "vec01305 / rozdělit se (v41jnjB)")</f>
        <v>vec01305 / rozdělit se (v41jnjB)</v>
      </c>
      <c r="Q382" s="0" t="n">
        <v>0.06212</v>
      </c>
      <c r="R382" s="5" t="s">
        <v>30</v>
      </c>
      <c r="U382" s="0" t="str">
        <f aca="false">HYPERLINK("https://lindat.mff.cuni.cz/services/SynSemClass55/SynSemClass55.html?veclass=vec00910", "vec00910 / rozptýlit (v41jxiB)")</f>
        <v>vec00910 / rozptýlit (v41jxiB)</v>
      </c>
      <c r="V382" s="0" t="n">
        <v>0.05164</v>
      </c>
      <c r="W382" s="5" t="s">
        <v>30</v>
      </c>
      <c r="Z382" s="0" t="str">
        <f aca="false">HYPERLINK("https://lindat.mff.cuni.cz/services/SynSemClass55/SynSemClass55.html?veclass=vec01103", "vec01103 / roztavit se (v41jztA)")</f>
        <v>vec01103 / roztavit se (v41jztA)</v>
      </c>
      <c r="AA382" s="0" t="n">
        <v>0.04845</v>
      </c>
      <c r="AB382" s="5" t="s">
        <v>30</v>
      </c>
      <c r="AE382" s="0" t="str">
        <f aca="false">HYPERLINK("https://lindat.mff.cuni.cz/services/SynSemClass55/SynSemClass55.html?veclass=vec00911", "vec00911 / rozptýlit se (v41jxjB)")</f>
        <v>vec00911 / rozptýlit se (v41jxjB)</v>
      </c>
      <c r="AF382" s="0" t="n">
        <v>0.02728</v>
      </c>
      <c r="AG382" s="5" t="s">
        <v>30</v>
      </c>
    </row>
    <row r="384" customFormat="false" ht="12.75" hidden="false" customHeight="false" outlineLevel="0" collapsed="false">
      <c r="A384" s="0" t="str">
        <f aca="false">HYPERLINK("https://lindat.mff.cuni.cz/services/PDT-Vallex4.5/PDT-Vallex4.5.html?verb=rozrůznit se", "rozrůznit se")</f>
        <v>rozrůznit se</v>
      </c>
      <c r="B384" s="0" t="str">
        <f aca="false">HYPERLINK("https://lindat.mff.cuni.cz/services/PDT-Vallex4.5/PDT-Vallex4.5.html?verb=rozrůznit se#v41jxwA", "v41jxwA")</f>
        <v>v41jxwA</v>
      </c>
      <c r="E384" s="0" t="n">
        <v>1</v>
      </c>
      <c r="F384" s="0" t="n">
        <v>0.19557</v>
      </c>
      <c r="G384" s="1" t="s">
        <v>31</v>
      </c>
      <c r="K384" s="0" t="str">
        <f aca="false">HYPERLINK("https://lindat.mff.cuni.cz/services/SynSemClass55/SynSemClass55.html?veclass=vec00829", "vec00829 / kontrastovat (v41brgA)")</f>
        <v>vec00829 / kontrastovat (v41brgA)</v>
      </c>
      <c r="L384" s="0" t="n">
        <v>0.19557</v>
      </c>
      <c r="M384" s="5" t="s">
        <v>30</v>
      </c>
      <c r="P384" s="0" t="str">
        <f aca="false">HYPERLINK("https://lindat.mff.cuni.cz/services/SynSemClass55/SynSemClass55.html?veclass=vec01305", "vec01305 / rozdělit se (v41jnjB)")</f>
        <v>vec01305 / rozdělit se (v41jnjB)</v>
      </c>
      <c r="Q384" s="0" t="n">
        <v>0.07941</v>
      </c>
      <c r="R384" s="5" t="s">
        <v>34</v>
      </c>
      <c r="U384" s="0" t="str">
        <f aca="false">HYPERLINK("https://lindat.mff.cuni.cz/services/SynSemClass55/SynSemClass55.html?veclass=vec00849", "vec00849 / odchýlit se (v41easA)")</f>
        <v>vec00849 / odchýlit se (v41easA)</v>
      </c>
      <c r="V384" s="0" t="n">
        <v>0.06956</v>
      </c>
      <c r="W384" s="5" t="s">
        <v>30</v>
      </c>
      <c r="Z384" s="0" t="str">
        <f aca="false">HYPERLINK("https://lindat.mff.cuni.cz/services/SynSemClass55/SynSemClass55.html?veclass=vec01943", "vec01943 / vylučovat se (v41ojiA)")</f>
        <v>vec01943 / vylučovat se (v41ojiA)</v>
      </c>
      <c r="AA384" s="0" t="n">
        <v>0.05933</v>
      </c>
      <c r="AB384" s="5" t="s">
        <v>30</v>
      </c>
      <c r="AE384" s="0" t="str">
        <f aca="false">HYPERLINK("https://lindat.mff.cuni.cz/services/SynSemClass55/SynSemClass55.html?veclass=vec00296", "vec00296 / rozdělit (v41jniC)")</f>
        <v>vec00296 / rozdělit (v41jniC)</v>
      </c>
      <c r="AF384" s="0" t="n">
        <v>0.05841</v>
      </c>
      <c r="AG384" s="5" t="s">
        <v>30</v>
      </c>
    </row>
    <row r="386" customFormat="false" ht="12.75" hidden="false" customHeight="false" outlineLevel="0" collapsed="false">
      <c r="A386" s="0" t="str">
        <f aca="false">HYPERLINK("https://lindat.mff.cuni.cz/services/PDT-Vallex4.5/PDT-Vallex4.5.html?verb=rozsvěcovat se", "rozsvěcovat se")</f>
        <v>rozsvěcovat se</v>
      </c>
      <c r="B386" s="0" t="str">
        <f aca="false">HYPERLINK("https://lindat.mff.cuni.cz/services/PDT-Vallex4.5/PDT-Vallex4.5.html?verb=rozsvěcovat se#v41jypA", "v41jypA")</f>
        <v>v41jypA</v>
      </c>
      <c r="E386" s="0" t="n">
        <v>150</v>
      </c>
      <c r="F386" s="0" t="n">
        <v>0.19811</v>
      </c>
      <c r="G386" s="1" t="n">
        <v>0</v>
      </c>
      <c r="I386" s="1" t="s">
        <v>148</v>
      </c>
      <c r="K386" s="0" t="str">
        <f aca="false">HYPERLINK("https://lindat.mff.cuni.cz/services/SynSemClass55/SynSemClass55.html?veclass=vec01173", "vec01173 / zářit (v41qjnB)")</f>
        <v>vec01173 / zářit (v41qjnB)</v>
      </c>
      <c r="L386" s="0" t="n">
        <v>0.19811</v>
      </c>
      <c r="M386" s="5" t="s">
        <v>30</v>
      </c>
      <c r="P386" s="0" t="str">
        <f aca="false">HYPERLINK("https://lindat.mff.cuni.cz/services/SynSemClass55/SynSemClass55.html?veclass=vec00986", "vec00986 / zapálit (v41qecA)")</f>
        <v>vec00986 / zapálit (v41qecA)</v>
      </c>
      <c r="Q386" s="0" t="n">
        <v>0.14064</v>
      </c>
      <c r="R386" s="5" t="s">
        <v>30</v>
      </c>
      <c r="U386" s="0" t="str">
        <f aca="false">HYPERLINK("https://lindat.mff.cuni.cz/services/SynSemClass55/SynSemClass55.html?veclass=vec00182", "vec00182 / zapínat (v41qepA)")</f>
        <v>vec00182 / zapínat (v41qepA)</v>
      </c>
      <c r="V386" s="0" t="n">
        <v>0.08457</v>
      </c>
      <c r="W386" s="5" t="s">
        <v>30</v>
      </c>
      <c r="Z386" s="0" t="str">
        <f aca="false">HYPERLINK("https://lindat.mff.cuni.cz/services/SynSemClass55/SynSemClass55.html?veclass=vec01517", "vec01517 / rozhořet se (v41jquA)")</f>
        <v>vec01517 / rozhořet se (v41jquA)</v>
      </c>
      <c r="AA386" s="0" t="n">
        <v>0.03511</v>
      </c>
      <c r="AB386" s="5" t="s">
        <v>30</v>
      </c>
      <c r="AE386" s="0" t="str">
        <f aca="false">HYPERLINK("https://lindat.mff.cuni.cz/services/SynSemClass55/SynSemClass55.html?veclass=vec01215", "vec01215 / hořet (v41axjA)")</f>
        <v>vec01215 / hořet (v41axjA)</v>
      </c>
      <c r="AF386" s="0" t="n">
        <v>0.02703</v>
      </c>
      <c r="AG386" s="5" t="s">
        <v>30</v>
      </c>
    </row>
    <row r="388" customFormat="false" ht="12.75" hidden="false" customHeight="false" outlineLevel="0" collapsed="false">
      <c r="A388" s="0" t="str">
        <f aca="false">HYPERLINK("https://lindat.mff.cuni.cz/services/PDT-Vallex4.5/PDT-Vallex4.5.html?verb=roztříštit", "roztříštit")</f>
        <v>roztříštit</v>
      </c>
      <c r="B388" s="0" t="str">
        <f aca="false">HYPERLINK("https://lindat.mff.cuni.cz/services/PDT-Vallex4.5/PDT-Vallex4.5.html?verb=roztříštit#v41kamA", "v41kamA")</f>
        <v>v41kamA</v>
      </c>
      <c r="E388" s="0" t="n">
        <v>402</v>
      </c>
      <c r="F388" s="0" t="n">
        <v>0.24262</v>
      </c>
      <c r="G388" s="1" t="s">
        <v>31</v>
      </c>
      <c r="K388" s="0" t="str">
        <f aca="false">HYPERLINK("https://lindat.mff.cuni.cz/services/SynSemClass55/SynSemClass55.html?veclass=vec00903", "vec00903 / rozcupovat (v41jmmA)")</f>
        <v>vec00903 / rozcupovat (v41jmmA)</v>
      </c>
      <c r="L388" s="0" t="n">
        <v>0.24262</v>
      </c>
      <c r="M388" s="5" t="s">
        <v>33</v>
      </c>
      <c r="P388" s="0" t="str">
        <f aca="false">HYPERLINK("https://lindat.mff.cuni.cz/services/SynSemClass55/SynSemClass55.html?veclass=vec00681", "vec00681 / prasknout (v41gykA)")</f>
        <v>vec00681 / prasknout (v41gykA)</v>
      </c>
      <c r="Q388" s="0" t="n">
        <v>0.07834</v>
      </c>
      <c r="R388" s="5" t="s">
        <v>30</v>
      </c>
      <c r="U388" s="0" t="str">
        <f aca="false">HYPERLINK("https://lindat.mff.cuni.cz/services/SynSemClass55/SynSemClass55.html?veclass=vec01305", "vec01305 / rozdělit se (v41jnjB)")</f>
        <v>vec01305 / rozdělit se (v41jnjB)</v>
      </c>
      <c r="V388" s="0" t="n">
        <v>0.06734</v>
      </c>
      <c r="W388" s="5" t="s">
        <v>30</v>
      </c>
      <c r="Z388" s="0" t="str">
        <f aca="false">HYPERLINK("https://lindat.mff.cuni.cz/services/SynSemClass55/SynSemClass55.html?veclass=vec00296", "vec00296 / rozdělit (v41jniC)")</f>
        <v>vec00296 / rozdělit (v41jniC)</v>
      </c>
      <c r="AA388" s="0" t="n">
        <v>0.04823</v>
      </c>
      <c r="AB388" s="5" t="s">
        <v>30</v>
      </c>
      <c r="AE388" s="0" t="str">
        <f aca="false">HYPERLINK("https://lindat.mff.cuni.cz/services/SynSemClass55/SynSemClass55.html?veclass=vec01286", "vec01286 / přerušit (v41ihsD)")</f>
        <v>vec01286 / přerušit (v41ihsD)</v>
      </c>
      <c r="AF388" s="0" t="n">
        <v>0.03289</v>
      </c>
      <c r="AG388" s="5" t="s">
        <v>30</v>
      </c>
    </row>
    <row r="389" customFormat="false" ht="12.75" hidden="false" customHeight="false" outlineLevel="0" collapsed="false">
      <c r="A389" s="0" t="str">
        <f aca="false">HYPERLINK("https://lindat.mff.cuni.cz/services/PDT-Vallex4.5/PDT-Vallex4.5.html?verb=roztříštit", "roztříštit")</f>
        <v>roztříštit</v>
      </c>
      <c r="B389" s="0" t="str">
        <f aca="false">HYPERLINK("https://lindat.mff.cuni.cz/services/PDT-Vallex4.5/PDT-Vallex4.5.html?verb=roztříštit#v41kamB", "v41kamB")</f>
        <v>v41kamB</v>
      </c>
      <c r="E389" s="0" t="n">
        <v>402</v>
      </c>
      <c r="F389" s="0" t="n">
        <v>0.24262</v>
      </c>
      <c r="G389" s="1" t="s">
        <v>31</v>
      </c>
      <c r="K389" s="0" t="str">
        <f aca="false">HYPERLINK("https://lindat.mff.cuni.cz/services/SynSemClass55/SynSemClass55.html?veclass=vec00903", "vec00903 / rozcupovat (v41jmmA)")</f>
        <v>vec00903 / rozcupovat (v41jmmA)</v>
      </c>
      <c r="L389" s="0" t="n">
        <v>0.24262</v>
      </c>
      <c r="M389" s="5" t="s">
        <v>30</v>
      </c>
      <c r="P389" s="0" t="str">
        <f aca="false">HYPERLINK("https://lindat.mff.cuni.cz/services/SynSemClass55/SynSemClass55.html?veclass=vec00681", "vec00681 / prasknout (v41gykA)")</f>
        <v>vec00681 / prasknout (v41gykA)</v>
      </c>
      <c r="Q389" s="0" t="n">
        <v>0.07834</v>
      </c>
      <c r="R389" s="5" t="s">
        <v>30</v>
      </c>
      <c r="U389" s="0" t="str">
        <f aca="false">HYPERLINK("https://lindat.mff.cuni.cz/services/SynSemClass55/SynSemClass55.html?veclass=vec01305", "vec01305 / rozdělit se (v41jnjB)")</f>
        <v>vec01305 / rozdělit se (v41jnjB)</v>
      </c>
      <c r="V389" s="0" t="n">
        <v>0.06734</v>
      </c>
      <c r="W389" s="5" t="s">
        <v>30</v>
      </c>
      <c r="Z389" s="0" t="str">
        <f aca="false">HYPERLINK("https://lindat.mff.cuni.cz/services/SynSemClass55/SynSemClass55.html?veclass=vec00296", "vec00296 / rozdělit (v41jniC)")</f>
        <v>vec00296 / rozdělit (v41jniC)</v>
      </c>
      <c r="AA389" s="0" t="n">
        <v>0.04823</v>
      </c>
      <c r="AB389" s="5" t="s">
        <v>33</v>
      </c>
      <c r="AE389" s="0" t="str">
        <f aca="false">HYPERLINK("https://lindat.mff.cuni.cz/services/SynSemClass55/SynSemClass55.html?veclass=vec01286", "vec01286 / přerušit (v41ihsD)")</f>
        <v>vec01286 / přerušit (v41ihsD)</v>
      </c>
      <c r="AF389" s="0" t="n">
        <v>0.03289</v>
      </c>
      <c r="AG389" s="5" t="s">
        <v>30</v>
      </c>
    </row>
    <row r="391" customFormat="false" ht="12.75" hidden="false" customHeight="false" outlineLevel="0" collapsed="false">
      <c r="A391" s="0" t="str">
        <f aca="false">HYPERLINK("https://lindat.mff.cuni.cz/services/PDT-Vallex4.5/PDT-Vallex4.5.html?verb=rozutíkávat se", "rozutíkávat se")</f>
        <v>rozutíkávat se</v>
      </c>
      <c r="B391" s="0" t="str">
        <f aca="false">HYPERLINK("https://lindat.mff.cuni.cz/services/PDT-Vallex4.5/PDT-Vallex4.5.html?verb=rozutíkávat se#v41karA", "v41karA")</f>
        <v>v41karA</v>
      </c>
      <c r="E391" s="0" t="n">
        <v>3</v>
      </c>
      <c r="F391" s="0" t="n">
        <v>0.19363</v>
      </c>
      <c r="G391" s="1" t="s">
        <v>149</v>
      </c>
      <c r="K391" s="0" t="str">
        <f aca="false">HYPERLINK("https://lindat.mff.cuni.cz/services/SynSemClass55/SynSemClass55.html?veclass=vec00048", "vec00048 / odejít (v41dyrA)")</f>
        <v>vec00048 / odejít (v41dyrA)</v>
      </c>
      <c r="L391" s="0" t="n">
        <v>0.19363</v>
      </c>
      <c r="M391" s="5" t="s">
        <v>32</v>
      </c>
      <c r="P391" s="0" t="str">
        <f aca="false">HYPERLINK("https://lindat.mff.cuni.cz/services/SynSemClass55/SynSemClass55.html?veclass=vec01520", "vec01520 / rozpínat se (v41jvhA)")</f>
        <v>vec01520 / rozpínat se (v41jvhA)</v>
      </c>
      <c r="Q391" s="0" t="n">
        <v>0.07605</v>
      </c>
      <c r="R391" s="5" t="s">
        <v>30</v>
      </c>
      <c r="U391" s="0" t="str">
        <f aca="false">HYPERLINK("https://lindat.mff.cuni.cz/services/SynSemClass55/SynSemClass55.html?veclass=vec00811", "vec00811 / dostat se (v41afyG)")</f>
        <v>vec00811 / dostat se (v41afyG)</v>
      </c>
      <c r="V391" s="0" t="n">
        <v>0.05837</v>
      </c>
      <c r="W391" s="5" t="s">
        <v>30</v>
      </c>
      <c r="Z391" s="0" t="str">
        <f aca="false">HYPERLINK("https://lindat.mff.cuni.cz/services/SynSemClass55/SynSemClass55.html?veclass=vec00922", "vec00922 / skotačit (v41kriA)")</f>
        <v>vec00922 / skotačit (v41kriA)</v>
      </c>
      <c r="AA391" s="0" t="n">
        <v>0.05466</v>
      </c>
      <c r="AB391" s="5" t="s">
        <v>30</v>
      </c>
      <c r="AE391" s="0" t="str">
        <f aca="false">HYPERLINK("https://lindat.mff.cuni.cz/services/SynSemClass55/SynSemClass55.html?veclass=vec00665", "vec00665 / plazit se (v41fnbA)")</f>
        <v>vec00665 / plazit se (v41fnbA)</v>
      </c>
      <c r="AF391" s="0" t="n">
        <v>0.04781</v>
      </c>
      <c r="AG391" s="5" t="s">
        <v>30</v>
      </c>
    </row>
    <row r="393" customFormat="false" ht="12.75" hidden="false" customHeight="false" outlineLevel="0" collapsed="false">
      <c r="A393" s="0" t="str">
        <f aca="false">HYPERLINK("https://lindat.mff.cuni.cz/services/PDT-Vallex4.5/PDT-Vallex4.5.html?verb=rozuzlit", "rozuzlit")</f>
        <v>rozuzlit</v>
      </c>
      <c r="B393" s="0" t="str">
        <f aca="false">HYPERLINK("https://lindat.mff.cuni.cz/services/PDT-Vallex4.5/PDT-Vallex4.5.html?verb=rozuzlit#v41katA", "v41katA")</f>
        <v>v41katA</v>
      </c>
      <c r="E393" s="0" t="n">
        <v>8</v>
      </c>
      <c r="F393" s="0" t="n">
        <v>0.42532</v>
      </c>
      <c r="G393" s="1" t="s">
        <v>31</v>
      </c>
      <c r="K393" s="0" t="str">
        <f aca="false">HYPERLINK("https://lindat.mff.cuni.cz/services/SynSemClass55/SynSemClass55.html?veclass=vec00301", "vec00301 / řešit (v41kdxB)")</f>
        <v>vec00301 / řešit (v41kdxB)</v>
      </c>
      <c r="L393" s="0" t="n">
        <v>0.42532</v>
      </c>
      <c r="M393" s="5" t="s">
        <v>33</v>
      </c>
      <c r="P393" s="0" t="str">
        <f aca="false">HYPERLINK("https://lindat.mff.cuni.cz/services/SynSemClass55/SynSemClass55.html?veclass=vec00910", "vec00910 / rozptýlit (v41jxiB)")</f>
        <v>vec00910 / rozptýlit (v41jxiB)</v>
      </c>
      <c r="Q393" s="0" t="n">
        <v>0.09767</v>
      </c>
      <c r="R393" s="5" t="s">
        <v>30</v>
      </c>
      <c r="U393" s="0" t="str">
        <f aca="false">HYPERLINK("https://lindat.mff.cuni.cz/services/SynSemClass55/SynSemClass55.html?veclass=vec01518", "vec01518 / rozhostit se (v41jqvA)")</f>
        <v>vec01518 / rozhostit se (v41jqvA)</v>
      </c>
      <c r="V393" s="0" t="n">
        <v>0.04612</v>
      </c>
      <c r="W393" s="5" t="s">
        <v>30</v>
      </c>
      <c r="Z393" s="0" t="str">
        <f aca="false">HYPERLINK("https://lindat.mff.cuni.cz/services/SynSemClass55/SynSemClass55.html?veclass=vec01714", "vec01714 / zkřivit (v41rhlA)")</f>
        <v>vec01714 / zkřivit (v41rhlA)</v>
      </c>
      <c r="AA393" s="0" t="n">
        <v>0.04494</v>
      </c>
      <c r="AB393" s="5" t="s">
        <v>30</v>
      </c>
      <c r="AE393" s="0" t="str">
        <f aca="false">HYPERLINK("https://lindat.mff.cuni.cz/services/SynSemClass55/SynSemClass55.html?veclass=vec01576", "vec01576 / narovnat (v41czjA)")</f>
        <v>vec01576 / narovnat (v41czjA)</v>
      </c>
      <c r="AF393" s="0" t="n">
        <v>0.03591</v>
      </c>
      <c r="AG393" s="5" t="s">
        <v>30</v>
      </c>
    </row>
    <row r="395" customFormat="false" ht="12.75" hidden="false" customHeight="false" outlineLevel="0" collapsed="false">
      <c r="A395" s="0" t="str">
        <f aca="false">HYPERLINK("https://lindat.mff.cuni.cz/services/PDT-Vallex4.5/PDT-Vallex4.5.html?verb=rozvíjet", "rozvíjet")</f>
        <v>rozvíjet</v>
      </c>
      <c r="B395" s="0" t="str">
        <f aca="false">HYPERLINK("https://lindat.mff.cuni.cz/services/PDT-Vallex4.5/PDT-Vallex4.5.html?verb=rozvíjet#v41kbiA", "v41kbiA")</f>
        <v>v41kbiA</v>
      </c>
      <c r="E395" s="0" t="n">
        <v>415</v>
      </c>
      <c r="F395" s="0" t="n">
        <v>0.29405</v>
      </c>
      <c r="G395" s="1" t="n">
        <v>0</v>
      </c>
      <c r="I395" s="1" t="s">
        <v>150</v>
      </c>
      <c r="K395" s="0" t="str">
        <f aca="false">HYPERLINK("https://lindat.mff.cuni.cz/services/SynSemClass55/SynSemClass55.html?veclass=vec00510", "vec00510 / rozvíjet se (v41kbjB)")</f>
        <v>vec00510 / rozvíjet se (v41kbjB)</v>
      </c>
      <c r="L395" s="0" t="n">
        <v>0.29405</v>
      </c>
      <c r="M395" s="5" t="s">
        <v>30</v>
      </c>
      <c r="P395" s="0" t="str">
        <f aca="false">HYPERLINK("https://lindat.mff.cuni.cz/services/SynSemClass55/SynSemClass55.html?veclass=vec00539", "vec00539 / upevnit (v41mquD)")</f>
        <v>vec00539 / upevnit (v41mquD)</v>
      </c>
      <c r="Q395" s="0" t="n">
        <v>0.18392</v>
      </c>
      <c r="R395" s="5" t="s">
        <v>30</v>
      </c>
      <c r="U395" s="0" t="str">
        <f aca="false">HYPERLINK("https://lindat.mff.cuni.cz/services/SynSemClass55/SynSemClass55.html?veclass=vec00108", "vec00108 / rozvést (v41kbdA)")</f>
        <v>vec00108 / rozvést (v41kbdA)</v>
      </c>
      <c r="V395" s="0" t="n">
        <v>0.07835</v>
      </c>
      <c r="W395" s="5" t="s">
        <v>30</v>
      </c>
      <c r="Z395" s="0" t="str">
        <f aca="false">HYPERLINK("https://lindat.mff.cuni.cz/services/SynSemClass55/SynSemClass55.html?veclass=vec00360", "vec00360 / vyvinout (v41pgrA)")</f>
        <v>vec00360 / vyvinout (v41pgrA)</v>
      </c>
      <c r="AA395" s="0" t="n">
        <v>0.04546</v>
      </c>
      <c r="AB395" s="5" t="s">
        <v>30</v>
      </c>
      <c r="AE395" s="0" t="str">
        <f aca="false">HYPERLINK("https://lindat.mff.cuni.cz/services/SynSemClass55/SynSemClass55.html?veclass=vec00386", "vec00386 / zlepšit (v41rihA)")</f>
        <v>vec00386 / zlepšit (v41rihA)</v>
      </c>
      <c r="AF395" s="0" t="n">
        <v>0.02328</v>
      </c>
      <c r="AG395" s="5" t="s">
        <v>30</v>
      </c>
    </row>
    <row r="397" customFormat="false" ht="12.75" hidden="false" customHeight="false" outlineLevel="0" collapsed="false">
      <c r="A397" s="0" t="str">
        <f aca="false">HYPERLINK("https://lindat.mff.cuni.cz/services/PDT-Vallex4.5/PDT-Vallex4.5.html?verb=rozvíjet se", "rozvíjet se")</f>
        <v>rozvíjet se</v>
      </c>
      <c r="B397" s="0" t="str">
        <f aca="false">HYPERLINK("https://lindat.mff.cuni.cz/services/PDT-Vallex4.5/PDT-Vallex4.5.html?verb=rozvíjet se#v41kbjA", "v41kbjA")</f>
        <v>v41kbjA</v>
      </c>
      <c r="E397" s="0" t="n">
        <v>295</v>
      </c>
      <c r="F397" s="0" t="n">
        <v>0.40846</v>
      </c>
      <c r="G397" s="1" t="s">
        <v>31</v>
      </c>
      <c r="K397" s="0" t="str">
        <f aca="false">HYPERLINK("https://lindat.mff.cuni.cz/services/SynSemClass55/SynSemClass55.html?veclass=vec00510", "vec00510 / rozvíjet se (v41kbjB)")</f>
        <v>vec00510 / rozvíjet se (v41kbjB)</v>
      </c>
      <c r="L397" s="0" t="n">
        <v>0.40846</v>
      </c>
      <c r="M397" s="5" t="s">
        <v>30</v>
      </c>
      <c r="P397" s="0" t="str">
        <f aca="false">HYPERLINK("https://lindat.mff.cuni.cz/services/SynSemClass55/SynSemClass55.html?veclass=vec00539", "vec00539 / upevnit (v41mquD)")</f>
        <v>vec00539 / upevnit (v41mquD)</v>
      </c>
      <c r="Q397" s="0" t="n">
        <v>0.14271</v>
      </c>
      <c r="R397" s="5" t="s">
        <v>30</v>
      </c>
      <c r="U397" s="0" t="str">
        <f aca="false">HYPERLINK("https://lindat.mff.cuni.cz/services/SynSemClass55/SynSemClass55.html?veclass=vec00108", "vec00108 / rozvést (v41kbdA)")</f>
        <v>vec00108 / rozvést (v41kbdA)</v>
      </c>
      <c r="V397" s="0" t="n">
        <v>0.05391</v>
      </c>
      <c r="W397" s="5" t="s">
        <v>30</v>
      </c>
      <c r="Z397" s="0" t="str">
        <f aca="false">HYPERLINK("https://lindat.mff.cuni.cz/services/SynSemClass55/SynSemClass55.html?veclass=vec00360", "vec00360 / vyvinout (v41pgrA)")</f>
        <v>vec00360 / vyvinout (v41pgrA)</v>
      </c>
      <c r="AA397" s="0" t="n">
        <v>0.03555</v>
      </c>
      <c r="AB397" s="5" t="s">
        <v>30</v>
      </c>
      <c r="AE397" s="0" t="str">
        <f aca="false">HYPERLINK("https://lindat.mff.cuni.cz/services/SynSemClass55/SynSemClass55.html?veclass=vec00261", "vec00261 / pokračovat (v41gbkD)")</f>
        <v>vec00261 / pokračovat (v41gbkD)</v>
      </c>
      <c r="AF397" s="0" t="n">
        <v>0.02506</v>
      </c>
      <c r="AG397" s="5" t="s">
        <v>34</v>
      </c>
    </row>
    <row r="399" customFormat="false" ht="12.75" hidden="false" customHeight="false" outlineLevel="0" collapsed="false">
      <c r="A399" s="0" t="str">
        <f aca="false">HYPERLINK("https://lindat.mff.cuni.cz/services/PDT-Vallex4.5/PDT-Vallex4.5.html?verb=rýžovat", "rýžovat")</f>
        <v>rýžovat</v>
      </c>
      <c r="B399" s="0" t="str">
        <f aca="false">HYPERLINK("https://lindat.mff.cuni.cz/services/PDT-Vallex4.5/PDT-Vallex4.5.html?verb=rýžovat#v41kdgA", "v41kdgA")</f>
        <v>v41kdgA</v>
      </c>
      <c r="E399" s="0" t="n">
        <v>10</v>
      </c>
      <c r="F399" s="0" t="n">
        <v>0.30189</v>
      </c>
      <c r="G399" s="1" t="s">
        <v>151</v>
      </c>
      <c r="K399" s="0" t="str">
        <f aca="false">HYPERLINK("https://lindat.mff.cuni.cz/services/SynSemClass55/SynSemClass55.html?veclass=vec01105", "vec01105 / rýžovat (v41kdgB)")</f>
        <v>vec01105 / rýžovat (v41kdgB)</v>
      </c>
      <c r="L399" s="0" t="n">
        <v>0.30189</v>
      </c>
      <c r="M399" s="5" t="s">
        <v>30</v>
      </c>
      <c r="P399" s="0" t="str">
        <f aca="false">HYPERLINK("https://lindat.mff.cuni.cz/services/SynSemClass55/SynSemClass55.html?veclass=vec01216", "vec01216 / hrabat se (v41aygA)")</f>
        <v>vec01216 / hrabat se (v41aygA)</v>
      </c>
      <c r="Q399" s="0" t="n">
        <v>0.0536</v>
      </c>
      <c r="R399" s="5" t="s">
        <v>30</v>
      </c>
      <c r="U399" s="0" t="str">
        <f aca="false">HYPERLINK("https://lindat.mff.cuni.cz/services/SynSemClass55/SynSemClass55.html?veclass=vec01491", "vec01491 / fasovat (v41appA)")</f>
        <v>vec01491 / fasovat (v41appA)</v>
      </c>
      <c r="V399" s="0" t="n">
        <v>0.0441</v>
      </c>
      <c r="W399" s="5" t="s">
        <v>30</v>
      </c>
      <c r="Z399" s="0" t="str">
        <f aca="false">HYPERLINK("https://lindat.mff.cuni.cz/services/SynSemClass55/SynSemClass55.html?veclass=vec00648", "vec00648 / odebrat (v41dygC)")</f>
        <v>vec00648 / odebrat (v41dygC)</v>
      </c>
      <c r="AA399" s="0" t="n">
        <v>0.04272</v>
      </c>
      <c r="AB399" s="5" t="s">
        <v>30</v>
      </c>
      <c r="AE399" s="0" t="str">
        <f aca="false">HYPERLINK("https://lindat.mff.cuni.cz/services/SynSemClass55/SynSemClass55.html?veclass=vec00443", "vec00443 / nashromáždit (v41dbbA)")</f>
        <v>vec00443 / nashromáždit (v41dbbA)</v>
      </c>
      <c r="AF399" s="0" t="n">
        <v>0.04261</v>
      </c>
      <c r="AG399" s="5" t="s">
        <v>30</v>
      </c>
    </row>
    <row r="401" customFormat="false" ht="12.75" hidden="false" customHeight="false" outlineLevel="0" collapsed="false">
      <c r="A401" s="0" t="str">
        <f aca="false">HYPERLINK("https://lindat.mff.cuni.cz/services/PDT-Vallex4.5/PDT-Vallex4.5.html?verb=řešit", "řešit")</f>
        <v>řešit</v>
      </c>
      <c r="B401" s="0" t="str">
        <f aca="false">HYPERLINK("https://lindat.mff.cuni.cz/services/PDT-Vallex4.5/PDT-Vallex4.5.html?verb=řešit#v41kdxA", "v41kdxA")</f>
        <v>v41kdxA</v>
      </c>
      <c r="E401" s="0" t="n">
        <v>712</v>
      </c>
      <c r="F401" s="0" t="n">
        <v>0.94252</v>
      </c>
      <c r="G401" s="1" t="s">
        <v>152</v>
      </c>
      <c r="K401" s="0" t="str">
        <f aca="false">HYPERLINK("https://lindat.mff.cuni.cz/services/SynSemClass55/SynSemClass55.html?veclass=vec00301", "vec00301 / řešit (v41kdxB)")</f>
        <v>vec00301 / řešit (v41kdxB)</v>
      </c>
      <c r="L401" s="0" t="n">
        <v>0.94252</v>
      </c>
      <c r="M401" s="5" t="s">
        <v>30</v>
      </c>
      <c r="P401" s="0" t="str">
        <f aca="false">HYPERLINK("https://lindat.mff.cuni.cz/services/SynSemClass55/SynSemClass55.html?veclass=vec01468", "vec01468 / vyrovnat si (v41oubA)")</f>
        <v>vec01468 / vyrovnat si (v41oubA)</v>
      </c>
      <c r="Q401" s="0" t="n">
        <v>0.04274</v>
      </c>
      <c r="R401" s="5" t="s">
        <v>30</v>
      </c>
      <c r="U401" s="0" t="str">
        <f aca="false">HYPERLINK("https://lindat.mff.cuni.cz/services/SynSemClass55/SynSemClass55.html?veclass=vec00205", "vec00205 / čelit (v41mwA)")</f>
        <v>vec00205 / čelit (v41mwA)</v>
      </c>
      <c r="V401" s="0" t="n">
        <v>0.01437</v>
      </c>
      <c r="W401" s="5" t="s">
        <v>30</v>
      </c>
      <c r="Z401" s="0" t="str">
        <f aca="false">HYPERLINK("https://lindat.mff.cuni.cz/services/SynSemClass55/SynSemClass55.html?veclass=vec01839", "vec01839 / propírat (v41hjzA)")</f>
        <v>vec01839 / propírat (v41hjzA)</v>
      </c>
      <c r="AA401" s="0" t="n">
        <v>0.01134</v>
      </c>
      <c r="AB401" s="5" t="s">
        <v>30</v>
      </c>
      <c r="AE401" s="0" t="str">
        <f aca="false">HYPERLINK("https://lindat.mff.cuni.cz/services/SynSemClass55/SynSemClass55.html?veclass=vec01458", "vec01458 / věnovat se (v41njfA)")</f>
        <v>vec01458 / věnovat se (v41njfA)</v>
      </c>
      <c r="AF401" s="0" t="n">
        <v>0.0112</v>
      </c>
      <c r="AG401" s="5" t="s">
        <v>30</v>
      </c>
    </row>
    <row r="403" customFormat="false" ht="12.75" hidden="false" customHeight="false" outlineLevel="0" collapsed="false">
      <c r="A403" s="0" t="str">
        <f aca="false">HYPERLINK("https://lindat.mff.cuni.cz/services/PDT-Vallex4.5/PDT-Vallex4.5.html?verb=sepisovat", "sepisovat")</f>
        <v>sepisovat</v>
      </c>
      <c r="B403" s="0" t="str">
        <f aca="false">HYPERLINK("https://lindat.mff.cuni.cz/services/PDT-Vallex4.5/PDT-Vallex4.5.html?verb=sepisovat#v41kiwB", "v41kiwB")</f>
        <v>v41kiwB</v>
      </c>
      <c r="E403" s="0" t="n">
        <v>189</v>
      </c>
      <c r="F403" s="0" t="n">
        <v>0.86189</v>
      </c>
      <c r="G403" s="1" t="s">
        <v>31</v>
      </c>
      <c r="K403" s="0" t="str">
        <f aca="false">HYPERLINK("https://lindat.mff.cuni.cz/services/SynSemClass55/SynSemClass55.html?veclass=vec00037", "vec00037 / napsat (v41cyqJ)")</f>
        <v>vec00037 / napsat (v41cyqJ)</v>
      </c>
      <c r="L403" s="0" t="n">
        <v>0.86189</v>
      </c>
      <c r="M403" s="5" t="s">
        <v>34</v>
      </c>
      <c r="P403" s="0" t="str">
        <f aca="false">HYPERLINK("https://lindat.mff.cuni.cz/services/SynSemClass55/SynSemClass55.html?veclass=vec01249", "vec01249 / opisovat (v41evuA)")</f>
        <v>vec01249 / opisovat (v41evuA)</v>
      </c>
      <c r="Q403" s="0" t="n">
        <v>0.0408</v>
      </c>
      <c r="R403" s="5" t="s">
        <v>30</v>
      </c>
      <c r="U403" s="0" t="str">
        <f aca="false">HYPERLINK("https://lindat.mff.cuni.cz/services/SynSemClass55/SynSemClass55.html?veclass=vec01345", "vec01345 / vepsat (v41njiA)")</f>
        <v>vec01345 / vepsat (v41njiA)</v>
      </c>
      <c r="V403" s="0" t="n">
        <v>0.02777</v>
      </c>
      <c r="W403" s="5" t="s">
        <v>30</v>
      </c>
      <c r="Z403" s="0" t="str">
        <f aca="false">HYPERLINK("https://lindat.mff.cuni.cz/services/SynSemClass55/SynSemClass55.html?veclass=vec00084", "vec00084 / produkovat (v41hcjA)")</f>
        <v>vec00084 / produkovat (v41hcjA)</v>
      </c>
      <c r="AA403" s="0" t="n">
        <v>0.01887</v>
      </c>
      <c r="AB403" s="5" t="s">
        <v>30</v>
      </c>
      <c r="AE403" s="0" t="str">
        <f aca="false">HYPERLINK("https://lindat.mff.cuni.cz/services/SynSemClass55/SynSemClass55.html?veclass=vec01224", "vec01224 / listovat (v41cbiA)")</f>
        <v>vec01224 / listovat (v41cbiA)</v>
      </c>
      <c r="AF403" s="0" t="n">
        <v>0.01583</v>
      </c>
      <c r="AG403" s="5" t="s">
        <v>30</v>
      </c>
    </row>
    <row r="405" customFormat="false" ht="12.75" hidden="false" customHeight="false" outlineLevel="0" collapsed="false">
      <c r="A405" s="0" t="str">
        <f aca="false">HYPERLINK("https://lindat.mff.cuni.cz/services/PDT-Vallex4.5/PDT-Vallex4.5.html?verb=sesmolit", "sesmolit")</f>
        <v>sesmolit</v>
      </c>
      <c r="B405" s="0" t="str">
        <f aca="false">HYPERLINK("https://lindat.mff.cuni.cz/services/PDT-Vallex4.5/PDT-Vallex4.5.html?verb=sesmolit#v41kkaB", "v41kkaB")</f>
        <v>v41kkaB</v>
      </c>
      <c r="E405" s="0" t="n">
        <v>24</v>
      </c>
      <c r="F405" s="0" t="n">
        <v>0.06972</v>
      </c>
      <c r="G405" s="1" t="s">
        <v>153</v>
      </c>
      <c r="K405" s="0" t="str">
        <f aca="false">HYPERLINK("https://lindat.mff.cuni.cz/services/SynSemClass55/SynSemClass55.html?veclass=vec01575", "vec01575 / namluvit (v41cvkC)")</f>
        <v>vec01575 / namluvit (v41cvkC)</v>
      </c>
      <c r="L405" s="0" t="n">
        <v>0.06972</v>
      </c>
      <c r="M405" s="5" t="s">
        <v>30</v>
      </c>
      <c r="P405" s="0" t="str">
        <f aca="false">HYPERLINK("https://lindat.mff.cuni.cz/services/SynSemClass55/SynSemClass55.html?veclass=vec00380", "vec00380 / zbavit se (v41qvrA)")</f>
        <v>vec00380 / zbavit se (v41qvrA)</v>
      </c>
      <c r="Q405" s="0" t="n">
        <v>0.05479</v>
      </c>
      <c r="R405" s="5" t="s">
        <v>30</v>
      </c>
      <c r="U405" s="0" t="str">
        <f aca="false">HYPERLINK("https://lindat.mff.cuni.cz/services/SynSemClass55/SynSemClass55.html?veclass=vec01444", "vec01444 / skládat (v41kqdC)")</f>
        <v>vec01444 / skládat (v41kqdC)</v>
      </c>
      <c r="V405" s="0" t="n">
        <v>0.0537</v>
      </c>
      <c r="W405" s="5" t="s">
        <v>30</v>
      </c>
      <c r="Z405" s="0" t="str">
        <f aca="false">HYPERLINK("https://lindat.mff.cuni.cz/services/SynSemClass55/SynSemClass55.html?veclass=vec00347", "vec00347 / vinit (v41nllA)")</f>
        <v>vec00347 / vinit (v41nllA)</v>
      </c>
      <c r="AA405" s="0" t="n">
        <v>0.04351</v>
      </c>
      <c r="AB405" s="5" t="s">
        <v>30</v>
      </c>
      <c r="AE405" s="0" t="str">
        <f aca="false">HYPERLINK("https://lindat.mff.cuni.cz/services/SynSemClass55/SynSemClass55.html?veclass=vec01167", "vec01167 / zabudovat (v41pqdB)")</f>
        <v>vec01167 / zabudovat (v41pqdB)</v>
      </c>
      <c r="AF405" s="0" t="n">
        <v>0.03877</v>
      </c>
      <c r="AG405" s="5" t="s">
        <v>30</v>
      </c>
    </row>
    <row r="407" customFormat="false" ht="12.75" hidden="false" customHeight="false" outlineLevel="0" collapsed="false">
      <c r="A407" s="0" t="str">
        <f aca="false">HYPERLINK("https://lindat.mff.cuni.cz/services/PDT-Vallex4.5/PDT-Vallex4.5.html?verb=sešikovat", "sešikovat")</f>
        <v>sešikovat</v>
      </c>
      <c r="B407" s="0" t="str">
        <f aca="false">HYPERLINK("https://lindat.mff.cuni.cz/services/PDT-Vallex4.5/PDT-Vallex4.5.html?verb=sešikovat#v41kkxA", "v41kkxA")</f>
        <v>v41kkxA</v>
      </c>
      <c r="E407" s="0" t="n">
        <v>22</v>
      </c>
      <c r="F407" s="0" t="n">
        <v>0.06721</v>
      </c>
      <c r="G407" s="1" t="s">
        <v>31</v>
      </c>
      <c r="K407" s="0" t="str">
        <f aca="false">HYPERLINK("https://lindat.mff.cuni.cz/services/SynSemClass55/SynSemClass55.html?veclass=vec00710", "vec00710 / shromáždit se (v41kndA)")</f>
        <v>vec00710 / shromáždit se (v41kndA)</v>
      </c>
      <c r="L407" s="0" t="n">
        <v>0.06721</v>
      </c>
      <c r="M407" s="5" t="s">
        <v>30</v>
      </c>
      <c r="P407" s="0" t="str">
        <f aca="false">HYPERLINK("https://lindat.mff.cuni.cz/services/SynSemClass55/SynSemClass55.html?veclass=vec00833", "vec00833 / mačkat se (v41cdaA)")</f>
        <v>vec00833 / mačkat se (v41cdaA)</v>
      </c>
      <c r="Q407" s="0" t="n">
        <v>0.0672</v>
      </c>
      <c r="R407" s="5" t="s">
        <v>30</v>
      </c>
      <c r="U407" s="0" t="str">
        <f aca="false">HYPERLINK("https://lindat.mff.cuni.cz/services/SynSemClass55/SynSemClass55.html?veclass=vec01444", "vec01444 / skládat (v41kqdC)")</f>
        <v>vec01444 / skládat (v41kqdC)</v>
      </c>
      <c r="V407" s="0" t="n">
        <v>0.06171</v>
      </c>
      <c r="W407" s="5" t="s">
        <v>30</v>
      </c>
      <c r="Z407" s="0" t="str">
        <f aca="false">HYPERLINK("https://lindat.mff.cuni.cz/services/SynSemClass55/SynSemClass55.html?veclass=vec00443", "vec00443 / nashromáždit (v41dbbA)")</f>
        <v>vec00443 / nashromáždit (v41dbbA)</v>
      </c>
      <c r="AA407" s="0" t="n">
        <v>0.04552</v>
      </c>
      <c r="AB407" s="5" t="s">
        <v>33</v>
      </c>
      <c r="AE407" s="0" t="str">
        <f aca="false">HYPERLINK("https://lindat.mff.cuni.cz/services/SynSemClass55/SynSemClass55.html?veclass=vec00318", "vec00318 / spojit se (v41lcwA)")</f>
        <v>vec00318 / spojit se (v41lcwA)</v>
      </c>
      <c r="AF407" s="0" t="n">
        <v>0.03657</v>
      </c>
      <c r="AG407" s="5" t="s">
        <v>30</v>
      </c>
    </row>
    <row r="409" customFormat="false" ht="12.75" hidden="false" customHeight="false" outlineLevel="0" collapsed="false">
      <c r="A409" s="0" t="str">
        <f aca="false">HYPERLINK("https://lindat.mff.cuni.cz/services/PDT-Vallex4.5/PDT-Vallex4.5.html?verb=setřít", "setřít")</f>
        <v>setřít</v>
      </c>
      <c r="B409" s="0" t="str">
        <f aca="false">HYPERLINK("https://lindat.mff.cuni.cz/services/PDT-Vallex4.5/PDT-Vallex4.5.html?verb=setřít#v41kloA", "v41kloA")</f>
        <v>v41kloA</v>
      </c>
      <c r="E409" s="0" t="n">
        <v>471</v>
      </c>
      <c r="F409" s="0" t="n">
        <v>0.13057</v>
      </c>
      <c r="G409" s="1" t="s">
        <v>154</v>
      </c>
      <c r="K409" s="0" t="str">
        <f aca="false">HYPERLINK("https://lindat.mff.cuni.cz/services/SynSemClass55/SynSemClass55.html?veclass=vec00924", "vec00924 / smést (v41kvgB)")</f>
        <v>vec00924 / smést (v41kvgB)</v>
      </c>
      <c r="L409" s="0" t="n">
        <v>0.13057</v>
      </c>
      <c r="M409" s="5" t="s">
        <v>30</v>
      </c>
      <c r="P409" s="0" t="str">
        <f aca="false">HYPERLINK("https://lindat.mff.cuni.cz/services/SynSemClass55/SynSemClass55.html?veclass=vec00923", "vec00923 / smazat (v41kupB)")</f>
        <v>vec00923 / smazat (v41kupB)</v>
      </c>
      <c r="Q409" s="0" t="n">
        <v>0.06836</v>
      </c>
      <c r="R409" s="5" t="s">
        <v>30</v>
      </c>
      <c r="U409" s="0" t="str">
        <f aca="false">HYPERLINK("https://lindat.mff.cuni.cz/services/SynSemClass55/SynSemClass55.html?veclass=vec00910", "vec00910 / rozptýlit (v41jxiB)")</f>
        <v>vec00910 / rozptýlit (v41jxiB)</v>
      </c>
      <c r="V409" s="0" t="n">
        <v>0.04828</v>
      </c>
      <c r="W409" s="5" t="s">
        <v>30</v>
      </c>
      <c r="Z409" s="0" t="str">
        <f aca="false">HYPERLINK("https://lindat.mff.cuni.cz/services/SynSemClass55/SynSemClass55.html?veclass=vec00840", "vec00840 / mýt (v41ckpA)")</f>
        <v>vec00840 / mýt (v41ckpA)</v>
      </c>
      <c r="AA409" s="0" t="n">
        <v>0.0438</v>
      </c>
      <c r="AB409" s="5" t="s">
        <v>30</v>
      </c>
      <c r="AE409" s="0" t="str">
        <f aca="false">HYPERLINK("https://lindat.mff.cuni.cz/services/SynSemClass55/SynSemClass55.html?veclass=vec00648", "vec00648 / odebrat (v41dygC)")</f>
        <v>vec00648 / odebrat (v41dygC)</v>
      </c>
      <c r="AF409" s="0" t="n">
        <v>0.03565</v>
      </c>
      <c r="AG409" s="5" t="s">
        <v>30</v>
      </c>
    </row>
    <row r="411" customFormat="false" ht="12.75" hidden="false" customHeight="false" outlineLevel="0" collapsed="false">
      <c r="A411" s="0" t="str">
        <f aca="false">HYPERLINK("https://lindat.mff.cuni.cz/services/PDT-Vallex4.5/PDT-Vallex4.5.html?verb=sežrat", "sežrat")</f>
        <v>sežrat</v>
      </c>
      <c r="B411" s="0" t="str">
        <f aca="false">HYPERLINK("https://lindat.mff.cuni.cz/services/PDT-Vallex4.5/PDT-Vallex4.5.html?verb=sežrat#v41kmaB", "v41kmaB")</f>
        <v>v41kmaB</v>
      </c>
      <c r="E411" s="0" t="n">
        <v>816</v>
      </c>
      <c r="F411" s="0" t="n">
        <v>0.89928</v>
      </c>
      <c r="G411" s="1" t="s">
        <v>67</v>
      </c>
      <c r="K411" s="0" t="str">
        <f aca="false">HYPERLINK("https://lindat.mff.cuni.cz/services/SynSemClass55/SynSemClass55.html?veclass=vec00828", "vec00828 / jíst (v41bifB)")</f>
        <v>vec00828 / jíst (v41bifB)</v>
      </c>
      <c r="L411" s="0" t="n">
        <v>0.89928</v>
      </c>
      <c r="M411" s="5" t="s">
        <v>30</v>
      </c>
      <c r="P411" s="0" t="str">
        <f aca="false">HYPERLINK("https://lindat.mff.cuni.cz/services/SynSemClass55/SynSemClass55.html?veclass=vec01514", "vec01514 / předávkovat (v41hvjA)")</f>
        <v>vec01514 / předávkovat (v41hvjA)</v>
      </c>
      <c r="Q411" s="0" t="n">
        <v>0.05544</v>
      </c>
      <c r="R411" s="5" t="s">
        <v>30</v>
      </c>
      <c r="U411" s="0" t="str">
        <f aca="false">HYPERLINK("https://lindat.mff.cuni.cz/services/SynSemClass55/SynSemClass55.html?veclass=vec00476", "vec00476 / pohltit (v41fxaA)")</f>
        <v>vec00476 / pohltit (v41fxaA)</v>
      </c>
      <c r="V411" s="0" t="n">
        <v>0.03149</v>
      </c>
      <c r="W411" s="5" t="s">
        <v>30</v>
      </c>
      <c r="Z411" s="0" t="str">
        <f aca="false">HYPERLINK("https://lindat.mff.cuni.cz/services/SynSemClass55/SynSemClass55.html?veclass=vec00345", "vec00345 / věřit (v41njsD)")</f>
        <v>vec00345 / věřit (v41njsD)</v>
      </c>
      <c r="AA411" s="0" t="n">
        <v>0.02543</v>
      </c>
      <c r="AB411" s="5" t="s">
        <v>30</v>
      </c>
      <c r="AE411" s="0" t="str">
        <f aca="false">HYPERLINK("https://lindat.mff.cuni.cz/services/SynSemClass55/SynSemClass55.html?veclass=vec00785", "vec00785 / zhoršit (v41rcrA)")</f>
        <v>vec00785 / zhoršit (v41rcrA)</v>
      </c>
      <c r="AF411" s="0" t="n">
        <v>0.0251</v>
      </c>
      <c r="AG411" s="5" t="s">
        <v>30</v>
      </c>
    </row>
    <row r="413" customFormat="false" ht="12.75" hidden="false" customHeight="false" outlineLevel="0" collapsed="false">
      <c r="A413" s="0" t="str">
        <f aca="false">HYPERLINK("https://lindat.mff.cuni.cz/services/PDT-Vallex4.5/PDT-Vallex4.5.html?verb=shnít", "shnít")</f>
        <v>shnít</v>
      </c>
      <c r="B413" s="0" t="str">
        <f aca="false">HYPERLINK("https://lindat.mff.cuni.cz/services/PDT-Vallex4.5/PDT-Vallex4.5.html?verb=shnít#v41kmlA", "v41kmlA")</f>
        <v>v41kmlA</v>
      </c>
      <c r="E413" s="0" t="n">
        <v>106</v>
      </c>
      <c r="F413" s="0" t="n">
        <v>0.20771</v>
      </c>
      <c r="G413" s="1" t="s">
        <v>31</v>
      </c>
      <c r="K413" s="0" t="str">
        <f aca="false">HYPERLINK("https://lindat.mff.cuni.cz/services/SynSemClass55/SynSemClass55.html?veclass=vec00790", "vec00790 / zkazit se (v41rfkA)")</f>
        <v>vec00790 / zkazit se (v41rfkA)</v>
      </c>
      <c r="L413" s="0" t="n">
        <v>0.20771</v>
      </c>
      <c r="M413" s="5" t="s">
        <v>33</v>
      </c>
      <c r="P413" s="0" t="str">
        <f aca="false">HYPERLINK("https://lindat.mff.cuni.cz/services/SynSemClass55/SynSemClass55.html?veclass=vec01103", "vec01103 / roztavit se (v41jztA)")</f>
        <v>vec01103 / roztavit se (v41jztA)</v>
      </c>
      <c r="Q413" s="0" t="n">
        <v>0.06126</v>
      </c>
      <c r="R413" s="5" t="s">
        <v>30</v>
      </c>
      <c r="U413" s="0" t="str">
        <f aca="false">HYPERLINK("https://lindat.mff.cuni.cz/services/SynSemClass55/SynSemClass55.html?veclass=vec00810", "vec00810 / dojít (v41zdJ)")</f>
        <v>vec00810 / dojít (v41zdJ)</v>
      </c>
      <c r="V413" s="0" t="n">
        <v>0.05275</v>
      </c>
      <c r="W413" s="5" t="s">
        <v>30</v>
      </c>
      <c r="Z413" s="0" t="str">
        <f aca="false">HYPERLINK("https://lindat.mff.cuni.cz/services/SynSemClass55/SynSemClass55.html?veclass=vec01549", "vec01549 / dusit se (v41alzA)")</f>
        <v>vec01549 / dusit se (v41alzA)</v>
      </c>
      <c r="AA413" s="0" t="n">
        <v>0.046</v>
      </c>
      <c r="AB413" s="5" t="s">
        <v>30</v>
      </c>
      <c r="AE413" s="0" t="str">
        <f aca="false">HYPERLINK("https://lindat.mff.cuni.cz/services/SynSemClass55/SynSemClass55.html?veclass=vec01744", "vec01744 / chátrat (v41bawA)")</f>
        <v>vec01744 / chátrat (v41bawA)</v>
      </c>
      <c r="AF413" s="0" t="n">
        <v>0.04518</v>
      </c>
      <c r="AG413" s="5" t="s">
        <v>30</v>
      </c>
    </row>
    <row r="415" customFormat="false" ht="12.75" hidden="false" customHeight="false" outlineLevel="0" collapsed="false">
      <c r="A415" s="0" t="str">
        <f aca="false">HYPERLINK("https://lindat.mff.cuni.cz/services/PDT-Vallex4.5/PDT-Vallex4.5.html?verb=shrabovat", "shrabovat")</f>
        <v>shrabovat</v>
      </c>
      <c r="B415" s="0" t="str">
        <f aca="false">HYPERLINK("https://lindat.mff.cuni.cz/services/PDT-Vallex4.5/PDT-Vallex4.5.html?verb=shrabovat#v41kmwA", "v41kmwA")</f>
        <v>v41kmwA</v>
      </c>
      <c r="E415" s="0" t="n">
        <v>60</v>
      </c>
      <c r="F415" s="0" t="n">
        <v>0.12578</v>
      </c>
      <c r="G415" s="1" t="s">
        <v>31</v>
      </c>
      <c r="K415" s="0" t="str">
        <f aca="false">HYPERLINK("https://lindat.mff.cuni.cz/services/SynSemClass55/SynSemClass55.html?veclass=vec01552", "vec01552 / hrabat (v41ayfA)")</f>
        <v>vec01552 / hrabat (v41ayfA)</v>
      </c>
      <c r="L415" s="0" t="n">
        <v>0.12578</v>
      </c>
      <c r="M415" s="5" t="s">
        <v>33</v>
      </c>
      <c r="P415" s="0" t="str">
        <f aca="false">HYPERLINK("https://lindat.mff.cuni.cz/services/SynSemClass55/SynSemClass55.html?veclass=vec01106", "vec01106 / shazovat (v41kmeA)")</f>
        <v>vec01106 / shazovat (v41kmeA)</v>
      </c>
      <c r="Q415" s="0" t="n">
        <v>0.09801</v>
      </c>
      <c r="R415" s="5" t="s">
        <v>30</v>
      </c>
      <c r="U415" s="0" t="str">
        <f aca="false">HYPERLINK("https://lindat.mff.cuni.cz/services/SynSemClass55/SynSemClass55.html?veclass=vec00924", "vec00924 / smést (v41kvgB)")</f>
        <v>vec00924 / smést (v41kvgB)</v>
      </c>
      <c r="V415" s="0" t="n">
        <v>0.06553</v>
      </c>
      <c r="W415" s="5" t="s">
        <v>30</v>
      </c>
      <c r="Z415" s="0" t="str">
        <f aca="false">HYPERLINK("https://lindat.mff.cuni.cz/services/SynSemClass55/SynSemClass55.html?veclass=vec00819", "vec00819 / házet (v41aupC)")</f>
        <v>vec00819 / házet (v41aupC)</v>
      </c>
      <c r="AA415" s="0" t="n">
        <v>0.04215</v>
      </c>
      <c r="AB415" s="5" t="s">
        <v>30</v>
      </c>
      <c r="AE415" s="0" t="str">
        <f aca="false">HYPERLINK("https://lindat.mff.cuni.cz/services/SynSemClass55/SynSemClass55.html?veclass=vec00380", "vec00380 / zbavit se (v41qvrA)")</f>
        <v>vec00380 / zbavit se (v41qvrA)</v>
      </c>
      <c r="AF415" s="0" t="n">
        <v>0.04009</v>
      </c>
      <c r="AG415" s="5" t="s">
        <v>30</v>
      </c>
    </row>
    <row r="417" customFormat="false" ht="12.75" hidden="false" customHeight="false" outlineLevel="0" collapsed="false">
      <c r="A417" s="0" t="str">
        <f aca="false">HYPERLINK("https://lindat.mff.cuni.cz/services/PDT-Vallex4.5/PDT-Vallex4.5.html?verb=shrnout", "shrnout")</f>
        <v>shrnout</v>
      </c>
      <c r="B417" s="0" t="str">
        <f aca="false">HYPERLINK("https://lindat.mff.cuni.cz/services/PDT-Vallex4.5/PDT-Vallex4.5.html?verb=shrnout#v41kmxB", "v41kmxB")</f>
        <v>v41kmxB</v>
      </c>
      <c r="E417" s="0" t="n">
        <v>472</v>
      </c>
      <c r="F417" s="0" t="n">
        <v>0.50324</v>
      </c>
      <c r="G417" s="1" t="s">
        <v>31</v>
      </c>
      <c r="K417" s="0" t="str">
        <f aca="false">HYPERLINK("https://lindat.mff.cuni.cz/services/SynSemClass55/SynSemClass55.html?veclass=vec00709", "vec00709 / shrnout (v41kmxA)")</f>
        <v>vec00709 / shrnout (v41kmxA)</v>
      </c>
      <c r="L417" s="0" t="n">
        <v>0.50324</v>
      </c>
      <c r="M417" s="5" t="s">
        <v>30</v>
      </c>
      <c r="P417" s="0" t="str">
        <f aca="false">HYPERLINK("https://lindat.mff.cuni.cz/services/SynSemClass55/SynSemClass55.html?veclass=vec01106", "vec01106 / shazovat (v41kmeA)")</f>
        <v>vec01106 / shazovat (v41kmeA)</v>
      </c>
      <c r="Q417" s="0" t="n">
        <v>0.02688</v>
      </c>
      <c r="R417" s="5" t="s">
        <v>33</v>
      </c>
      <c r="U417" s="0" t="str">
        <f aca="false">HYPERLINK("https://lindat.mff.cuni.cz/services/SynSemClass55/SynSemClass55.html?veclass=vec01678", "vec01678 / smeknout (v41kuuA)")</f>
        <v>vec01678 / smeknout (v41kuuA)</v>
      </c>
      <c r="V417" s="0" t="n">
        <v>0.02244</v>
      </c>
      <c r="W417" s="5" t="s">
        <v>30</v>
      </c>
      <c r="Z417" s="0" t="str">
        <f aca="false">HYPERLINK("https://lindat.mff.cuni.cz/services/SynSemClass55/SynSemClass55.html?veclass=vec01444", "vec01444 / skládat (v41kqdC)")</f>
        <v>vec01444 / skládat (v41kqdC)</v>
      </c>
      <c r="AA417" s="0" t="n">
        <v>0.02059</v>
      </c>
      <c r="AB417" s="5" t="s">
        <v>30</v>
      </c>
      <c r="AE417" s="0" t="str">
        <f aca="false">HYPERLINK("https://lindat.mff.cuni.cz/services/SynSemClass55/SynSemClass55.html?veclass=vec00841", "vec00841 / nacpat (v41cmpB)")</f>
        <v>vec00841 / nacpat (v41cmpB)</v>
      </c>
      <c r="AF417" s="0" t="n">
        <v>0.01842</v>
      </c>
      <c r="AG417" s="5" t="s">
        <v>30</v>
      </c>
    </row>
    <row r="419" customFormat="false" ht="12.75" hidden="false" customHeight="false" outlineLevel="0" collapsed="false">
      <c r="A419" s="0" t="str">
        <f aca="false">HYPERLINK("https://lindat.mff.cuni.cz/services/PDT-Vallex4.5/PDT-Vallex4.5.html?verb=schovat", "schovat")</f>
        <v>schovat</v>
      </c>
      <c r="B419" s="0" t="str">
        <f aca="false">HYPERLINK("https://lindat.mff.cuni.cz/services/PDT-Vallex4.5/PDT-Vallex4.5.html?verb=schovat#v41knoA", "v41knoA")</f>
        <v>v41knoA</v>
      </c>
      <c r="E419" s="0" t="n">
        <v>2900</v>
      </c>
      <c r="F419" s="0" t="n">
        <v>0.675</v>
      </c>
      <c r="G419" s="1" t="s">
        <v>31</v>
      </c>
      <c r="K419" s="0" t="str">
        <f aca="false">HYPERLINK("https://lindat.mff.cuni.cz/services/SynSemClass55/SynSemClass55.html?veclass=vec00514", "vec00514 / skrýt (v41krqB)")</f>
        <v>vec00514 / skrýt (v41krqB)</v>
      </c>
      <c r="L419" s="0" t="n">
        <v>0.675</v>
      </c>
      <c r="M419" s="5" t="s">
        <v>33</v>
      </c>
      <c r="P419" s="0" t="str">
        <f aca="false">HYPERLINK("https://lindat.mff.cuni.cz/services/SynSemClass55/SynSemClass55.html?veclass=vec00714", "vec00714 / skrývat se (v41krtA)")</f>
        <v>vec00714 / skrývat se (v41krtA)</v>
      </c>
      <c r="Q419" s="0" t="n">
        <v>0.10815</v>
      </c>
      <c r="R419" s="5" t="s">
        <v>30</v>
      </c>
      <c r="U419" s="0" t="str">
        <f aca="false">HYPERLINK("https://lindat.mff.cuni.cz/services/SynSemClass55/SynSemClass55.html?veclass=vec01338", "vec01338 / ulít (v41mnvA)")</f>
        <v>vec01338 / ulít (v41mnvA)</v>
      </c>
      <c r="V419" s="0" t="n">
        <v>0.06633</v>
      </c>
      <c r="W419" s="5" t="s">
        <v>30</v>
      </c>
      <c r="Z419" s="0" t="str">
        <f aca="false">HYPERLINK("https://lindat.mff.cuni.cz/services/SynSemClass55/SynSemClass55.html?veclass=vec01337", "vec01337 / uchylovat se (v41mklB)")</f>
        <v>vec01337 / uchylovat se (v41mklB)</v>
      </c>
      <c r="AA419" s="0" t="n">
        <v>0.02823</v>
      </c>
      <c r="AB419" s="5" t="s">
        <v>30</v>
      </c>
      <c r="AE419" s="0" t="str">
        <f aca="false">HYPERLINK("https://lindat.mff.cuni.cz/services/SynSemClass55/SynSemClass55.html?veclass=vec00024", "vec00024 / chránit (v41bbwA)")</f>
        <v>vec00024 / chránit (v41bbwA)</v>
      </c>
      <c r="AF419" s="0" t="n">
        <v>0.02555</v>
      </c>
      <c r="AG419" s="5" t="s">
        <v>30</v>
      </c>
    </row>
    <row r="421" customFormat="false" ht="12.75" hidden="false" customHeight="false" outlineLevel="0" collapsed="false">
      <c r="A421" s="0" t="str">
        <f aca="false">HYPERLINK("https://lindat.mff.cuni.cz/services/PDT-Vallex4.5/PDT-Vallex4.5.html?verb=schválit", "schválit")</f>
        <v>schválit</v>
      </c>
      <c r="B421" s="0" t="str">
        <f aca="false">HYPERLINK("https://lindat.mff.cuni.cz/services/PDT-Vallex4.5/PDT-Vallex4.5.html?verb=schválit#v41knwA", "v41knwA")</f>
        <v>v41knwA</v>
      </c>
      <c r="E421" s="0" t="n">
        <v>430</v>
      </c>
      <c r="F421" s="0" t="n">
        <v>0.86061</v>
      </c>
      <c r="G421" s="1" t="s">
        <v>31</v>
      </c>
      <c r="K421" s="0" t="str">
        <f aca="false">HYPERLINK("https://lindat.mff.cuni.cz/services/SynSemClass55/SynSemClass55.html?veclass=vec00078", "vec00078 / potvrdit (v41grtA)")</f>
        <v>vec00078 / potvrdit (v41grtA)</v>
      </c>
      <c r="L421" s="0" t="n">
        <v>0.86061</v>
      </c>
      <c r="M421" s="5" t="s">
        <v>30</v>
      </c>
      <c r="P421" s="0" t="str">
        <f aca="false">HYPERLINK("https://lindat.mff.cuni.cz/services/SynSemClass55/SynSemClass55.html?veclass=vec00120", "vec00120 / souhlasit (v41kypC)")</f>
        <v>vec00120 / souhlasit (v41kypC)</v>
      </c>
      <c r="Q421" s="0" t="n">
        <v>0.04678</v>
      </c>
      <c r="R421" s="5" t="s">
        <v>30</v>
      </c>
      <c r="U421" s="0" t="str">
        <f aca="false">HYPERLINK("https://lindat.mff.cuni.cz/services/SynSemClass55/SynSemClass55.html?veclass=vec01320", "vec01320 / souhlasit (v41kypA)")</f>
        <v>vec01320 / souhlasit (v41kypA)</v>
      </c>
      <c r="V421" s="0" t="n">
        <v>0.04085</v>
      </c>
      <c r="W421" s="5" t="s">
        <v>30</v>
      </c>
      <c r="Z421" s="0" t="str">
        <f aca="false">HYPERLINK("https://lindat.mff.cuni.cz/services/SynSemClass55/SynSemClass55.html?veclass=vec00675", "vec00675 / pochválit (v41fyxA)")</f>
        <v>vec00675 / pochválit (v41fyxA)</v>
      </c>
      <c r="AA421" s="0" t="n">
        <v>0.01845</v>
      </c>
      <c r="AB421" s="5" t="s">
        <v>30</v>
      </c>
      <c r="AE421" s="0" t="str">
        <f aca="false">HYPERLINK("https://lindat.mff.cuni.cz/services/SynSemClass55/SynSemClass55.html?veclass=vec01076", "vec01076 / potvrdit (v41grtB)")</f>
        <v>vec01076 / potvrdit (v41grtB)</v>
      </c>
      <c r="AF421" s="0" t="n">
        <v>0.0154</v>
      </c>
      <c r="AG421" s="5" t="s">
        <v>33</v>
      </c>
    </row>
    <row r="423" customFormat="false" ht="12.75" hidden="false" customHeight="false" outlineLevel="0" collapsed="false">
      <c r="A423" s="0" t="str">
        <f aca="false">HYPERLINK("https://lindat.mff.cuni.cz/services/PDT-Vallex4.5/PDT-Vallex4.5.html?verb=schvalovat", "schvalovat")</f>
        <v>schvalovat</v>
      </c>
      <c r="B423" s="0" t="str">
        <f aca="false">HYPERLINK("https://lindat.mff.cuni.cz/services/PDT-Vallex4.5/PDT-Vallex4.5.html?verb=schvalovat#v41knzA", "v41knzA")</f>
        <v>v41knzA</v>
      </c>
      <c r="E423" s="0" t="n">
        <v>362</v>
      </c>
      <c r="F423" s="0" t="n">
        <v>0.90116</v>
      </c>
      <c r="G423" s="1" t="s">
        <v>31</v>
      </c>
      <c r="K423" s="0" t="str">
        <f aca="false">HYPERLINK("https://lindat.mff.cuni.cz/services/SynSemClass55/SynSemClass55.html?veclass=vec00078", "vec00078 / potvrdit (v41grtA)")</f>
        <v>vec00078 / potvrdit (v41grtA)</v>
      </c>
      <c r="L423" s="0" t="n">
        <v>0.90116</v>
      </c>
      <c r="M423" s="5" t="s">
        <v>30</v>
      </c>
      <c r="P423" s="0" t="str">
        <f aca="false">HYPERLINK("https://lindat.mff.cuni.cz/services/SynSemClass55/SynSemClass55.html?veclass=vec00120", "vec00120 / souhlasit (v41kypC)")</f>
        <v>vec00120 / souhlasit (v41kypC)</v>
      </c>
      <c r="Q423" s="0" t="n">
        <v>0.07132</v>
      </c>
      <c r="R423" s="5" t="s">
        <v>30</v>
      </c>
      <c r="U423" s="0" t="str">
        <f aca="false">HYPERLINK("https://lindat.mff.cuni.cz/services/SynSemClass55/SynSemClass55.html?veclass=vec01320", "vec01320 / souhlasit (v41kypA)")</f>
        <v>vec01320 / souhlasit (v41kypA)</v>
      </c>
      <c r="V423" s="0" t="n">
        <v>0.03529</v>
      </c>
      <c r="W423" s="5" t="s">
        <v>30</v>
      </c>
      <c r="Z423" s="0" t="str">
        <f aca="false">HYPERLINK("https://lindat.mff.cuni.cz/services/SynSemClass55/SynSemClass55.html?veclass=vec01076", "vec01076 / potvrdit (v41grtB)")</f>
        <v>vec01076 / potvrdit (v41grtB)</v>
      </c>
      <c r="AA423" s="0" t="n">
        <v>0.0135</v>
      </c>
      <c r="AB423" s="5" t="s">
        <v>33</v>
      </c>
      <c r="AE423" s="0" t="str">
        <f aca="false">HYPERLINK("https://lindat.mff.cuni.cz/services/SynSemClass55/SynSemClass55.html?veclass=vec00012", "vec00012 / dovolit (v41aiqA)")</f>
        <v>vec00012 / dovolit (v41aiqA)</v>
      </c>
      <c r="AF423" s="0" t="n">
        <v>0.01265</v>
      </c>
      <c r="AG423" s="5" t="s">
        <v>30</v>
      </c>
    </row>
    <row r="425" customFormat="false" ht="12.75" hidden="false" customHeight="false" outlineLevel="0" collapsed="false">
      <c r="A425" s="0" t="str">
        <f aca="false">HYPERLINK("https://lindat.mff.cuni.cz/services/PDT-Vallex4.5/PDT-Vallex4.5.html?verb=schylovat se", "schylovat se")</f>
        <v>schylovat se</v>
      </c>
      <c r="B425" s="0" t="str">
        <f aca="false">HYPERLINK("https://lindat.mff.cuni.cz/services/PDT-Vallex4.5/PDT-Vallex4.5.html?verb=schylovat se#v41kobA", "v41kobA")</f>
        <v>v41kobA</v>
      </c>
      <c r="E425" s="0" t="n">
        <v>199</v>
      </c>
      <c r="F425" s="0" t="n">
        <v>0.38338</v>
      </c>
      <c r="G425" s="1" t="s">
        <v>31</v>
      </c>
      <c r="K425" s="0" t="str">
        <f aca="false">HYPERLINK("https://lindat.mff.cuni.cz/services/SynSemClass55/SynSemClass55.html?veclass=vec01556", "vec01556 / klást se (v41bkxA)")</f>
        <v>vec01556 / klást se (v41bkxA)</v>
      </c>
      <c r="L425" s="0" t="n">
        <v>0.38338</v>
      </c>
      <c r="M425" s="5" t="s">
        <v>30</v>
      </c>
      <c r="P425" s="0" t="str">
        <f aca="false">HYPERLINK("https://lindat.mff.cuni.cz/services/SynSemClass55/SynSemClass55.html?veclass=vec01390", "vec01390 / blížit se (v41gbC)")</f>
        <v>vec01390 / blížit se (v41gbC)</v>
      </c>
      <c r="Q425" s="0" t="n">
        <v>0.11152</v>
      </c>
      <c r="R425" s="5" t="s">
        <v>30</v>
      </c>
      <c r="U425" s="0" t="str">
        <f aca="false">HYPERLINK("https://lindat.mff.cuni.cz/services/SynSemClass55/SynSemClass55.html?veclass=vec00516", "vec00516 / směřovat (v41kveB)")</f>
        <v>vec00516 / směřovat (v41kveB)</v>
      </c>
      <c r="V425" s="0" t="n">
        <v>0.09857</v>
      </c>
      <c r="W425" s="5" t="s">
        <v>30</v>
      </c>
      <c r="Z425" s="0" t="str">
        <f aca="false">HYPERLINK("https://lindat.mff.cuni.cz/services/SynSemClass55/SynSemClass55.html?veclass=vec01201", "vec01201 / blížit se (v41gbD)")</f>
        <v>vec01201 / blížit se (v41gbD)</v>
      </c>
      <c r="AA425" s="0" t="n">
        <v>0.07489</v>
      </c>
      <c r="AB425" s="5" t="s">
        <v>33</v>
      </c>
      <c r="AE425" s="0" t="str">
        <f aca="false">HYPERLINK("https://lindat.mff.cuni.cz/services/SynSemClass55/SynSemClass55.html?veclass=vec00665", "vec00665 / plazit se (v41fnbA)")</f>
        <v>vec00665 / plazit se (v41fnbA)</v>
      </c>
      <c r="AF425" s="0" t="n">
        <v>0.05902</v>
      </c>
      <c r="AG425" s="5" t="s">
        <v>30</v>
      </c>
    </row>
    <row r="427" customFormat="false" ht="12.75" hidden="false" customHeight="false" outlineLevel="0" collapsed="false">
      <c r="A427" s="0" t="str">
        <f aca="false">HYPERLINK("https://lindat.mff.cuni.cz/services/PDT-Vallex4.5/PDT-Vallex4.5.html?verb=skrýt", "skrýt")</f>
        <v>skrýt</v>
      </c>
      <c r="B427" s="0" t="str">
        <f aca="false">HYPERLINK("https://lindat.mff.cuni.cz/services/PDT-Vallex4.5/PDT-Vallex4.5.html?verb=skrýt#v41krqA", "v41krqA")</f>
        <v>v41krqA</v>
      </c>
      <c r="E427" s="0" t="n">
        <v>1252</v>
      </c>
      <c r="F427" s="0" t="n">
        <v>0.73762</v>
      </c>
      <c r="G427" s="1" t="s">
        <v>31</v>
      </c>
      <c r="K427" s="0" t="str">
        <f aca="false">HYPERLINK("https://lindat.mff.cuni.cz/services/SynSemClass55/SynSemClass55.html?veclass=vec00514", "vec00514 / skrýt (v41krqB)")</f>
        <v>vec00514 / skrýt (v41krqB)</v>
      </c>
      <c r="L427" s="0" t="n">
        <v>0.73762</v>
      </c>
      <c r="M427" s="5" t="s">
        <v>33</v>
      </c>
      <c r="P427" s="0" t="str">
        <f aca="false">HYPERLINK("https://lindat.mff.cuni.cz/services/SynSemClass55/SynSemClass55.html?veclass=vec00714", "vec00714 / skrývat se (v41krtA)")</f>
        <v>vec00714 / skrývat se (v41krtA)</v>
      </c>
      <c r="Q427" s="0" t="n">
        <v>0.12435</v>
      </c>
      <c r="R427" s="5" t="s">
        <v>30</v>
      </c>
      <c r="U427" s="0" t="str">
        <f aca="false">HYPERLINK("https://lindat.mff.cuni.cz/services/SynSemClass55/SynSemClass55.html?veclass=vec01338", "vec01338 / ulít (v41mnvA)")</f>
        <v>vec01338 / ulít (v41mnvA)</v>
      </c>
      <c r="V427" s="0" t="n">
        <v>0.04209</v>
      </c>
      <c r="W427" s="5" t="s">
        <v>30</v>
      </c>
      <c r="Z427" s="0" t="str">
        <f aca="false">HYPERLINK("https://lindat.mff.cuni.cz/services/SynSemClass55/SynSemClass55.html?veclass=vec00770", "vec00770 / zamlžit (v41qcdA)")</f>
        <v>vec00770 / zamlžit (v41qcdA)</v>
      </c>
      <c r="AA427" s="0" t="n">
        <v>0.02379</v>
      </c>
      <c r="AB427" s="5" t="s">
        <v>30</v>
      </c>
      <c r="AE427" s="0" t="str">
        <f aca="false">HYPERLINK("https://lindat.mff.cuni.cz/services/SynSemClass55/SynSemClass55.html?veclass=vec00024", "vec00024 / chránit (v41bbwA)")</f>
        <v>vec00024 / chránit (v41bbwA)</v>
      </c>
      <c r="AF427" s="0" t="n">
        <v>0.01785</v>
      </c>
      <c r="AG427" s="5" t="s">
        <v>30</v>
      </c>
    </row>
    <row r="429" customFormat="false" ht="12.75" hidden="false" customHeight="false" outlineLevel="0" collapsed="false">
      <c r="A429" s="0" t="str">
        <f aca="false">HYPERLINK("https://lindat.mff.cuni.cz/services/PDT-Vallex4.5/PDT-Vallex4.5.html?verb=slétnout", "slétnout")</f>
        <v>slétnout</v>
      </c>
      <c r="B429" s="0" t="str">
        <f aca="false">HYPERLINK("https://lindat.mff.cuni.cz/services/PDT-Vallex4.5/PDT-Vallex4.5.html?verb=slétnout#v41kssA", "v41kssA")</f>
        <v>v41kssA</v>
      </c>
      <c r="E429" s="0" t="n">
        <v>86</v>
      </c>
      <c r="F429" s="0" t="n">
        <v>0.10913</v>
      </c>
      <c r="G429" s="1" t="s">
        <v>155</v>
      </c>
      <c r="K429" s="0" t="str">
        <f aca="false">HYPERLINK("https://lindat.mff.cuni.cz/services/SynSemClass55/SynSemClass55.html?veclass=vec01318", "vec01318 / slézat (v41kswA)")</f>
        <v>vec01318 / slézat (v41kswA)</v>
      </c>
      <c r="L429" s="0" t="n">
        <v>0.10913</v>
      </c>
      <c r="M429" s="5" t="s">
        <v>30</v>
      </c>
      <c r="P429" s="0" t="str">
        <f aca="false">HYPERLINK("https://lindat.mff.cuni.cz/services/SynSemClass55/SynSemClass55.html?veclass=vec00665", "vec00665 / plazit se (v41fnbA)")</f>
        <v>vec00665 / plazit se (v41fnbA)</v>
      </c>
      <c r="Q429" s="0" t="n">
        <v>0.07619</v>
      </c>
      <c r="R429" s="5" t="s">
        <v>30</v>
      </c>
      <c r="U429" s="0" t="str">
        <f aca="false">HYPERLINK("https://lindat.mff.cuni.cz/services/SynSemClass55/SynSemClass55.html?veclass=vec00218", "vec00218 / dostat se (v41afyI)")</f>
        <v>vec00218 / dostat se (v41afyI)</v>
      </c>
      <c r="V429" s="0" t="n">
        <v>0.06249</v>
      </c>
      <c r="W429" s="5" t="s">
        <v>30</v>
      </c>
      <c r="Z429" s="0" t="str">
        <f aca="false">HYPERLINK("https://lindat.mff.cuni.cz/services/SynSemClass55/SynSemClass55.html?veclass=vec00759", "vec00759 / vyskočit (v41owcC)")</f>
        <v>vec00759 / vyskočit (v41owcC)</v>
      </c>
      <c r="AA429" s="0" t="n">
        <v>0.05461</v>
      </c>
      <c r="AB429" s="5" t="s">
        <v>30</v>
      </c>
      <c r="AE429" s="0" t="str">
        <f aca="false">HYPERLINK("https://lindat.mff.cuni.cz/services/SynSemClass55/SynSemClass55.html?veclass=vec01938", "vec01938 / vyhřeznout (v41obsA)")</f>
        <v>vec01938 / vyhřeznout (v41obsA)</v>
      </c>
      <c r="AF429" s="0" t="n">
        <v>0.04017</v>
      </c>
      <c r="AG429" s="5" t="s">
        <v>30</v>
      </c>
    </row>
    <row r="431" customFormat="false" ht="12.75" hidden="false" customHeight="false" outlineLevel="0" collapsed="false">
      <c r="A431" s="0" t="str">
        <f aca="false">HYPERLINK("https://lindat.mff.cuni.cz/services/PDT-Vallex4.5/PDT-Vallex4.5.html?verb=smířit se", "smířit se")</f>
        <v>smířit se</v>
      </c>
      <c r="B431" s="0" t="str">
        <f aca="false">HYPERLINK("https://lindat.mff.cuni.cz/services/PDT-Vallex4.5/PDT-Vallex4.5.html?verb=smířit se#v41kvpB", "v41kvpB")</f>
        <v>v41kvpB</v>
      </c>
      <c r="E431" s="0" t="n">
        <v>1159</v>
      </c>
      <c r="F431" s="0" t="n">
        <v>0.6216</v>
      </c>
      <c r="G431" s="1" t="n">
        <v>0</v>
      </c>
      <c r="I431" s="1" t="s">
        <v>156</v>
      </c>
      <c r="K431" s="0" t="str">
        <f aca="false">HYPERLINK("https://lindat.mff.cuni.cz/services/SynSemClass55/SynSemClass55.html?veclass=vec00719", "vec00719 / smířit se (v41kvpA)")</f>
        <v>vec00719 / smířit se (v41kvpA)</v>
      </c>
      <c r="L431" s="0" t="n">
        <v>0.6216</v>
      </c>
      <c r="M431" s="5" t="s">
        <v>30</v>
      </c>
      <c r="P431" s="0" t="str">
        <f aca="false">HYPERLINK("https://lindat.mff.cuni.cz/services/SynSemClass55/SynSemClass55.html?veclass=vec00724", "vec00724 / spokojit se (v41ldfA)")</f>
        <v>vec00724 / spokojit se (v41ldfA)</v>
      </c>
      <c r="Q431" s="0" t="n">
        <v>0.06085</v>
      </c>
      <c r="R431" s="5" t="s">
        <v>30</v>
      </c>
      <c r="U431" s="0" t="str">
        <f aca="false">HYPERLINK("https://lindat.mff.cuni.cz/services/SynSemClass55/SynSemClass55.html?veclass=vec00120", "vec00120 / souhlasit (v41kypC)")</f>
        <v>vec00120 / souhlasit (v41kypC)</v>
      </c>
      <c r="V431" s="0" t="n">
        <v>0.05206</v>
      </c>
      <c r="W431" s="5" t="s">
        <v>30</v>
      </c>
      <c r="Z431" s="0" t="str">
        <f aca="false">HYPERLINK("https://lindat.mff.cuni.cz/services/SynSemClass55/SynSemClass55.html?veclass=vec00739", "vec00739 / ustoupit (v41myhB)")</f>
        <v>vec00739 / ustoupit (v41myhB)</v>
      </c>
      <c r="AA431" s="0" t="n">
        <v>0.03498</v>
      </c>
      <c r="AB431" s="5" t="s">
        <v>30</v>
      </c>
      <c r="AE431" s="0" t="str">
        <f aca="false">HYPERLINK("https://lindat.mff.cuni.cz/services/SynSemClass55/SynSemClass55.html?veclass=vec01601", "vec01601 / sklonit (v41kqrA)")</f>
        <v>vec01601 / sklonit (v41kqrA)</v>
      </c>
      <c r="AF431" s="0" t="n">
        <v>0.03099</v>
      </c>
      <c r="AG431" s="5" t="s">
        <v>30</v>
      </c>
    </row>
    <row r="433" customFormat="false" ht="12.75" hidden="false" customHeight="false" outlineLevel="0" collapsed="false">
      <c r="A433" s="0" t="str">
        <f aca="false">HYPERLINK("https://lindat.mff.cuni.cz/services/PDT-Vallex4.5/PDT-Vallex4.5.html?verb=smršťovat", "smršťovat")</f>
        <v>smršťovat</v>
      </c>
      <c r="B433" s="0" t="str">
        <f aca="false">HYPERLINK("https://lindat.mff.cuni.cz/services/PDT-Vallex4.5/PDT-Vallex4.5.html?verb=smršťovat#v41kweA", "v41kweA")</f>
        <v>v41kweA</v>
      </c>
      <c r="E433" s="0" t="n">
        <v>33</v>
      </c>
      <c r="F433" s="0" t="n">
        <v>0.21789</v>
      </c>
      <c r="G433" s="1" t="s">
        <v>157</v>
      </c>
      <c r="K433" s="0" t="str">
        <f aca="false">HYPERLINK("https://lindat.mff.cuni.cz/services/SynSemClass55/SynSemClass55.html?veclass=vec00028", "vec00028 / klesnout (v41blkA)")</f>
        <v>vec00028 / klesnout (v41blkA)</v>
      </c>
      <c r="L433" s="0" t="n">
        <v>0.21789</v>
      </c>
      <c r="M433" s="5" t="s">
        <v>30</v>
      </c>
      <c r="P433" s="0" t="str">
        <f aca="false">HYPERLINK("https://lindat.mff.cuni.cz/services/SynSemClass55/SynSemClass55.html?veclass=vec00793", "vec00793 / zmírnit se (v41rkyA)")</f>
        <v>vec00793 / zmírnit se (v41rkyA)</v>
      </c>
      <c r="Q433" s="0" t="n">
        <v>0.08585</v>
      </c>
      <c r="R433" s="5" t="s">
        <v>30</v>
      </c>
      <c r="U433" s="0" t="str">
        <f aca="false">HYPERLINK("https://lindat.mff.cuni.cz/services/SynSemClass55/SynSemClass55.html?veclass=vec01508", "vec01508 / ořezávat (v41eymA)")</f>
        <v>vec01508 / ořezávat (v41eymA)</v>
      </c>
      <c r="V433" s="0" t="n">
        <v>0.04897</v>
      </c>
      <c r="W433" s="5" t="s">
        <v>30</v>
      </c>
      <c r="Z433" s="0" t="str">
        <f aca="false">HYPERLINK("https://lindat.mff.cuni.cz/services/SynSemClass55/SynSemClass55.html?veclass=vec01880", "vec01880 / scvrknout se (v41kgeA)")</f>
        <v>vec01880 / scvrknout se (v41kgeA)</v>
      </c>
      <c r="AA433" s="0" t="n">
        <v>0.04522</v>
      </c>
      <c r="AB433" s="5" t="s">
        <v>30</v>
      </c>
      <c r="AE433" s="0" t="str">
        <f aca="false">HYPERLINK("https://lindat.mff.cuni.cz/services/SynSemClass55/SynSemClass55.html?veclass=vec01744", "vec01744 / chátrat (v41bawA)")</f>
        <v>vec01744 / chátrat (v41bawA)</v>
      </c>
      <c r="AF433" s="0" t="n">
        <v>0.03498</v>
      </c>
      <c r="AG433" s="5" t="s">
        <v>30</v>
      </c>
    </row>
    <row r="435" customFormat="false" ht="12.75" hidden="false" customHeight="false" outlineLevel="0" collapsed="false">
      <c r="A435" s="0" t="str">
        <f aca="false">HYPERLINK("https://lindat.mff.cuni.cz/services/PDT-Vallex4.5/PDT-Vallex4.5.html?verb=sníst", "sníst")</f>
        <v>sníst</v>
      </c>
      <c r="B435" s="0" t="str">
        <f aca="false">HYPERLINK("https://lindat.mff.cuni.cz/services/PDT-Vallex4.5/PDT-Vallex4.5.html?verb=sníst#v41kxgB", "v41kxgB")</f>
        <v>v41kxgB</v>
      </c>
      <c r="E435" s="0" t="n">
        <v>2240</v>
      </c>
      <c r="F435" s="0" t="n">
        <v>0.83519</v>
      </c>
      <c r="G435" s="1" t="n">
        <v>0</v>
      </c>
      <c r="H435" s="1" t="s">
        <v>158</v>
      </c>
      <c r="I435" s="1" t="s">
        <v>159</v>
      </c>
      <c r="K435" s="0" t="str">
        <f aca="false">HYPERLINK("https://lindat.mff.cuni.cz/services/SynSemClass55/SynSemClass55.html?veclass=vec00828", "vec00828 / jíst (v41bifB)")</f>
        <v>vec00828 / jíst (v41bifB)</v>
      </c>
      <c r="L435" s="0" t="n">
        <v>0.83519</v>
      </c>
      <c r="M435" s="5" t="s">
        <v>30</v>
      </c>
      <c r="P435" s="0" t="str">
        <f aca="false">HYPERLINK("https://lindat.mff.cuni.cz/services/SynSemClass55/SynSemClass55.html?veclass=vec00800", "vec00800 / žvýkat (v41sexA)")</f>
        <v>vec00800 / žvýkat (v41sexA)</v>
      </c>
      <c r="Q435" s="0" t="n">
        <v>0.03067</v>
      </c>
      <c r="R435" s="5" t="s">
        <v>30</v>
      </c>
      <c r="U435" s="0" t="str">
        <f aca="false">HYPERLINK("https://lindat.mff.cuni.cz/services/SynSemClass55/SynSemClass55.html?veclass=vec00877", "vec00877 / prahnout (v41gydA)")</f>
        <v>vec00877 / prahnout (v41gydA)</v>
      </c>
      <c r="V435" s="0" t="n">
        <v>0.02327</v>
      </c>
      <c r="W435" s="5" t="s">
        <v>30</v>
      </c>
      <c r="Z435" s="0" t="str">
        <f aca="false">HYPERLINK("https://lindat.mff.cuni.cz/services/SynSemClass55/SynSemClass55.html?veclass=vec01680", "vec01680 / snít se (v41kxiA)")</f>
        <v>vec01680 / snít se (v41kxiA)</v>
      </c>
      <c r="AA435" s="0" t="n">
        <v>0.02159</v>
      </c>
      <c r="AB435" s="5" t="s">
        <v>30</v>
      </c>
      <c r="AE435" s="0" t="str">
        <f aca="false">HYPERLINK("https://lindat.mff.cuni.cz/services/SynSemClass55/SynSemClass55.html?veclass=vec01514", "vec01514 / předávkovat (v41hvjA)")</f>
        <v>vec01514 / předávkovat (v41hvjA)</v>
      </c>
      <c r="AF435" s="0" t="n">
        <v>0.01591</v>
      </c>
      <c r="AG435" s="5" t="s">
        <v>30</v>
      </c>
    </row>
    <row r="437" customFormat="false" ht="12.75" hidden="false" customHeight="false" outlineLevel="0" collapsed="false">
      <c r="A437" s="0" t="str">
        <f aca="false">HYPERLINK("https://lindat.mff.cuni.cz/services/PDT-Vallex4.5/PDT-Vallex4.5.html?verb=snížit se", "snížit se")</f>
        <v>snížit se</v>
      </c>
      <c r="B437" s="0" t="str">
        <f aca="false">HYPERLINK("https://lindat.mff.cuni.cz/services/PDT-Vallex4.5/PDT-Vallex4.5.html?verb=snížit se#v41kxmB", "v41kxmB")</f>
        <v>v41kxmB</v>
      </c>
      <c r="E437" s="0" t="n">
        <v>361</v>
      </c>
      <c r="F437" s="0" t="n">
        <v>0.33536</v>
      </c>
      <c r="G437" s="1" t="n">
        <v>0</v>
      </c>
      <c r="I437" s="1" t="s">
        <v>160</v>
      </c>
      <c r="K437" s="0" t="str">
        <f aca="false">HYPERLINK("https://lindat.mff.cuni.cz/services/SynSemClass55/SynSemClass55.html?veclass=vec00118", "vec00118 / snížit (v41kxlA)")</f>
        <v>vec00118 / snížit (v41kxlA)</v>
      </c>
      <c r="L437" s="0" t="n">
        <v>0.33536</v>
      </c>
      <c r="M437" s="5" t="s">
        <v>30</v>
      </c>
      <c r="P437" s="0" t="str">
        <f aca="false">HYPERLINK("https://lindat.mff.cuni.cz/services/SynSemClass55/SynSemClass55.html?veclass=vec00028", "vec00028 / klesnout (v41blkA)")</f>
        <v>vec00028 / klesnout (v41blkA)</v>
      </c>
      <c r="Q437" s="0" t="n">
        <v>0.14843</v>
      </c>
      <c r="R437" s="5" t="s">
        <v>30</v>
      </c>
      <c r="U437" s="0" t="str">
        <f aca="false">HYPERLINK("https://lindat.mff.cuni.cz/services/SynSemClass55/SynSemClass55.html?veclass=vec00807", "vec00807 / degradovat (v41qsA)")</f>
        <v>vec00807 / degradovat (v41qsA)</v>
      </c>
      <c r="V437" s="0" t="n">
        <v>0.03328</v>
      </c>
      <c r="W437" s="5" t="s">
        <v>30</v>
      </c>
      <c r="Z437" s="0" t="str">
        <f aca="false">HYPERLINK("https://lindat.mff.cuni.cz/services/SynSemClass55/SynSemClass55.html?veclass=vec01508", "vec01508 / ořezávat (v41eymA)")</f>
        <v>vec01508 / ořezávat (v41eymA)</v>
      </c>
      <c r="AA437" s="0" t="n">
        <v>0.02906</v>
      </c>
      <c r="AB437" s="5" t="s">
        <v>30</v>
      </c>
      <c r="AE437" s="0" t="str">
        <f aca="false">HYPERLINK("https://lindat.mff.cuni.cz/services/SynSemClass55/SynSemClass55.html?veclass=vec00588", "vec00588 / zkrátit (v41rhcA)")</f>
        <v>vec00588 / zkrátit (v41rhcA)</v>
      </c>
      <c r="AF437" s="0" t="n">
        <v>0.02041</v>
      </c>
      <c r="AG437" s="5" t="s">
        <v>30</v>
      </c>
    </row>
    <row r="439" customFormat="false" ht="12.75" hidden="false" customHeight="false" outlineLevel="0" collapsed="false">
      <c r="A439" s="0" t="str">
        <f aca="false">HYPERLINK("https://lindat.mff.cuni.cz/services/PDT-Vallex4.5/PDT-Vallex4.5.html?verb=soptit", "soptit")</f>
        <v>soptit</v>
      </c>
      <c r="B439" s="0" t="str">
        <f aca="false">HYPERLINK("https://lindat.mff.cuni.cz/services/PDT-Vallex4.5/PDT-Vallex4.5.html?verb=soptit#v41kybA", "v41kybA")</f>
        <v>v41kybA</v>
      </c>
      <c r="E439" s="0" t="n">
        <v>100</v>
      </c>
      <c r="F439" s="0" t="n">
        <v>0.11519</v>
      </c>
      <c r="G439" s="1" t="s">
        <v>161</v>
      </c>
      <c r="K439" s="0" t="str">
        <f aca="false">HYPERLINK("https://lindat.mff.cuni.cz/services/SynSemClass55/SynSemClass55.html?veclass=vec01489", "vec01489 / bručet (v41inA)")</f>
        <v>vec01489 / bručet (v41inA)</v>
      </c>
      <c r="L439" s="0" t="n">
        <v>0.11519</v>
      </c>
      <c r="M439" s="5" t="s">
        <v>30</v>
      </c>
      <c r="P439" s="0" t="str">
        <f aca="false">HYPERLINK("https://lindat.mff.cuni.cz/services/SynSemClass55/SynSemClass55.html?veclass=vec00426", "vec00426 / křičet (v41bwcA)")</f>
        <v>vec00426 / křičet (v41bwcA)</v>
      </c>
      <c r="Q439" s="0" t="n">
        <v>0.09291</v>
      </c>
      <c r="R439" s="5" t="s">
        <v>30</v>
      </c>
      <c r="U439" s="0" t="str">
        <f aca="false">HYPERLINK("https://lindat.mff.cuni.cz/services/SynSemClass55/SynSemClass55.html?veclass=vec00633", "vec00633 / nadávat (v41cnkB)")</f>
        <v>vec00633 / nadávat (v41cnkB)</v>
      </c>
      <c r="V439" s="0" t="n">
        <v>0.07453</v>
      </c>
      <c r="W439" s="5" t="s">
        <v>30</v>
      </c>
      <c r="Z439" s="0" t="str">
        <f aca="false">HYPERLINK("https://lindat.mff.cuni.cz/services/SynSemClass55/SynSemClass55.html?veclass=vec01398", "vec01398 / hvízdat si (v41azyA)")</f>
        <v>vec01398 / hvízdat si (v41azyA)</v>
      </c>
      <c r="AA439" s="0" t="n">
        <v>0.06262</v>
      </c>
      <c r="AB439" s="5" t="s">
        <v>30</v>
      </c>
      <c r="AE439" s="0" t="str">
        <f aca="false">HYPERLINK("https://lindat.mff.cuni.cz/services/SynSemClass55/SynSemClass55.html?veclass=vec01056", "vec01056 / odfrknout si (v41dznA)")</f>
        <v>vec01056 / odfrknout si (v41dznA)</v>
      </c>
      <c r="AF439" s="0" t="n">
        <v>0.05794</v>
      </c>
      <c r="AG439" s="5" t="s">
        <v>30</v>
      </c>
    </row>
    <row r="440" customFormat="false" ht="12.75" hidden="false" customHeight="false" outlineLevel="0" collapsed="false">
      <c r="A440" s="0" t="str">
        <f aca="false">HYPERLINK("https://lindat.mff.cuni.cz/services/PDT-Vallex4.5/PDT-Vallex4.5.html?verb=soptit", "soptit")</f>
        <v>soptit</v>
      </c>
      <c r="B440" s="0" t="str">
        <f aca="false">HYPERLINK("https://lindat.mff.cuni.cz/services/PDT-Vallex4.5/PDT-Vallex4.5.html?verb=soptit#v41kybB", "v41kybB")</f>
        <v>v41kybB</v>
      </c>
      <c r="E440" s="0" t="n">
        <v>100</v>
      </c>
      <c r="F440" s="0" t="n">
        <v>0.11519</v>
      </c>
      <c r="G440" s="1" t="n">
        <v>0</v>
      </c>
      <c r="I440" s="1" t="s">
        <v>162</v>
      </c>
      <c r="K440" s="0" t="str">
        <f aca="false">HYPERLINK("https://lindat.mff.cuni.cz/services/SynSemClass55/SynSemClass55.html?veclass=vec01489", "vec01489 / bručet (v41inA)")</f>
        <v>vec01489 / bručet (v41inA)</v>
      </c>
      <c r="L440" s="0" t="n">
        <v>0.11519</v>
      </c>
      <c r="M440" s="5" t="s">
        <v>30</v>
      </c>
      <c r="P440" s="0" t="str">
        <f aca="false">HYPERLINK("https://lindat.mff.cuni.cz/services/SynSemClass55/SynSemClass55.html?veclass=vec00426", "vec00426 / křičet (v41bwcA)")</f>
        <v>vec00426 / křičet (v41bwcA)</v>
      </c>
      <c r="Q440" s="0" t="n">
        <v>0.09291</v>
      </c>
      <c r="R440" s="5" t="s">
        <v>30</v>
      </c>
      <c r="U440" s="0" t="str">
        <f aca="false">HYPERLINK("https://lindat.mff.cuni.cz/services/SynSemClass55/SynSemClass55.html?veclass=vec00633", "vec00633 / nadávat (v41cnkB)")</f>
        <v>vec00633 / nadávat (v41cnkB)</v>
      </c>
      <c r="V440" s="0" t="n">
        <v>0.07453</v>
      </c>
      <c r="W440" s="5" t="s">
        <v>30</v>
      </c>
      <c r="Z440" s="0" t="str">
        <f aca="false">HYPERLINK("https://lindat.mff.cuni.cz/services/SynSemClass55/SynSemClass55.html?veclass=vec01398", "vec01398 / hvízdat si (v41azyA)")</f>
        <v>vec01398 / hvízdat si (v41azyA)</v>
      </c>
      <c r="AA440" s="0" t="n">
        <v>0.06262</v>
      </c>
      <c r="AB440" s="5" t="s">
        <v>30</v>
      </c>
      <c r="AE440" s="0" t="str">
        <f aca="false">HYPERLINK("https://lindat.mff.cuni.cz/services/SynSemClass55/SynSemClass55.html?veclass=vec01056", "vec01056 / odfrknout si (v41dznA)")</f>
        <v>vec01056 / odfrknout si (v41dznA)</v>
      </c>
      <c r="AF440" s="0" t="n">
        <v>0.05794</v>
      </c>
      <c r="AG440" s="5" t="s">
        <v>30</v>
      </c>
    </row>
    <row r="442" customFormat="false" ht="12.75" hidden="false" customHeight="false" outlineLevel="0" collapsed="false">
      <c r="A442" s="0" t="str">
        <f aca="false">HYPERLINK("https://lindat.mff.cuni.cz/services/PDT-Vallex4.5/PDT-Vallex4.5.html?verb=souznít", "souznít")</f>
        <v>souznít</v>
      </c>
      <c r="B442" s="0" t="str">
        <f aca="false">HYPERLINK("https://lindat.mff.cuni.cz/services/PDT-Vallex4.5/PDT-Vallex4.5.html?verb=souznít#v41kzqA", "v41kzqA")</f>
        <v>v41kzqA</v>
      </c>
      <c r="E442" s="0" t="n">
        <v>27</v>
      </c>
      <c r="F442" s="0" t="n">
        <v>0.15507</v>
      </c>
      <c r="G442" s="1" t="s">
        <v>31</v>
      </c>
      <c r="K442" s="0" t="str">
        <f aca="false">HYPERLINK("https://lindat.mff.cuni.cz/services/SynSemClass55/SynSemClass55.html?veclass=vec00250", "vec00250 / odpovídat (v41egyF)")</f>
        <v>vec00250 / odpovídat (v41egyF)</v>
      </c>
      <c r="L442" s="0" t="n">
        <v>0.15507</v>
      </c>
      <c r="M442" s="5" t="s">
        <v>30</v>
      </c>
      <c r="P442" s="0" t="str">
        <f aca="false">HYPERLINK("https://lindat.mff.cuni.cz/services/SynSemClass55/SynSemClass55.html?veclass=vec00318", "vec00318 / spojit se (v41lcwA)")</f>
        <v>vec00318 / spojit se (v41lcwA)</v>
      </c>
      <c r="Q442" s="0" t="n">
        <v>0.12529</v>
      </c>
      <c r="R442" s="5" t="s">
        <v>30</v>
      </c>
      <c r="U442" s="0" t="str">
        <f aca="false">HYPERLINK("https://lindat.mff.cuni.cz/services/SynSemClass55/SynSemClass55.html?veclass=vec01099", "vec01099 / rezonovat (v41jklA)")</f>
        <v>vec01099 / rezonovat (v41jklA)</v>
      </c>
      <c r="V442" s="0" t="n">
        <v>0.10094</v>
      </c>
      <c r="W442" s="5" t="s">
        <v>33</v>
      </c>
      <c r="Z442" s="0" t="str">
        <f aca="false">HYPERLINK("https://lindat.mff.cuni.cz/services/SynSemClass55/SynSemClass55.html?veclass=vec00929", "vec00929 / souhlasit (v41kypB)")</f>
        <v>vec00929 / souhlasit (v41kypB)</v>
      </c>
      <c r="AA442" s="0" t="n">
        <v>0.09141</v>
      </c>
      <c r="AB442" s="5" t="s">
        <v>30</v>
      </c>
      <c r="AE442" s="0" t="str">
        <f aca="false">HYPERLINK("https://lindat.mff.cuni.cz/services/SynSemClass55/SynSemClass55.html?veclass=vec00892", "vec00892 / překrývat se (v41icuA)")</f>
        <v>vec00892 / překrývat se (v41icuA)</v>
      </c>
      <c r="AF442" s="0" t="n">
        <v>0.06063</v>
      </c>
      <c r="AG442" s="5" t="s">
        <v>30</v>
      </c>
    </row>
    <row r="444" customFormat="false" ht="12.75" hidden="false" customHeight="false" outlineLevel="0" collapsed="false">
      <c r="A444" s="0" t="str">
        <f aca="false">HYPERLINK("https://lindat.mff.cuni.cz/services/PDT-Vallex4.5/PDT-Vallex4.5.html?verb=soužit", "soužit")</f>
        <v>soužit</v>
      </c>
      <c r="B444" s="0" t="str">
        <f aca="false">HYPERLINK("https://lindat.mff.cuni.cz/services/PDT-Vallex4.5/PDT-Vallex4.5.html?verb=soužit#v41kzrA", "v41kzrA")</f>
        <v>v41kzrA</v>
      </c>
      <c r="E444" s="0" t="n">
        <v>94</v>
      </c>
      <c r="F444" s="0" t="n">
        <v>0.06342</v>
      </c>
      <c r="G444" s="1" t="s">
        <v>31</v>
      </c>
      <c r="K444" s="0" t="str">
        <f aca="false">HYPERLINK("https://lindat.mff.cuni.cz/services/SynSemClass55/SynSemClass55.html?veclass=vec01133", "vec01133 / trápit se (v41mbhB)")</f>
        <v>vec01133 / trápit se (v41mbhB)</v>
      </c>
      <c r="L444" s="0" t="n">
        <v>0.06342</v>
      </c>
      <c r="M444" s="5" t="s">
        <v>30</v>
      </c>
      <c r="P444" s="0" t="str">
        <f aca="false">HYPERLINK("https://lindat.mff.cuni.cz/services/SynSemClass55/SynSemClass55.html?veclass=vec01898", "vec01898 / sžírat (v41lsdA)")</f>
        <v>vec01898 / sžírat (v41lsdA)</v>
      </c>
      <c r="Q444" s="0" t="n">
        <v>0.05623</v>
      </c>
      <c r="R444" s="5" t="s">
        <v>33</v>
      </c>
      <c r="U444" s="0" t="str">
        <f aca="false">HYPERLINK("https://lindat.mff.cuni.cz/services/SynSemClass55/SynSemClass55.html?veclass=vec01210", "vec01210 / dojmout (v41zgA)")</f>
        <v>vec01210 / dojmout (v41zgA)</v>
      </c>
      <c r="V444" s="0" t="n">
        <v>0.0489</v>
      </c>
      <c r="W444" s="5" t="s">
        <v>30</v>
      </c>
      <c r="Z444" s="0" t="str">
        <f aca="false">HYPERLINK("https://lindat.mff.cuni.cz/services/SynSemClass55/SynSemClass55.html?veclass=vec00608", "vec00608 / dráždit (v41akkB)")</f>
        <v>vec00608 / dráždit (v41akkB)</v>
      </c>
      <c r="AA444" s="0" t="n">
        <v>0.03726</v>
      </c>
      <c r="AB444" s="5" t="s">
        <v>30</v>
      </c>
      <c r="AE444" s="0" t="str">
        <f aca="false">HYPERLINK("https://lindat.mff.cuni.cz/services/SynSemClass55/SynSemClass55.html?veclass=vec00740", "vec00740 / utrpět (v41nbkB)")</f>
        <v>vec00740 / utrpět (v41nbkB)</v>
      </c>
      <c r="AF444" s="0" t="n">
        <v>0.03603</v>
      </c>
      <c r="AG444" s="5" t="s">
        <v>30</v>
      </c>
    </row>
    <row r="446" customFormat="false" ht="12.75" hidden="false" customHeight="false" outlineLevel="0" collapsed="false">
      <c r="A446" s="0" t="str">
        <f aca="false">HYPERLINK("https://lindat.mff.cuni.cz/services/PDT-Vallex4.5/PDT-Vallex4.5.html?verb=spáchat", "spáchat")</f>
        <v>spáchat</v>
      </c>
      <c r="B446" s="0" t="str">
        <f aca="false">HYPERLINK("https://lindat.mff.cuni.cz/services/PDT-Vallex4.5/PDT-Vallex4.5.html?verb=spáchat#v41kzzA", "v41kzzA")</f>
        <v>v41kzzA</v>
      </c>
      <c r="E446" s="0" t="n">
        <v>1325</v>
      </c>
      <c r="F446" s="0" t="n">
        <v>0.69702</v>
      </c>
      <c r="G446" s="1" t="n">
        <v>0</v>
      </c>
      <c r="I446" s="1" t="s">
        <v>163</v>
      </c>
      <c r="K446" s="0" t="str">
        <f aca="false">HYPERLINK("https://lindat.mff.cuni.cz/services/SynSemClass55/SynSemClass55.html?veclass=vec00009", "vec00009 / dopustit se (v41aeeA)")</f>
        <v>vec00009 / dopustit se (v41aeeA)</v>
      </c>
      <c r="L446" s="0" t="n">
        <v>0.69702</v>
      </c>
      <c r="M446" s="5" t="s">
        <v>32</v>
      </c>
      <c r="P446" s="0" t="str">
        <f aca="false">HYPERLINK("https://lindat.mff.cuni.cz/services/SynSemClass55/SynSemClass55.html?veclass=vec01742", "vec01742 / hřešit (v41azlB)")</f>
        <v>vec01742 / hřešit (v41azlB)</v>
      </c>
      <c r="Q446" s="0" t="n">
        <v>0.03176</v>
      </c>
      <c r="R446" s="5" t="s">
        <v>30</v>
      </c>
      <c r="U446" s="0" t="str">
        <f aca="false">HYPERLINK("https://lindat.mff.cuni.cz/services/SynSemClass55/SynSemClass55.html?veclass=vec00089", "vec00089 / provést (v41hrmF)")</f>
        <v>vec00089 / provést (v41hrmF)</v>
      </c>
      <c r="V446" s="0" t="n">
        <v>0.02628</v>
      </c>
      <c r="W446" s="5" t="s">
        <v>30</v>
      </c>
      <c r="Z446" s="0" t="str">
        <f aca="false">HYPERLINK("https://lindat.mff.cuni.cz/services/SynSemClass55/SynSemClass55.html?veclass=vec00365", "vec00365 / zabít (v41ppaA)")</f>
        <v>vec00365 / zabít (v41ppaA)</v>
      </c>
      <c r="AA446" s="0" t="n">
        <v>0.02524</v>
      </c>
      <c r="AB446" s="5" t="s">
        <v>30</v>
      </c>
      <c r="AE446" s="0" t="str">
        <f aca="false">HYPERLINK("https://lindat.mff.cuni.cz/services/SynSemClass55/SynSemClass55.html?veclass=vec01727", "vec01727 / clít (v41lnA)")</f>
        <v>vec01727 / clít (v41lnA)</v>
      </c>
      <c r="AF446" s="0" t="n">
        <v>0.01848</v>
      </c>
      <c r="AG446" s="5" t="s">
        <v>30</v>
      </c>
    </row>
    <row r="448" customFormat="false" ht="12.75" hidden="false" customHeight="false" outlineLevel="0" collapsed="false">
      <c r="A448" s="0" t="str">
        <f aca="false">HYPERLINK("https://lindat.mff.cuni.cz/services/PDT-Vallex4.5/PDT-Vallex4.5.html?verb=splatit", "splatit")</f>
        <v>splatit</v>
      </c>
      <c r="B448" s="0" t="str">
        <f aca="false">HYPERLINK("https://lindat.mff.cuni.cz/services/PDT-Vallex4.5/PDT-Vallex4.5.html?verb=splatit#v41lbvB", "v41lbvB")</f>
        <v>v41lbvB</v>
      </c>
      <c r="E448" s="0" t="n">
        <v>300</v>
      </c>
      <c r="F448" s="0" t="n">
        <v>0.91903</v>
      </c>
      <c r="G448" s="1" t="n">
        <v>0</v>
      </c>
      <c r="I448" s="1" t="s">
        <v>164</v>
      </c>
      <c r="K448" s="0" t="str">
        <f aca="false">HYPERLINK("https://lindat.mff.cuni.cz/services/SynSemClass55/SynSemClass55.html?veclass=vec00125", "vec00125 / splatit (v41lbvA)")</f>
        <v>vec00125 / splatit (v41lbvA)</v>
      </c>
      <c r="L448" s="0" t="n">
        <v>0.91903</v>
      </c>
      <c r="M448" s="5" t="s">
        <v>30</v>
      </c>
      <c r="P448" s="0" t="str">
        <f aca="false">HYPERLINK("https://lindat.mff.cuni.cz/services/SynSemClass55/SynSemClass55.html?veclass=vec01159", "vec01159 / vyplatit (v41oonD)")</f>
        <v>vec01159 / vyplatit (v41oonD)</v>
      </c>
      <c r="Q448" s="0" t="n">
        <v>0.0179</v>
      </c>
      <c r="R448" s="5" t="s">
        <v>30</v>
      </c>
      <c r="U448" s="0" t="str">
        <f aca="false">HYPERLINK("https://lindat.mff.cuni.cz/services/SynSemClass55/SynSemClass55.html?veclass=vec01840", "vec01840 / proplácet (v41hkcA)")</f>
        <v>vec01840 / proplácet (v41hkcA)</v>
      </c>
      <c r="V448" s="0" t="n">
        <v>0.01161</v>
      </c>
      <c r="W448" s="5" t="s">
        <v>30</v>
      </c>
      <c r="Z448" s="0" t="str">
        <f aca="false">HYPERLINK("https://lindat.mff.cuni.cz/services/SynSemClass55/SynSemClass55.html?veclass=vec01576", "vec01576 / narovnat (v41czjA)")</f>
        <v>vec01576 / narovnat (v41czjA)</v>
      </c>
      <c r="AA448" s="0" t="n">
        <v>0.01127</v>
      </c>
      <c r="AB448" s="5" t="s">
        <v>30</v>
      </c>
      <c r="AE448" s="0" t="str">
        <f aca="false">HYPERLINK("https://lindat.mff.cuni.cz/services/SynSemClass55/SynSemClass55.html?veclass=vec00406", "vec00406 / dlužit (v41vkA)")</f>
        <v>vec00406 / dlužit (v41vkA)</v>
      </c>
      <c r="AF448" s="0" t="n">
        <v>0.01121</v>
      </c>
      <c r="AG448" s="5" t="s">
        <v>30</v>
      </c>
    </row>
    <row r="450" customFormat="false" ht="12.75" hidden="false" customHeight="false" outlineLevel="0" collapsed="false">
      <c r="A450" s="0" t="str">
        <f aca="false">HYPERLINK("https://lindat.mff.cuni.cz/services/PDT-Vallex4.5/PDT-Vallex4.5.html?verb=stáčet se", "stáčet se")</f>
        <v>stáčet se</v>
      </c>
      <c r="B450" s="0" t="str">
        <f aca="false">HYPERLINK("https://lindat.mff.cuni.cz/services/PDT-Vallex4.5/PDT-Vallex4.5.html?verb=stáčet se#v41lheA", "v41lheA")</f>
        <v>v41lheA</v>
      </c>
      <c r="E450" s="0" t="n">
        <v>282</v>
      </c>
      <c r="F450" s="0" t="n">
        <v>0.13468</v>
      </c>
      <c r="G450" s="1" t="s">
        <v>165</v>
      </c>
      <c r="K450" s="0" t="str">
        <f aca="false">HYPERLINK("https://lindat.mff.cuni.cz/services/SynSemClass55/SynSemClass55.html?veclass=vec00637", "vec00637 / naklonit se (v41csfB)")</f>
        <v>vec00637 / naklonit se (v41csfB)</v>
      </c>
      <c r="L450" s="0" t="n">
        <v>0.13468</v>
      </c>
      <c r="M450" s="5" t="s">
        <v>30</v>
      </c>
      <c r="P450" s="0" t="str">
        <f aca="false">HYPERLINK("https://lindat.mff.cuni.cz/services/SynSemClass55/SynSemClass55.html?veclass=vec00931", "vec00931 / stočit se (v41lkvA)")</f>
        <v>vec00931 / stočit se (v41lkvA)</v>
      </c>
      <c r="Q450" s="0" t="n">
        <v>0.08467</v>
      </c>
      <c r="R450" s="5" t="s">
        <v>30</v>
      </c>
      <c r="U450" s="0" t="str">
        <f aca="false">HYPERLINK("https://lindat.mff.cuni.cz/services/SynSemClass55/SynSemClass55.html?veclass=vec00626", "vec00626 / kymácet se (v41bxpA)")</f>
        <v>vec00626 / kymácet se (v41bxpA)</v>
      </c>
      <c r="V450" s="0" t="n">
        <v>0.07542</v>
      </c>
      <c r="W450" s="5" t="s">
        <v>30</v>
      </c>
      <c r="Z450" s="0" t="str">
        <f aca="false">HYPERLINK("https://lindat.mff.cuni.cz/services/SynSemClass55/SynSemClass55.html?veclass=vec00949", "vec00949 / valit se (v41nghA)")</f>
        <v>vec00949 / valit se (v41nghA)</v>
      </c>
      <c r="AA450" s="0" t="n">
        <v>0.05801</v>
      </c>
      <c r="AB450" s="5" t="s">
        <v>30</v>
      </c>
      <c r="AE450" s="0" t="str">
        <f aca="false">HYPERLINK("https://lindat.mff.cuni.cz/services/SynSemClass55/SynSemClass55.html?veclass=vec01708", "vec01708 / zatáčet (v41qooC)")</f>
        <v>vec01708 / zatáčet (v41qooC)</v>
      </c>
      <c r="AF450" s="0" t="n">
        <v>0.05447</v>
      </c>
      <c r="AG450" s="5" t="s">
        <v>30</v>
      </c>
    </row>
    <row r="452" customFormat="false" ht="12.75" hidden="false" customHeight="false" outlineLevel="0" collapsed="false">
      <c r="A452" s="0" t="str">
        <f aca="false">HYPERLINK("https://lindat.mff.cuni.cz/services/PDT-Vallex4.5/PDT-Vallex4.5.html?verb=stlačovat", "stlačovat")</f>
        <v>stlačovat</v>
      </c>
      <c r="B452" s="0" t="str">
        <f aca="false">HYPERLINK("https://lindat.mff.cuni.cz/services/PDT-Vallex4.5/PDT-Vallex4.5.html?verb=stlačovat#v41lknB", "v41lknB")</f>
        <v>v41lknB</v>
      </c>
      <c r="E452" s="0" t="n">
        <v>34</v>
      </c>
      <c r="F452" s="0" t="n">
        <v>0.06863</v>
      </c>
      <c r="G452" s="1" t="s">
        <v>31</v>
      </c>
      <c r="K452" s="0" t="str">
        <f aca="false">HYPERLINK("https://lindat.mff.cuni.cz/services/SynSemClass55/SynSemClass55.html?veclass=vec00728", "vec00728 / stisknout (v41lkhA)")</f>
        <v>vec00728 / stisknout (v41lkhA)</v>
      </c>
      <c r="L452" s="0" t="n">
        <v>0.06863</v>
      </c>
      <c r="M452" s="5" t="s">
        <v>33</v>
      </c>
      <c r="P452" s="0" t="str">
        <f aca="false">HYPERLINK("https://lindat.mff.cuni.cz/services/SynSemClass55/SynSemClass55.html?veclass=vec01971", "vec01971 / zatlačovat (v41qpwA)")</f>
        <v>vec01971 / zatlačovat (v41qpwA)</v>
      </c>
      <c r="Q452" s="0" t="n">
        <v>0.05276</v>
      </c>
      <c r="R452" s="5" t="s">
        <v>30</v>
      </c>
      <c r="U452" s="0" t="str">
        <f aca="false">HYPERLINK("https://lindat.mff.cuni.cz/services/SynSemClass55/SynSemClass55.html?veclass=vec00943", "vec00943 / utáhnout (v41mzjC)")</f>
        <v>vec00943 / utáhnout (v41mzjC)</v>
      </c>
      <c r="V452" s="0" t="n">
        <v>0.04538</v>
      </c>
      <c r="W452" s="5" t="s">
        <v>30</v>
      </c>
      <c r="Z452" s="0" t="str">
        <f aca="false">HYPERLINK("https://lindat.mff.cuni.cz/services/SynSemClass55/SynSemClass55.html?veclass=vec01403", "vec01403 / kopat (v41bsgD)")</f>
        <v>vec01403 / kopat (v41bsgD)</v>
      </c>
      <c r="AA452" s="0" t="n">
        <v>0.03774</v>
      </c>
      <c r="AB452" s="5" t="s">
        <v>30</v>
      </c>
      <c r="AE452" s="0" t="str">
        <f aca="false">HYPERLINK("https://lindat.mff.cuni.cz/services/SynSemClass55/SynSemClass55.html?veclass=vec00997", "vec00997 / zpevnit (v41rsiA)")</f>
        <v>vec00997 / zpevnit (v41rsiA)</v>
      </c>
      <c r="AF452" s="0" t="n">
        <v>0.03334</v>
      </c>
      <c r="AG452" s="5" t="s">
        <v>30</v>
      </c>
    </row>
    <row r="454" customFormat="false" ht="12.75" hidden="false" customHeight="false" outlineLevel="0" collapsed="false">
      <c r="A454" s="0" t="str">
        <f aca="false">HYPERLINK("https://lindat.mff.cuni.cz/services/PDT-Vallex4.5/PDT-Vallex4.5.html?verb=stmelit", "stmelit")</f>
        <v>stmelit</v>
      </c>
      <c r="B454" s="0" t="str">
        <f aca="false">HYPERLINK("https://lindat.mff.cuni.cz/services/PDT-Vallex4.5/PDT-Vallex4.5.html?verb=stmelit#v41lkrA", "v41lkrA")</f>
        <v>v41lkrA</v>
      </c>
      <c r="E454" s="0" t="n">
        <v>25</v>
      </c>
      <c r="F454" s="0" t="n">
        <v>0.20145</v>
      </c>
      <c r="G454" s="1" t="s">
        <v>31</v>
      </c>
      <c r="K454" s="0" t="str">
        <f aca="false">HYPERLINK("https://lindat.mff.cuni.cz/services/SynSemClass55/SynSemClass55.html?veclass=vec00723", "vec00723 / spojit (v41lcuA)")</f>
        <v>vec00723 / spojit (v41lcuA)</v>
      </c>
      <c r="L454" s="0" t="n">
        <v>0.20145</v>
      </c>
      <c r="M454" s="5" t="s">
        <v>33</v>
      </c>
      <c r="P454" s="0" t="str">
        <f aca="false">HYPERLINK("https://lindat.mff.cuni.cz/services/SynSemClass55/SynSemClass55.html?veclass=vec00318", "vec00318 / spojit se (v41lcwA)")</f>
        <v>vec00318 / spojit se (v41lcwA)</v>
      </c>
      <c r="Q454" s="0" t="n">
        <v>0.11461</v>
      </c>
      <c r="R454" s="5" t="s">
        <v>30</v>
      </c>
      <c r="U454" s="0" t="str">
        <f aca="false">HYPERLINK("https://lindat.mff.cuni.cz/services/SynSemClass55/SynSemClass55.html?veclass=vec00443", "vec00443 / nashromáždit (v41dbbA)")</f>
        <v>vec00443 / nashromáždit (v41dbbA)</v>
      </c>
      <c r="V454" s="0" t="n">
        <v>0.03683</v>
      </c>
      <c r="W454" s="5" t="s">
        <v>30</v>
      </c>
      <c r="Z454" s="0" t="str">
        <f aca="false">HYPERLINK("https://lindat.mff.cuni.cz/services/SynSemClass55/SynSemClass55.html?veclass=vec01886", "vec01886 / slisovat (v41ktfA)")</f>
        <v>vec01886 / slisovat (v41ktfA)</v>
      </c>
      <c r="AA454" s="0" t="n">
        <v>0.0332</v>
      </c>
      <c r="AB454" s="5" t="s">
        <v>30</v>
      </c>
      <c r="AE454" s="0" t="str">
        <f aca="false">HYPERLINK("https://lindat.mff.cuni.cz/services/SynSemClass55/SynSemClass55.html?veclass=vec01444", "vec01444 / skládat (v41kqdC)")</f>
        <v>vec01444 / skládat (v41kqdC)</v>
      </c>
      <c r="AF454" s="0" t="n">
        <v>0.03174</v>
      </c>
      <c r="AG454" s="5" t="s">
        <v>30</v>
      </c>
    </row>
    <row r="456" customFormat="false" ht="12.75" hidden="false" customHeight="false" outlineLevel="0" collapsed="false">
      <c r="A456" s="0" t="str">
        <f aca="false">HYPERLINK("https://lindat.mff.cuni.cz/services/PDT-Vallex4.5/PDT-Vallex4.5.html?verb=strpět", "strpět")</f>
        <v>strpět</v>
      </c>
      <c r="B456" s="0" t="str">
        <f aca="false">HYPERLINK("https://lindat.mff.cuni.cz/services/PDT-Vallex4.5/PDT-Vallex4.5.html?verb=strpět#v41lmpA", "v41lmpA")</f>
        <v>v41lmpA</v>
      </c>
      <c r="E456" s="0" t="n">
        <v>265</v>
      </c>
      <c r="F456" s="0" t="n">
        <v>0.35691</v>
      </c>
      <c r="G456" s="1" t="s">
        <v>31</v>
      </c>
      <c r="K456" s="0" t="str">
        <f aca="false">HYPERLINK("https://lindat.mff.cuni.cz/services/SynSemClass55/SynSemClass55.html?veclass=vec00970", "vec00970 / vystát (v41oxoB)")</f>
        <v>vec00970 / vystát (v41oxoB)</v>
      </c>
      <c r="L456" s="0" t="n">
        <v>0.35691</v>
      </c>
      <c r="M456" s="5" t="s">
        <v>32</v>
      </c>
      <c r="P456" s="0" t="str">
        <f aca="false">HYPERLINK("https://lindat.mff.cuni.cz/services/SynSemClass55/SynSemClass55.html?veclass=vec01989", "vec01989 / zvládat (v41scaA)")</f>
        <v>vec01989 / zvládat (v41scaA)</v>
      </c>
      <c r="Q456" s="0" t="n">
        <v>0.0815</v>
      </c>
      <c r="R456" s="5" t="s">
        <v>30</v>
      </c>
      <c r="U456" s="0" t="str">
        <f aca="false">HYPERLINK("https://lindat.mff.cuni.cz/services/SynSemClass55/SynSemClass55.html?veclass=vec00491", "vec00491 / přečkat (v41huyA)")</f>
        <v>vec00491 / přečkat (v41huyA)</v>
      </c>
      <c r="V456" s="0" t="n">
        <v>0.03968</v>
      </c>
      <c r="W456" s="5" t="s">
        <v>30</v>
      </c>
      <c r="Z456" s="0" t="str">
        <f aca="false">HYPERLINK("https://lindat.mff.cuni.cz/services/SynSemClass55/SynSemClass55.html?veclass=vec01128", "vec01128 / tolerovat (v41lzxA)")</f>
        <v>vec01128 / tolerovat (v41lzxA)</v>
      </c>
      <c r="AA456" s="0" t="n">
        <v>0.03903</v>
      </c>
      <c r="AB456" s="5" t="s">
        <v>33</v>
      </c>
      <c r="AE456" s="0" t="str">
        <f aca="false">HYPERLINK("https://lindat.mff.cuni.cz/services/SynSemClass55/SynSemClass55.html?veclass=vec00958", "vec00958 / vyčinit (v41nvxA)")</f>
        <v>vec00958 / vyčinit (v41nvxA)</v>
      </c>
      <c r="AF456" s="0" t="n">
        <v>0.02699</v>
      </c>
      <c r="AG456" s="5" t="s">
        <v>30</v>
      </c>
    </row>
    <row r="458" customFormat="false" ht="12.75" hidden="false" customHeight="false" outlineLevel="0" collapsed="false">
      <c r="A458" s="0" t="str">
        <f aca="false">HYPERLINK("https://lindat.mff.cuni.cz/services/PDT-Vallex4.5/PDT-Vallex4.5.html?verb=střetávat", "střetávat")</f>
        <v>střetávat</v>
      </c>
      <c r="B458" s="0" t="str">
        <f aca="false">HYPERLINK("https://lindat.mff.cuni.cz/services/PDT-Vallex4.5/PDT-Vallex4.5.html?verb=střetávat#v41lncA", "v41lncA")</f>
        <v>v41lncA</v>
      </c>
      <c r="E458" s="0" t="n">
        <v>53</v>
      </c>
      <c r="F458" s="0" t="n">
        <v>0.5918</v>
      </c>
      <c r="G458" s="1" t="s">
        <v>166</v>
      </c>
      <c r="K458" s="0" t="str">
        <f aca="false">HYPERLINK("https://lindat.mff.cuni.cz/services/SynSemClass55/SynSemClass55.html?veclass=vec00121", "vec00121 / soupeřit (v41kyvA)")</f>
        <v>vec00121 / soupeřit (v41kyvA)</v>
      </c>
      <c r="L458" s="0" t="n">
        <v>0.5918</v>
      </c>
      <c r="M458" s="5" t="s">
        <v>30</v>
      </c>
      <c r="P458" s="0" t="str">
        <f aca="false">HYPERLINK("https://lindat.mff.cuni.cz/services/SynSemClass55/SynSemClass55.html?veclass=vec00205", "vec00205 / čelit (v41mwA)")</f>
        <v>vec00205 / čelit (v41mwA)</v>
      </c>
      <c r="Q458" s="0" t="n">
        <v>0.12172</v>
      </c>
      <c r="R458" s="5" t="s">
        <v>30</v>
      </c>
      <c r="U458" s="0" t="str">
        <f aca="false">HYPERLINK("https://lindat.mff.cuni.cz/services/SynSemClass55/SynSemClass55.html?veclass=vec00892", "vec00892 / překrývat se (v41icuA)")</f>
        <v>vec00892 / překrývat se (v41icuA)</v>
      </c>
      <c r="V458" s="0" t="n">
        <v>0.05188</v>
      </c>
      <c r="W458" s="5" t="s">
        <v>30</v>
      </c>
      <c r="Z458" s="0" t="str">
        <f aca="false">HYPERLINK("https://lindat.mff.cuni.cz/services/SynSemClass55/SynSemClass55.html?veclass=vec00639", "vec00639 / narazit (v41cyxF)")</f>
        <v>vec00639 / narazit (v41cyxF)</v>
      </c>
      <c r="AA458" s="0" t="n">
        <v>0.03066</v>
      </c>
      <c r="AB458" s="5" t="s">
        <v>30</v>
      </c>
      <c r="AE458" s="0" t="str">
        <f aca="false">HYPERLINK("https://lindat.mff.cuni.cz/services/SynSemClass55/SynSemClass55.html?veclass=vec00019", "vec00019 / handrkovat se (v41atvA)")</f>
        <v>vec00019 / handrkovat se (v41atvA)</v>
      </c>
      <c r="AF458" s="0" t="n">
        <v>0.0156</v>
      </c>
      <c r="AG458" s="5" t="s">
        <v>30</v>
      </c>
    </row>
    <row r="459" customFormat="false" ht="12.75" hidden="false" customHeight="false" outlineLevel="0" collapsed="false">
      <c r="A459" s="0" t="str">
        <f aca="false">HYPERLINK("https://lindat.mff.cuni.cz/services/PDT-Vallex4.5/PDT-Vallex4.5.html?verb=střetávat", "střetávat")</f>
        <v>střetávat</v>
      </c>
      <c r="B459" s="0" t="str">
        <f aca="false">HYPERLINK("https://lindat.mff.cuni.cz/services/PDT-Vallex4.5/PDT-Vallex4.5.html?verb=střetávat#v41lncB", "v41lncB")</f>
        <v>v41lncB</v>
      </c>
      <c r="E459" s="0" t="n">
        <v>53</v>
      </c>
      <c r="F459" s="0" t="n">
        <v>0.5918</v>
      </c>
      <c r="G459" s="1" t="s">
        <v>166</v>
      </c>
      <c r="K459" s="0" t="str">
        <f aca="false">HYPERLINK("https://lindat.mff.cuni.cz/services/SynSemClass55/SynSemClass55.html?veclass=vec00121", "vec00121 / soupeřit (v41kyvA)")</f>
        <v>vec00121 / soupeřit (v41kyvA)</v>
      </c>
      <c r="L459" s="0" t="n">
        <v>0.5918</v>
      </c>
      <c r="M459" s="5" t="s">
        <v>30</v>
      </c>
      <c r="P459" s="0" t="str">
        <f aca="false">HYPERLINK("https://lindat.mff.cuni.cz/services/SynSemClass55/SynSemClass55.html?veclass=vec00205", "vec00205 / čelit (v41mwA)")</f>
        <v>vec00205 / čelit (v41mwA)</v>
      </c>
      <c r="Q459" s="0" t="n">
        <v>0.12172</v>
      </c>
      <c r="R459" s="5" t="s">
        <v>30</v>
      </c>
      <c r="U459" s="0" t="str">
        <f aca="false">HYPERLINK("https://lindat.mff.cuni.cz/services/SynSemClass55/SynSemClass55.html?veclass=vec00892", "vec00892 / překrývat se (v41icuA)")</f>
        <v>vec00892 / překrývat se (v41icuA)</v>
      </c>
      <c r="V459" s="0" t="n">
        <v>0.05188</v>
      </c>
      <c r="W459" s="5" t="s">
        <v>30</v>
      </c>
      <c r="Z459" s="0" t="str">
        <f aca="false">HYPERLINK("https://lindat.mff.cuni.cz/services/SynSemClass55/SynSemClass55.html?veclass=vec00639", "vec00639 / narazit (v41cyxF)")</f>
        <v>vec00639 / narazit (v41cyxF)</v>
      </c>
      <c r="AA459" s="0" t="n">
        <v>0.03066</v>
      </c>
      <c r="AB459" s="5" t="s">
        <v>30</v>
      </c>
      <c r="AE459" s="0" t="str">
        <f aca="false">HYPERLINK("https://lindat.mff.cuni.cz/services/SynSemClass55/SynSemClass55.html?veclass=vec00019", "vec00019 / handrkovat se (v41atvA)")</f>
        <v>vec00019 / handrkovat se (v41atvA)</v>
      </c>
      <c r="AF459" s="0" t="n">
        <v>0.0156</v>
      </c>
      <c r="AG459" s="5" t="s">
        <v>30</v>
      </c>
    </row>
    <row r="461" customFormat="false" ht="12.75" hidden="false" customHeight="false" outlineLevel="0" collapsed="false">
      <c r="A461" s="0" t="str">
        <f aca="false">HYPERLINK("https://lindat.mff.cuni.cz/services/PDT-Vallex4.5/PDT-Vallex4.5.html?verb=svolovat", "svolovat")</f>
        <v>svolovat</v>
      </c>
      <c r="B461" s="0" t="str">
        <f aca="false">HYPERLINK("https://lindat.mff.cuni.cz/services/PDT-Vallex4.5/PDT-Vallex4.5.html?verb=svolovat#v41lreA", "v41lreA")</f>
        <v>v41lreA</v>
      </c>
      <c r="E461" s="0" t="n">
        <v>24</v>
      </c>
      <c r="F461" s="0" t="n">
        <v>0.14423</v>
      </c>
      <c r="G461" s="1" t="s">
        <v>31</v>
      </c>
      <c r="K461" s="0" t="str">
        <f aca="false">HYPERLINK("https://lindat.mff.cuni.cz/services/SynSemClass55/SynSemClass55.html?veclass=vec00012", "vec00012 / dovolit (v41aiqA)")</f>
        <v>vec00012 / dovolit (v41aiqA)</v>
      </c>
      <c r="L461" s="0" t="n">
        <v>0.14423</v>
      </c>
      <c r="M461" s="5" t="s">
        <v>34</v>
      </c>
      <c r="P461" s="0" t="str">
        <f aca="false">HYPERLINK("https://lindat.mff.cuni.cz/services/SynSemClass55/SynSemClass55.html?veclass=vec00120", "vec00120 / souhlasit (v41kypC)")</f>
        <v>vec00120 / souhlasit (v41kypC)</v>
      </c>
      <c r="Q461" s="0" t="n">
        <v>0.10821</v>
      </c>
      <c r="R461" s="5" t="s">
        <v>33</v>
      </c>
      <c r="U461" s="0" t="str">
        <f aca="false">HYPERLINK("https://lindat.mff.cuni.cz/services/SynSemClass55/SynSemClass55.html?veclass=vec00503", "vec00503 / přiznat se (v41jcjA)")</f>
        <v>vec00503 / přiznat se (v41jcjA)</v>
      </c>
      <c r="V461" s="0" t="n">
        <v>0.05935</v>
      </c>
      <c r="W461" s="5" t="s">
        <v>30</v>
      </c>
      <c r="Z461" s="0" t="str">
        <f aca="false">HYPERLINK("https://lindat.mff.cuni.cz/services/SynSemClass55/SynSemClass55.html?veclass=vec01320", "vec01320 / souhlasit (v41kypA)")</f>
        <v>vec01320 / souhlasit (v41kypA)</v>
      </c>
      <c r="AA461" s="0" t="n">
        <v>0.05848</v>
      </c>
      <c r="AB461" s="5" t="s">
        <v>30</v>
      </c>
      <c r="AE461" s="0" t="str">
        <f aca="false">HYPERLINK("https://lindat.mff.cuni.cz/services/SynSemClass55/SynSemClass55.html?veclass=vec00633", "vec00633 / nadávat (v41cnkB)")</f>
        <v>vec00633 / nadávat (v41cnkB)</v>
      </c>
      <c r="AF461" s="0" t="n">
        <v>0.04427</v>
      </c>
      <c r="AG461" s="5" t="s">
        <v>30</v>
      </c>
    </row>
    <row r="463" customFormat="false" ht="12.75" hidden="false" customHeight="false" outlineLevel="0" collapsed="false">
      <c r="A463" s="0" t="str">
        <f aca="false">HYPERLINK("https://lindat.mff.cuni.cz/services/PDT-Vallex4.5/PDT-Vallex4.5.html?verb=škudlit", "škudlit")</f>
        <v>škudlit</v>
      </c>
      <c r="B463" s="0" t="str">
        <f aca="false">HYPERLINK("https://lindat.mff.cuni.cz/services/PDT-Vallex4.5/PDT-Vallex4.5.html?verb=škudlit#v41lubB", "v41lubB")</f>
        <v>v41lubB</v>
      </c>
      <c r="E463" s="0" t="n">
        <v>32</v>
      </c>
      <c r="F463" s="0" t="n">
        <v>0.10784</v>
      </c>
      <c r="G463" s="1" t="n">
        <v>0</v>
      </c>
      <c r="I463" s="1" t="s">
        <v>167</v>
      </c>
      <c r="K463" s="0" t="str">
        <f aca="false">HYPERLINK("https://lindat.mff.cuni.cz/services/SynSemClass55/SynSemClass55.html?veclass=vec00886", "vec00886 / promrhat (v41hikA)")</f>
        <v>vec00886 / promrhat (v41hikA)</v>
      </c>
      <c r="L463" s="0" t="n">
        <v>0.10784</v>
      </c>
      <c r="M463" s="5" t="s">
        <v>30</v>
      </c>
      <c r="P463" s="0" t="str">
        <f aca="false">HYPERLINK("https://lindat.mff.cuni.cz/services/SynSemClass55/SynSemClass55.html?veclass=vec00958", "vec00958 / vyčinit (v41nvxA)")</f>
        <v>vec00958 / vyčinit (v41nvxA)</v>
      </c>
      <c r="Q463" s="0" t="n">
        <v>0.04788</v>
      </c>
      <c r="R463" s="5" t="s">
        <v>30</v>
      </c>
      <c r="U463" s="0" t="str">
        <f aca="false">HYPERLINK("https://lindat.mff.cuni.cz/services/SynSemClass55/SynSemClass55.html?veclass=vec01924", "vec01924 / vnucovat se (v41noiA)")</f>
        <v>vec01924 / vnucovat se (v41noiA)</v>
      </c>
      <c r="V463" s="0" t="n">
        <v>0.04351</v>
      </c>
      <c r="W463" s="5" t="s">
        <v>30</v>
      </c>
      <c r="Z463" s="0" t="str">
        <f aca="false">HYPERLINK("https://lindat.mff.cuni.cz/services/SynSemClass55/SynSemClass55.html?veclass=vec01216", "vec01216 / hrabat se (v41aygA)")</f>
        <v>vec01216 / hrabat se (v41aygA)</v>
      </c>
      <c r="AA463" s="0" t="n">
        <v>0.0402</v>
      </c>
      <c r="AB463" s="5" t="s">
        <v>30</v>
      </c>
      <c r="AE463" s="0" t="str">
        <f aca="false">HYPERLINK("https://lindat.mff.cuni.cz/services/SynSemClass55/SynSemClass55.html?veclass=vec00145", "vec00145 / ušklíbnout se (v41myzA)")</f>
        <v>vec00145 / ušklíbnout se (v41myzA)</v>
      </c>
      <c r="AF463" s="0" t="n">
        <v>0.04</v>
      </c>
      <c r="AG463" s="5" t="s">
        <v>30</v>
      </c>
    </row>
    <row r="465" customFormat="false" ht="12.75" hidden="false" customHeight="false" outlineLevel="0" collapsed="false">
      <c r="A465" s="0" t="str">
        <f aca="false">HYPERLINK("https://lindat.mff.cuni.cz/services/PDT-Vallex4.5/PDT-Vallex4.5.html?verb=tajit", "tajit")</f>
        <v>tajit</v>
      </c>
      <c r="B465" s="0" t="str">
        <f aca="false">HYPERLINK("https://lindat.mff.cuni.cz/services/PDT-Vallex4.5/PDT-Vallex4.5.html?verb=tajit#v41lwiA", "v41lwiA")</f>
        <v>v41lwiA</v>
      </c>
      <c r="E465" s="0" t="n">
        <v>893</v>
      </c>
      <c r="F465" s="0" t="n">
        <v>0.56523</v>
      </c>
      <c r="G465" s="1" t="s">
        <v>31</v>
      </c>
      <c r="K465" s="0" t="str">
        <f aca="false">HYPERLINK("https://lindat.mff.cuni.cz/services/SynSemClass55/SynSemClass55.html?veclass=vec00514", "vec00514 / skrýt (v41krqB)")</f>
        <v>vec00514 / skrýt (v41krqB)</v>
      </c>
      <c r="L465" s="0" t="n">
        <v>0.56523</v>
      </c>
      <c r="M465" s="5" t="s">
        <v>33</v>
      </c>
      <c r="P465" s="0" t="str">
        <f aca="false">HYPERLINK("https://lindat.mff.cuni.cz/services/SynSemClass55/SynSemClass55.html?veclass=vec00714", "vec00714 / skrývat se (v41krtA)")</f>
        <v>vec00714 / skrývat se (v41krtA)</v>
      </c>
      <c r="Q465" s="0" t="n">
        <v>0.04319</v>
      </c>
      <c r="R465" s="5" t="s">
        <v>30</v>
      </c>
      <c r="U465" s="0" t="str">
        <f aca="false">HYPERLINK("https://lindat.mff.cuni.cz/services/SynSemClass55/SynSemClass55.html?veclass=vec01711", "vec01711 / zatajit se (v41qovA)")</f>
        <v>vec01711 / zatajit se (v41qovA)</v>
      </c>
      <c r="V465" s="0" t="n">
        <v>0.03993</v>
      </c>
      <c r="W465" s="5" t="s">
        <v>30</v>
      </c>
      <c r="Z465" s="0" t="str">
        <f aca="false">HYPERLINK("https://lindat.mff.cuni.cz/services/SynSemClass55/SynSemClass55.html?veclass=vec00418", "vec00418 / chlubit se (v41bbeA)")</f>
        <v>vec00418 / chlubit se (v41bbeA)</v>
      </c>
      <c r="AA465" s="0" t="n">
        <v>0.02767</v>
      </c>
      <c r="AB465" s="5" t="s">
        <v>30</v>
      </c>
      <c r="AE465" s="0" t="str">
        <f aca="false">HYPERLINK("https://lindat.mff.cuni.cz/services/SynSemClass55/SynSemClass55.html?veclass=vec01338", "vec01338 / ulít (v41mnvA)")</f>
        <v>vec01338 / ulít (v41mnvA)</v>
      </c>
      <c r="AF465" s="0" t="n">
        <v>0.02631</v>
      </c>
      <c r="AG465" s="5" t="s">
        <v>30</v>
      </c>
    </row>
    <row r="467" customFormat="false" ht="12.75" hidden="false" customHeight="false" outlineLevel="0" collapsed="false">
      <c r="A467" s="0" t="str">
        <f aca="false">HYPERLINK("https://lindat.mff.cuni.cz/services/PDT-Vallex4.5/PDT-Vallex4.5.html?verb=tisknout", "tisknout")</f>
        <v>tisknout</v>
      </c>
      <c r="B467" s="0" t="str">
        <f aca="false">HYPERLINK("https://lindat.mff.cuni.cz/services/PDT-Vallex4.5/PDT-Vallex4.5.html?verb=tisknout#v41lzaB", "v41lzaB")</f>
        <v>v41lzaB</v>
      </c>
      <c r="E467" s="0" t="n">
        <v>2150</v>
      </c>
      <c r="F467" s="0" t="n">
        <v>0.09099</v>
      </c>
      <c r="G467" s="1" t="s">
        <v>31</v>
      </c>
      <c r="K467" s="0" t="str">
        <f aca="false">HYPERLINK("https://lindat.mff.cuni.cz/services/SynSemClass55/SynSemClass55.html?veclass=vec00528", "vec00528 / tisknout (v41lzaA)")</f>
        <v>vec00528 / tisknout (v41lzaA)</v>
      </c>
      <c r="L467" s="0" t="n">
        <v>0.09099</v>
      </c>
      <c r="M467" s="5" t="s">
        <v>30</v>
      </c>
      <c r="P467" s="0" t="str">
        <f aca="false">HYPERLINK("https://lindat.mff.cuni.cz/services/SynSemClass55/SynSemClass55.html?veclass=vec00728", "vec00728 / stisknout (v41lkhA)")</f>
        <v>vec00728 / stisknout (v41lkhA)</v>
      </c>
      <c r="Q467" s="0" t="n">
        <v>0.05524</v>
      </c>
      <c r="R467" s="5" t="s">
        <v>33</v>
      </c>
      <c r="U467" s="0" t="str">
        <f aca="false">HYPERLINK("https://lindat.mff.cuni.cz/services/SynSemClass55/SynSemClass55.html?veclass=vec00899", "vec00899 / připevnit (v41ivdA)")</f>
        <v>vec00899 / připevnit (v41ivdA)</v>
      </c>
      <c r="V467" s="0" t="n">
        <v>0.05255</v>
      </c>
      <c r="W467" s="5" t="s">
        <v>30</v>
      </c>
      <c r="Z467" s="0" t="str">
        <f aca="false">HYPERLINK("https://lindat.mff.cuni.cz/services/SynSemClass55/SynSemClass55.html?veclass=vec00735", "vec00735 / umístit (v41motA)")</f>
        <v>vec00735 / umístit (v41motA)</v>
      </c>
      <c r="AA467" s="0" t="n">
        <v>0.04184</v>
      </c>
      <c r="AB467" s="5" t="s">
        <v>30</v>
      </c>
      <c r="AE467" s="0" t="str">
        <f aca="false">HYPERLINK("https://lindat.mff.cuni.cz/services/SynSemClass55/SynSemClass55.html?veclass=vec01226", "vec01226 / mávat (v41cetB)")</f>
        <v>vec01226 / mávat (v41cetB)</v>
      </c>
      <c r="AF467" s="0" t="n">
        <v>0.02559</v>
      </c>
      <c r="AG467" s="5" t="s">
        <v>30</v>
      </c>
    </row>
    <row r="469" customFormat="false" ht="12.75" hidden="false" customHeight="false" outlineLevel="0" collapsed="false">
      <c r="A469" s="0" t="str">
        <f aca="false">HYPERLINK("https://lindat.mff.cuni.cz/services/PDT-Vallex4.5/PDT-Vallex4.5.html?verb=tlumit", "tlumit")</f>
        <v>tlumit</v>
      </c>
      <c r="B469" s="0" t="str">
        <f aca="false">HYPERLINK("https://lindat.mff.cuni.cz/services/PDT-Vallex4.5/PDT-Vallex4.5.html?verb=tlumit#v41lznA", "v41lznA")</f>
        <v>v41lznA</v>
      </c>
      <c r="E469" s="0" t="n">
        <v>226</v>
      </c>
      <c r="F469" s="0" t="n">
        <v>0.33037</v>
      </c>
      <c r="G469" s="1" t="n">
        <v>0</v>
      </c>
      <c r="I469" s="1" t="s">
        <v>59</v>
      </c>
      <c r="K469" s="0" t="str">
        <f aca="false">HYPERLINK("https://lindat.mff.cuni.cz/services/SynSemClass55/SynSemClass55.html?veclass=vec00815", "vec00815 / dusit (v41alyD)")</f>
        <v>vec00815 / dusit (v41alyD)</v>
      </c>
      <c r="L469" s="0" t="n">
        <v>0.33037</v>
      </c>
      <c r="M469" s="5" t="s">
        <v>30</v>
      </c>
      <c r="P469" s="0" t="str">
        <f aca="false">HYPERLINK("https://lindat.mff.cuni.cz/services/SynSemClass55/SynSemClass55.html?veclass=vec00055", "vec00055 / oslabit (v41ezlC)")</f>
        <v>vec00055 / oslabit (v41ezlC)</v>
      </c>
      <c r="Q469" s="0" t="n">
        <v>0.19866</v>
      </c>
      <c r="R469" s="5" t="s">
        <v>30</v>
      </c>
      <c r="U469" s="0" t="str">
        <f aca="false">HYPERLINK("https://lindat.mff.cuni.cz/services/SynSemClass55/SynSemClass55.html?veclass=vec00091", "vec00091 / přebít (v41hueA)")</f>
        <v>vec00091 / přebít (v41hueA)</v>
      </c>
      <c r="V469" s="0" t="n">
        <v>0.04955</v>
      </c>
      <c r="W469" s="5" t="s">
        <v>30</v>
      </c>
      <c r="Z469" s="0" t="str">
        <f aca="false">HYPERLINK("https://lindat.mff.cuni.cz/services/SynSemClass55/SynSemClass55.html?veclass=vec00770", "vec00770 / zamlžit (v41qcdA)")</f>
        <v>vec00770 / zamlžit (v41qcdA)</v>
      </c>
      <c r="AA469" s="0" t="n">
        <v>0.04573</v>
      </c>
      <c r="AB469" s="5" t="s">
        <v>30</v>
      </c>
      <c r="AE469" s="0" t="str">
        <f aca="false">HYPERLINK("https://lindat.mff.cuni.cz/services/SynSemClass55/SynSemClass55.html?veclass=vec01482", "vec01482 / znegovat (v41rnpA)")</f>
        <v>vec01482 / znegovat (v41rnpA)</v>
      </c>
      <c r="AF469" s="0" t="n">
        <v>0.02601</v>
      </c>
      <c r="AG469" s="5" t="s">
        <v>30</v>
      </c>
    </row>
    <row r="471" customFormat="false" ht="12.75" hidden="false" customHeight="false" outlineLevel="0" collapsed="false">
      <c r="A471" s="0" t="str">
        <f aca="false">HYPERLINK("https://lindat.mff.cuni.cz/services/PDT-Vallex4.5/PDT-Vallex4.5.html?verb=truchlit", "truchlit")</f>
        <v>truchlit</v>
      </c>
      <c r="B471" s="0" t="str">
        <f aca="false">HYPERLINK("https://lindat.mff.cuni.cz/services/PDT-Vallex4.5/PDT-Vallex4.5.html?verb=truchlit#v41mcwA", "v41mcwA")</f>
        <v>v41mcwA</v>
      </c>
      <c r="E471" s="0" t="n">
        <v>240</v>
      </c>
      <c r="F471" s="0" t="n">
        <v>0.10909</v>
      </c>
      <c r="G471" s="1" t="s">
        <v>31</v>
      </c>
      <c r="K471" s="0" t="str">
        <f aca="false">HYPERLINK("https://lindat.mff.cuni.cz/services/SynSemClass55/SynSemClass55.html?veclass=vec00867", "vec00867 / plakat (v41fmgA)")</f>
        <v>vec00867 / plakat (v41fmgA)</v>
      </c>
      <c r="L471" s="0" t="n">
        <v>0.10909</v>
      </c>
      <c r="M471" s="5" t="s">
        <v>34</v>
      </c>
      <c r="P471" s="0" t="str">
        <f aca="false">HYPERLINK("https://lindat.mff.cuni.cz/services/SynSemClass55/SynSemClass55.html?veclass=vec00633", "vec00633 / nadávat (v41cnkB)")</f>
        <v>vec00633 / nadávat (v41cnkB)</v>
      </c>
      <c r="Q471" s="0" t="n">
        <v>0.09205</v>
      </c>
      <c r="R471" s="5" t="s">
        <v>30</v>
      </c>
      <c r="U471" s="0" t="str">
        <f aca="false">HYPERLINK("https://lindat.mff.cuni.cz/services/SynSemClass55/SynSemClass55.html?veclass=vec00428", "vec00428 / litovat (v41cbqA)")</f>
        <v>vec00428 / litovat (v41cbqA)</v>
      </c>
      <c r="V471" s="0" t="n">
        <v>0.07924</v>
      </c>
      <c r="W471" s="5" t="s">
        <v>32</v>
      </c>
      <c r="Z471" s="0" t="str">
        <f aca="false">HYPERLINK("https://lindat.mff.cuni.cz/services/SynSemClass55/SynSemClass55.html?veclass=vec00132", "vec00132 / stěžovat si (v41ljuB)")</f>
        <v>vec00132 / stěžovat si (v41ljuB)</v>
      </c>
      <c r="AA471" s="0" t="n">
        <v>0.05331</v>
      </c>
      <c r="AB471" s="5" t="s">
        <v>30</v>
      </c>
      <c r="AE471" s="0" t="str">
        <f aca="false">HYPERLINK("https://lindat.mff.cuni.cz/services/SynSemClass55/SynSemClass55.html?veclass=vec01489", "vec01489 / bručet (v41inA)")</f>
        <v>vec01489 / bručet (v41inA)</v>
      </c>
      <c r="AF471" s="0" t="n">
        <v>0.03982</v>
      </c>
      <c r="AG471" s="5" t="s">
        <v>30</v>
      </c>
    </row>
    <row r="473" customFormat="false" ht="12.75" hidden="false" customHeight="false" outlineLevel="0" collapsed="false">
      <c r="A473" s="0" t="str">
        <f aca="false">HYPERLINK("https://lindat.mff.cuni.cz/services/PDT-Vallex4.5/PDT-Vallex4.5.html?verb=ubytovávat", "ubytovávat")</f>
        <v>ubytovávat</v>
      </c>
      <c r="B473" s="0" t="str">
        <f aca="false">HYPERLINK("https://lindat.mff.cuni.cz/services/PDT-Vallex4.5/PDT-Vallex4.5.html?verb=ubytovávat#v41mfyB", "v41mfyB")</f>
        <v>v41mfyB</v>
      </c>
      <c r="E473" s="0" t="n">
        <v>24</v>
      </c>
      <c r="F473" s="0" t="n">
        <v>0.73934</v>
      </c>
      <c r="G473" s="1" t="s">
        <v>31</v>
      </c>
      <c r="K473" s="0" t="str">
        <f aca="false">HYPERLINK("https://lindat.mff.cuni.cz/services/SynSemClass55/SynSemClass55.html?veclass=vec01577", "vec01577 / nastěhovat (v41dcnA)")</f>
        <v>vec01577 / nastěhovat (v41dcnA)</v>
      </c>
      <c r="L473" s="0" t="n">
        <v>0.73934</v>
      </c>
      <c r="M473" s="5" t="s">
        <v>30</v>
      </c>
      <c r="P473" s="0" t="str">
        <f aca="false">HYPERLINK("https://lindat.mff.cuni.cz/services/SynSemClass55/SynSemClass55.html?veclass=vec01611", "vec01611 / ubytovat (v41mfwA)")</f>
        <v>vec01611 / ubytovat (v41mfwA)</v>
      </c>
      <c r="Q473" s="0" t="n">
        <v>0.22327</v>
      </c>
      <c r="R473" s="5" t="s">
        <v>30</v>
      </c>
      <c r="U473" s="0" t="str">
        <f aca="false">HYPERLINK("https://lindat.mff.cuni.cz/services/SynSemClass55/SynSemClass55.html?veclass=vec00394", "vec00394 / zůstat (v41sadF)")</f>
        <v>vec00394 / zůstat (v41sadF)</v>
      </c>
      <c r="V473" s="0" t="n">
        <v>0.05574</v>
      </c>
      <c r="W473" s="5" t="s">
        <v>30</v>
      </c>
      <c r="Z473" s="0" t="str">
        <f aca="false">HYPERLINK("https://lindat.mff.cuni.cz/services/SynSemClass55/SynSemClass55.html?veclass=vec00283", "vec00283 / převést (v41imqC)")</f>
        <v>vec00283 / převést (v41imqC)</v>
      </c>
      <c r="AA473" s="0" t="n">
        <v>0.02932</v>
      </c>
      <c r="AB473" s="5" t="s">
        <v>30</v>
      </c>
      <c r="AE473" s="0" t="str">
        <f aca="false">HYPERLINK("https://lindat.mff.cuni.cz/services/SynSemClass55/SynSemClass55.html?veclass=vec00308", "vec00308 / sídlit (v41kofA)")</f>
        <v>vec00308 / sídlit (v41kofA)</v>
      </c>
      <c r="AF473" s="0" t="n">
        <v>0.02539</v>
      </c>
      <c r="AG473" s="5" t="s">
        <v>33</v>
      </c>
    </row>
    <row r="475" customFormat="false" ht="12.75" hidden="false" customHeight="false" outlineLevel="0" collapsed="false">
      <c r="A475" s="0" t="str">
        <f aca="false">HYPERLINK("https://lindat.mff.cuni.cz/services/PDT-Vallex4.5/PDT-Vallex4.5.html?verb=udílet", "udílet")</f>
        <v>udílet</v>
      </c>
      <c r="B475" s="0" t="str">
        <f aca="false">HYPERLINK("https://lindat.mff.cuni.cz/services/PDT-Vallex4.5/PDT-Vallex4.5.html?verb=udílet#v41micB", "v41micB")</f>
        <v>v41micB</v>
      </c>
      <c r="E475" s="0" t="n">
        <v>101</v>
      </c>
      <c r="F475" s="0" t="n">
        <v>0.27989</v>
      </c>
      <c r="G475" s="1" t="s">
        <v>31</v>
      </c>
      <c r="K475" s="0" t="str">
        <f aca="false">HYPERLINK("https://lindat.mff.cuni.cz/services/SynSemClass55/SynSemClass55.html?veclass=vec01013", "vec01013 / diktovat (v41tyB)")</f>
        <v>vec01013 / diktovat (v41tyB)</v>
      </c>
      <c r="L475" s="0" t="n">
        <v>0.27989</v>
      </c>
      <c r="M475" s="5" t="s">
        <v>34</v>
      </c>
      <c r="P475" s="0" t="str">
        <f aca="false">HYPERLINK("https://lindat.mff.cuni.cz/services/SynSemClass55/SynSemClass55.html?veclass=vec00571", "vec00571 / zadat (v41prmA)")</f>
        <v>vec00571 / zadat (v41prmA)</v>
      </c>
      <c r="Q475" s="0" t="n">
        <v>0.16976</v>
      </c>
      <c r="R475" s="5" t="s">
        <v>32</v>
      </c>
      <c r="U475" s="0" t="str">
        <f aca="false">HYPERLINK("https://lindat.mff.cuni.cz/services/SynSemClass55/SynSemClass55.html?veclass=vec00074", "vec00074 / poskytnout (v41glvA)")</f>
        <v>vec00074 / poskytnout (v41glvA)</v>
      </c>
      <c r="V475" s="0" t="n">
        <v>0.1489</v>
      </c>
      <c r="W475" s="5" t="s">
        <v>30</v>
      </c>
      <c r="Z475" s="0" t="str">
        <f aca="false">HYPERLINK("https://lindat.mff.cuni.cz/services/SynSemClass55/SynSemClass55.html?veclass=vec01087", "vec01087 / předávat (v41hvhA)")</f>
        <v>vec01087 / předávat (v41hvhA)</v>
      </c>
      <c r="AA475" s="0" t="n">
        <v>0.06591</v>
      </c>
      <c r="AB475" s="5" t="s">
        <v>30</v>
      </c>
      <c r="AE475" s="0" t="str">
        <f aca="false">HYPERLINK("https://lindat.mff.cuni.cz/services/SynSemClass55/SynSemClass55.html?veclass=vec00209", "vec00209 / distribuovat (v41uwB)")</f>
        <v>vec00209 / distribuovat (v41uwB)</v>
      </c>
      <c r="AF475" s="0" t="n">
        <v>0.0636</v>
      </c>
      <c r="AG475" s="5" t="s">
        <v>30</v>
      </c>
    </row>
    <row r="477" customFormat="false" ht="12.75" hidden="false" customHeight="false" outlineLevel="0" collapsed="false">
      <c r="A477" s="0" t="str">
        <f aca="false">HYPERLINK("https://lindat.mff.cuni.cz/services/PDT-Vallex4.5/PDT-Vallex4.5.html?verb=uhnout", "uhnout")</f>
        <v>uhnout</v>
      </c>
      <c r="B477" s="0" t="str">
        <f aca="false">HYPERLINK("https://lindat.mff.cuni.cz/services/PDT-Vallex4.5/PDT-Vallex4.5.html?verb=uhnout#v41mjfB", "v41mjfB")</f>
        <v>v41mjfB</v>
      </c>
      <c r="E477" s="0" t="n">
        <v>1033</v>
      </c>
      <c r="F477" s="0" t="n">
        <v>0.07389</v>
      </c>
      <c r="G477" s="1" t="s">
        <v>168</v>
      </c>
      <c r="K477" s="0" t="str">
        <f aca="false">HYPERLINK("https://lindat.mff.cuni.cz/services/SynSemClass55/SynSemClass55.html?veclass=vec00838", "vec00838 / mrknout (v41cjrA)")</f>
        <v>vec00838 / mrknout (v41cjrA)</v>
      </c>
      <c r="L477" s="0" t="n">
        <v>0.07389</v>
      </c>
      <c r="M477" s="5" t="s">
        <v>30</v>
      </c>
      <c r="P477" s="0" t="str">
        <f aca="false">HYPERLINK("https://lindat.mff.cuni.cz/services/SynSemClass55/SynSemClass55.html?veclass=vec00991", "vec00991 / zavrtět (v41qubA)")</f>
        <v>vec00991 / zavrtět (v41qubA)</v>
      </c>
      <c r="Q477" s="0" t="n">
        <v>0.05501</v>
      </c>
      <c r="R477" s="5" t="s">
        <v>30</v>
      </c>
      <c r="U477" s="0" t="str">
        <f aca="false">HYPERLINK("https://lindat.mff.cuni.cz/services/SynSemClass55/SynSemClass55.html?veclass=vec00637", "vec00637 / naklonit se (v41csfB)")</f>
        <v>vec00637 / naklonit se (v41csfB)</v>
      </c>
      <c r="V477" s="0" t="n">
        <v>0.04601</v>
      </c>
      <c r="W477" s="5" t="s">
        <v>30</v>
      </c>
      <c r="Z477" s="0" t="str">
        <f aca="false">HYPERLINK("https://lindat.mff.cuni.cz/services/SynSemClass55/SynSemClass55.html?veclass=vec00665", "vec00665 / plazit se (v41fnbA)")</f>
        <v>vec00665 / plazit se (v41fnbA)</v>
      </c>
      <c r="AA477" s="0" t="n">
        <v>0.03528</v>
      </c>
      <c r="AB477" s="5" t="s">
        <v>30</v>
      </c>
      <c r="AE477" s="0" t="str">
        <f aca="false">HYPERLINK("https://lindat.mff.cuni.cz/services/SynSemClass55/SynSemClass55.html?veclass=vec00674", "vec00674 / pohrdat (v41fxsA)")</f>
        <v>vec00674 / pohrdat (v41fxsA)</v>
      </c>
      <c r="AF477" s="0" t="n">
        <v>0.03152</v>
      </c>
      <c r="AG477" s="5" t="s">
        <v>30</v>
      </c>
    </row>
    <row r="479" customFormat="false" ht="12.75" hidden="false" customHeight="false" outlineLevel="0" collapsed="false">
      <c r="A479" s="0" t="str">
        <f aca="false">HYPERLINK("https://lindat.mff.cuni.cz/services/PDT-Vallex4.5/PDT-Vallex4.5.html?verb=ujednat", "ujednat")</f>
        <v>ujednat</v>
      </c>
      <c r="B479" s="0" t="str">
        <f aca="false">HYPERLINK("https://lindat.mff.cuni.cz/services/PDT-Vallex4.5/PDT-Vallex4.5.html?verb=ujednat#v41mkrA", "v41mkrA")</f>
        <v>v41mkrA</v>
      </c>
      <c r="E479" s="0" t="n">
        <v>73</v>
      </c>
      <c r="F479" s="0" t="n">
        <v>0.57881</v>
      </c>
      <c r="G479" s="1" t="s">
        <v>31</v>
      </c>
      <c r="K479" s="0" t="str">
        <f aca="false">HYPERLINK("https://lindat.mff.cuni.cz/services/SynSemClass55/SynSemClass55.html?veclass=vec00162", "vec00162 / vyjednávat (v41odnB)")</f>
        <v>vec00162 / vyjednávat (v41odnB)</v>
      </c>
      <c r="L479" s="0" t="n">
        <v>0.57881</v>
      </c>
      <c r="M479" s="5" t="s">
        <v>34</v>
      </c>
      <c r="P479" s="0" t="str">
        <f aca="false">HYPERLINK("https://lindat.mff.cuni.cz/services/SynSemClass55/SynSemClass55.html?veclass=vec00127", "vec00127 / stanovit (v41lhzD)")</f>
        <v>vec00127 / stanovit (v41lhzD)</v>
      </c>
      <c r="Q479" s="0" t="n">
        <v>0.11016</v>
      </c>
      <c r="R479" s="5" t="s">
        <v>30</v>
      </c>
      <c r="U479" s="0" t="str">
        <f aca="false">HYPERLINK("https://lindat.mff.cuni.cz/services/SynSemClass55/SynSemClass55.html?veclass=vec00178", "vec00178 / zajistit (v41pvyA)")</f>
        <v>vec00178 / zajistit (v41pvyA)</v>
      </c>
      <c r="V479" s="0" t="n">
        <v>0.07488</v>
      </c>
      <c r="W479" s="5" t="s">
        <v>30</v>
      </c>
      <c r="Z479" s="0" t="str">
        <f aca="false">HYPERLINK("https://lindat.mff.cuni.cz/services/SynSemClass55/SynSemClass55.html?veclass=vec01468", "vec01468 / vyrovnat si (v41oubA)")</f>
        <v>vec01468 / vyrovnat si (v41oubA)</v>
      </c>
      <c r="AA479" s="0" t="n">
        <v>0.03614</v>
      </c>
      <c r="AB479" s="5" t="s">
        <v>30</v>
      </c>
      <c r="AE479" s="0" t="str">
        <f aca="false">HYPERLINK("https://lindat.mff.cuni.cz/services/SynSemClass55/SynSemClass55.html?veclass=vec01690", "vec01690 / uhádnout (v41mixA)")</f>
        <v>vec01690 / uhádnout (v41mixA)</v>
      </c>
      <c r="AF479" s="0" t="n">
        <v>0.02304</v>
      </c>
      <c r="AG479" s="5" t="s">
        <v>30</v>
      </c>
    </row>
    <row r="481" customFormat="false" ht="12.75" hidden="false" customHeight="false" outlineLevel="0" collapsed="false">
      <c r="A481" s="0" t="str">
        <f aca="false">HYPERLINK("https://lindat.mff.cuni.cz/services/PDT-Vallex4.5/PDT-Vallex4.5.html?verb=ukáznit", "ukáznit")</f>
        <v>ukáznit</v>
      </c>
      <c r="B481" s="0" t="str">
        <f aca="false">HYPERLINK("https://lindat.mff.cuni.cz/services/PDT-Vallex4.5/PDT-Vallex4.5.html?verb=ukáznit#v41mloA", "v41mloA")</f>
        <v>v41mloA</v>
      </c>
      <c r="E481" s="0" t="n">
        <v>35</v>
      </c>
      <c r="F481" s="0" t="n">
        <v>0.23233</v>
      </c>
      <c r="G481" s="1" t="n">
        <v>0</v>
      </c>
      <c r="I481" s="1" t="s">
        <v>39</v>
      </c>
      <c r="K481" s="0" t="str">
        <f aca="false">HYPERLINK("https://lindat.mff.cuni.cz/services/SynSemClass55/SynSemClass55.html?veclass=vec01910", "vec01910 / ukáznit se (v41mlpA)")</f>
        <v>vec01910 / ukáznit se (v41mlpA)</v>
      </c>
      <c r="L481" s="0" t="n">
        <v>0.23233</v>
      </c>
      <c r="M481" s="5" t="s">
        <v>30</v>
      </c>
      <c r="P481" s="0" t="str">
        <f aca="false">HYPERLINK("https://lindat.mff.cuni.cz/services/SynSemClass55/SynSemClass55.html?veclass=vec01301", "vec01301 / přitvrdit (v41javA)")</f>
        <v>vec01301 / přitvrdit (v41javA)</v>
      </c>
      <c r="Q481" s="0" t="n">
        <v>0.12235</v>
      </c>
      <c r="R481" s="5" t="s">
        <v>30</v>
      </c>
      <c r="U481" s="0" t="str">
        <f aca="false">HYPERLINK("https://lindat.mff.cuni.cz/services/SynSemClass55/SynSemClass55.html?veclass=vec00545", "vec00545 / uvolnit (v41ndvG)")</f>
        <v>vec00545 / uvolnit (v41ndvG)</v>
      </c>
      <c r="V481" s="0" t="n">
        <v>0.09954</v>
      </c>
      <c r="W481" s="5" t="s">
        <v>30</v>
      </c>
      <c r="Z481" s="0" t="str">
        <f aca="false">HYPERLINK("https://lindat.mff.cuni.cz/services/SynSemClass55/SynSemClass55.html?veclass=vec00055", "vec00055 / oslabit (v41ezlC)")</f>
        <v>vec00055 / oslabit (v41ezlC)</v>
      </c>
      <c r="AA481" s="0" t="n">
        <v>0.05414</v>
      </c>
      <c r="AB481" s="5" t="s">
        <v>30</v>
      </c>
      <c r="AE481" s="0" t="str">
        <f aca="false">HYPERLINK("https://lindat.mff.cuni.cz/services/SynSemClass55/SynSemClass55.html?veclass=vec00637", "vec00637 / naklonit se (v41csfB)")</f>
        <v>vec00637 / naklonit se (v41csfB)</v>
      </c>
      <c r="AF481" s="0" t="n">
        <v>0.04132</v>
      </c>
      <c r="AG481" s="5" t="s">
        <v>30</v>
      </c>
    </row>
    <row r="483" customFormat="false" ht="12.75" hidden="false" customHeight="false" outlineLevel="0" collapsed="false">
      <c r="A483" s="0" t="str">
        <f aca="false">HYPERLINK("https://lindat.mff.cuni.cz/services/PDT-Vallex4.5/PDT-Vallex4.5.html?verb=ukojit", "ukojit")</f>
        <v>ukojit</v>
      </c>
      <c r="B483" s="0" t="str">
        <f aca="false">HYPERLINK("https://lindat.mff.cuni.cz/services/PDT-Vallex4.5/PDT-Vallex4.5.html?verb=ukojit#v41mmjA", "v41mmjA")</f>
        <v>v41mmjA</v>
      </c>
      <c r="E483" s="0" t="n">
        <v>184</v>
      </c>
      <c r="F483" s="0" t="n">
        <v>0.1458</v>
      </c>
      <c r="G483" s="1" t="s">
        <v>31</v>
      </c>
      <c r="K483" s="0" t="str">
        <f aca="false">HYPERLINK("https://lindat.mff.cuni.cz/services/SynSemClass55/SynSemClass55.html?veclass=vec00536", "vec00536 / uklidnit (v41mmaA)")</f>
        <v>vec00536 / uklidnit (v41mmaA)</v>
      </c>
      <c r="L483" s="0" t="n">
        <v>0.1458</v>
      </c>
      <c r="M483" s="5" t="s">
        <v>32</v>
      </c>
      <c r="P483" s="0" t="str">
        <f aca="false">HYPERLINK("https://lindat.mff.cuni.cz/services/SynSemClass55/SynSemClass55.html?veclass=vec00540", "vec00540 / uspokojit (v41mxgA)")</f>
        <v>vec00540 / uspokojit (v41mxgA)</v>
      </c>
      <c r="Q483" s="0" t="n">
        <v>0.1378</v>
      </c>
      <c r="R483" s="5" t="s">
        <v>34</v>
      </c>
      <c r="U483" s="0" t="str">
        <f aca="false">HYPERLINK("https://lindat.mff.cuni.cz/services/SynSemClass55/SynSemClass55.html?veclass=vec00958", "vec00958 / vyčinit (v41nvxA)")</f>
        <v>vec00958 / vyčinit (v41nvxA)</v>
      </c>
      <c r="V483" s="0" t="n">
        <v>0.03431</v>
      </c>
      <c r="W483" s="5" t="s">
        <v>30</v>
      </c>
      <c r="Z483" s="0" t="str">
        <f aca="false">HYPERLINK("https://lindat.mff.cuni.cz/services/SynSemClass55/SynSemClass55.html?veclass=vec01210", "vec01210 / dojmout (v41zgA)")</f>
        <v>vec01210 / dojmout (v41zgA)</v>
      </c>
      <c r="AA483" s="0" t="n">
        <v>0.0259</v>
      </c>
      <c r="AB483" s="5" t="s">
        <v>30</v>
      </c>
      <c r="AE483" s="0" t="str">
        <f aca="false">HYPERLINK("https://lindat.mff.cuni.cz/services/SynSemClass55/SynSemClass55.html?veclass=vec00356", "vec00356 / vyrovnat (v41otzG)")</f>
        <v>vec00356 / vyrovnat (v41otzG)</v>
      </c>
      <c r="AF483" s="0" t="n">
        <v>0.02507</v>
      </c>
      <c r="AG483" s="5" t="s">
        <v>30</v>
      </c>
    </row>
    <row r="485" customFormat="false" ht="12.75" hidden="false" customHeight="false" outlineLevel="0" collapsed="false">
      <c r="A485" s="0" t="str">
        <f aca="false">HYPERLINK("https://lindat.mff.cuni.cz/services/PDT-Vallex4.5/PDT-Vallex4.5.html?verb=umocnit", "umocnit")</f>
        <v>umocnit</v>
      </c>
      <c r="B485" s="0" t="str">
        <f aca="false">HYPERLINK("https://lindat.mff.cuni.cz/services/PDT-Vallex4.5/PDT-Vallex4.5.html?verb=umocnit#v41mphA", "v41mphA")</f>
        <v>v41mphA</v>
      </c>
      <c r="E485" s="0" t="n">
        <v>46</v>
      </c>
      <c r="F485" s="0" t="n">
        <v>0.34671</v>
      </c>
      <c r="G485" s="1" t="n">
        <v>0</v>
      </c>
      <c r="I485" s="1" t="s">
        <v>169</v>
      </c>
      <c r="K485" s="0" t="str">
        <f aca="false">HYPERLINK("https://lindat.mff.cuni.cz/services/SynSemClass55/SynSemClass55.html?veclass=vec00785", "vec00785 / zhoršit (v41rcrA)")</f>
        <v>vec00785 / zhoršit (v41rcrA)</v>
      </c>
      <c r="L485" s="0" t="n">
        <v>0.34671</v>
      </c>
      <c r="M485" s="5" t="s">
        <v>30</v>
      </c>
      <c r="P485" s="0" t="str">
        <f aca="false">HYPERLINK("https://lindat.mff.cuni.cz/services/SynSemClass55/SynSemClass55.html?veclass=vec00539", "vec00539 / upevnit (v41mquD)")</f>
        <v>vec00539 / upevnit (v41mquD)</v>
      </c>
      <c r="Q485" s="0" t="n">
        <v>0.16793</v>
      </c>
      <c r="R485" s="5" t="s">
        <v>30</v>
      </c>
      <c r="U485" s="0" t="str">
        <f aca="false">HYPERLINK("https://lindat.mff.cuni.cz/services/SynSemClass55/SynSemClass55.html?veclass=vec01498", "vec01498 / napnout se (v41cxgA)")</f>
        <v>vec01498 / napnout se (v41cxgA)</v>
      </c>
      <c r="V485" s="0" t="n">
        <v>0.12212</v>
      </c>
      <c r="W485" s="5" t="s">
        <v>30</v>
      </c>
      <c r="Z485" s="0" t="str">
        <f aca="false">HYPERLINK("https://lindat.mff.cuni.cz/services/SynSemClass55/SynSemClass55.html?veclass=vec00187", "vec00187 / násobit (v41dcbB)")</f>
        <v>vec00187 / násobit (v41dcbB)</v>
      </c>
      <c r="AA485" s="0" t="n">
        <v>0.09816</v>
      </c>
      <c r="AB485" s="5" t="s">
        <v>30</v>
      </c>
      <c r="AE485" s="0" t="str">
        <f aca="false">HYPERLINK("https://lindat.mff.cuni.cz/services/SynSemClass55/SynSemClass55.html?veclass=vec01301", "vec01301 / přitvrdit (v41javA)")</f>
        <v>vec01301 / přitvrdit (v41javA)</v>
      </c>
      <c r="AF485" s="0" t="n">
        <v>0.07984</v>
      </c>
      <c r="AG485" s="5" t="s">
        <v>30</v>
      </c>
    </row>
    <row r="487" customFormat="false" ht="12.75" hidden="false" customHeight="false" outlineLevel="0" collapsed="false">
      <c r="A487" s="0" t="str">
        <f aca="false">HYPERLINK("https://lindat.mff.cuni.cz/services/PDT-Vallex4.5/PDT-Vallex4.5.html?verb=umocňovat", "umocňovat")</f>
        <v>umocňovat</v>
      </c>
      <c r="B487" s="0" t="str">
        <f aca="false">HYPERLINK("https://lindat.mff.cuni.cz/services/PDT-Vallex4.5/PDT-Vallex4.5.html?verb=umocňovat#v41mpiB", "v41mpiB")</f>
        <v>v41mpiB</v>
      </c>
      <c r="E487" s="0" t="n">
        <v>60</v>
      </c>
      <c r="F487" s="0" t="n">
        <v>0.3483</v>
      </c>
      <c r="G487" s="1" t="n">
        <v>0</v>
      </c>
      <c r="I487" s="1" t="s">
        <v>169</v>
      </c>
      <c r="K487" s="0" t="str">
        <f aca="false">HYPERLINK("https://lindat.mff.cuni.cz/services/SynSemClass55/SynSemClass55.html?veclass=vec00187", "vec00187 / násobit (v41dcbB)")</f>
        <v>vec00187 / násobit (v41dcbB)</v>
      </c>
      <c r="L487" s="0" t="n">
        <v>0.3483</v>
      </c>
      <c r="M487" s="5" t="s">
        <v>30</v>
      </c>
      <c r="P487" s="0" t="str">
        <f aca="false">HYPERLINK("https://lindat.mff.cuni.cz/services/SynSemClass55/SynSemClass55.html?veclass=vec00785", "vec00785 / zhoršit (v41rcrA)")</f>
        <v>vec00785 / zhoršit (v41rcrA)</v>
      </c>
      <c r="Q487" s="0" t="n">
        <v>0.30548</v>
      </c>
      <c r="R487" s="5" t="s">
        <v>30</v>
      </c>
      <c r="U487" s="0" t="str">
        <f aca="false">HYPERLINK("https://lindat.mff.cuni.cz/services/SynSemClass55/SynSemClass55.html?veclass=vec00386", "vec00386 / zlepšit (v41rihA)")</f>
        <v>vec00386 / zlepšit (v41rihA)</v>
      </c>
      <c r="V487" s="0" t="n">
        <v>0.04976</v>
      </c>
      <c r="W487" s="5" t="s">
        <v>30</v>
      </c>
      <c r="Z487" s="0" t="str">
        <f aca="false">HYPERLINK("https://lindat.mff.cuni.cz/services/SynSemClass55/SynSemClass55.html?veclass=vec00730", "vec00730 / stupňovat se (v41lnxA)")</f>
        <v>vec00730 / stupňovat se (v41lnxA)</v>
      </c>
      <c r="AA487" s="0" t="n">
        <v>0.03787</v>
      </c>
      <c r="AB487" s="5" t="s">
        <v>30</v>
      </c>
      <c r="AE487" s="0" t="str">
        <f aca="false">HYPERLINK("https://lindat.mff.cuni.cz/services/SynSemClass55/SynSemClass55.html?veclass=vec01498", "vec01498 / napnout se (v41cxgA)")</f>
        <v>vec01498 / napnout se (v41cxgA)</v>
      </c>
      <c r="AF487" s="0" t="n">
        <v>0.03346</v>
      </c>
      <c r="AG487" s="5" t="s">
        <v>30</v>
      </c>
    </row>
    <row r="489" customFormat="false" ht="12.75" hidden="false" customHeight="false" outlineLevel="0" collapsed="false">
      <c r="A489" s="0" t="str">
        <f aca="false">HYPERLINK("https://lindat.mff.cuni.cz/services/PDT-Vallex4.5/PDT-Vallex4.5.html?verb=upéci", "upéci")</f>
        <v>upéci</v>
      </c>
      <c r="B489" s="0" t="str">
        <f aca="false">HYPERLINK("https://lindat.mff.cuni.cz/services/PDT-Vallex4.5/PDT-Vallex4.5.html?verb=upéci#v41mqrB", "v41mqrB")</f>
        <v>v41mqrB</v>
      </c>
      <c r="E489" s="0" t="n">
        <v>335</v>
      </c>
      <c r="F489" s="0" t="n">
        <v>0.61443</v>
      </c>
      <c r="G489" s="1" t="s">
        <v>170</v>
      </c>
      <c r="K489" s="0" t="str">
        <f aca="false">HYPERLINK("https://lindat.mff.cuni.cz/services/SynSemClass55/SynSemClass55.html?veclass=vec01589", "vec01589 / péci (v41fkbA)")</f>
        <v>vec01589 / péci (v41fkbA)</v>
      </c>
      <c r="L489" s="0" t="n">
        <v>0.61443</v>
      </c>
      <c r="M489" s="5" t="s">
        <v>30</v>
      </c>
      <c r="P489" s="0" t="str">
        <f aca="false">HYPERLINK("https://lindat.mff.cuni.cz/services/SynSemClass55/SynSemClass55.html?veclass=vec01340", "vec01340 / usmažit (v41mvxA)")</f>
        <v>vec01340 / usmažit (v41mvxA)</v>
      </c>
      <c r="Q489" s="0" t="n">
        <v>0.05101</v>
      </c>
      <c r="R489" s="5" t="s">
        <v>30</v>
      </c>
      <c r="U489" s="0" t="str">
        <f aca="false">HYPERLINK("https://lindat.mff.cuni.cz/services/SynSemClass55/SynSemClass55.html?veclass=vec00503", "vec00503 / přiznat se (v41jcjA)")</f>
        <v>vec00503 / přiznat se (v41jcjA)</v>
      </c>
      <c r="V489" s="0" t="n">
        <v>0.02374</v>
      </c>
      <c r="W489" s="5" t="s">
        <v>30</v>
      </c>
      <c r="Z489" s="0" t="str">
        <f aca="false">HYPERLINK("https://lindat.mff.cuni.cz/services/SynSemClass55/SynSemClass55.html?veclass=vec01617", "vec01617 / vařit (v41ngvC)")</f>
        <v>vec01617 / vařit (v41ngvC)</v>
      </c>
      <c r="AA489" s="0" t="n">
        <v>0.02306</v>
      </c>
      <c r="AB489" s="5" t="s">
        <v>30</v>
      </c>
      <c r="AE489" s="0" t="str">
        <f aca="false">HYPERLINK("https://lindat.mff.cuni.cz/services/SynSemClass55/SynSemClass55.html?veclass=vec01616", "vec01616 / vařit (v41ngvA)")</f>
        <v>vec01616 / vařit (v41ngvA)</v>
      </c>
      <c r="AF489" s="0" t="n">
        <v>0.0202</v>
      </c>
      <c r="AG489" s="5" t="s">
        <v>30</v>
      </c>
    </row>
    <row r="491" customFormat="false" ht="12.75" hidden="false" customHeight="false" outlineLevel="0" collapsed="false">
      <c r="A491" s="0" t="str">
        <f aca="false">HYPERLINK("https://lindat.mff.cuni.cz/services/PDT-Vallex4.5/PDT-Vallex4.5.html?verb=uplést si", "uplést si")</f>
        <v>uplést si</v>
      </c>
      <c r="B491" s="0" t="str">
        <f aca="false">HYPERLINK("https://lindat.mff.cuni.cz/services/PDT-Vallex4.5/PDT-Vallex4.5.html?verb=uplést si#v41mryA", "v41mryA")</f>
        <v>v41mryA</v>
      </c>
      <c r="E491" s="0" t="n">
        <v>38</v>
      </c>
      <c r="F491" s="0" t="n">
        <v>0.13593</v>
      </c>
      <c r="G491" s="1" t="n">
        <v>0</v>
      </c>
      <c r="H491" s="1" t="s">
        <v>171</v>
      </c>
      <c r="I491" s="1" t="s">
        <v>172</v>
      </c>
      <c r="K491" s="0" t="str">
        <f aca="false">HYPERLINK("https://lindat.mff.cuni.cz/services/SynSemClass55/SynSemClass55.html?veclass=vec00084", "vec00084 / produkovat (v41hcjA)")</f>
        <v>vec00084 / produkovat (v41hcjA)</v>
      </c>
      <c r="L491" s="0" t="n">
        <v>0.13593</v>
      </c>
      <c r="M491" s="5" t="s">
        <v>30</v>
      </c>
      <c r="P491" s="0" t="str">
        <f aca="false">HYPERLINK("https://lindat.mff.cuni.cz/services/SynSemClass55/SynSemClass55.html?veclass=vec01589", "vec01589 / péci (v41fkbA)")</f>
        <v>vec01589 / péci (v41fkbA)</v>
      </c>
      <c r="Q491" s="0" t="n">
        <v>0.06444</v>
      </c>
      <c r="R491" s="5" t="s">
        <v>30</v>
      </c>
      <c r="U491" s="0" t="str">
        <f aca="false">HYPERLINK("https://lindat.mff.cuni.cz/services/SynSemClass55/SynSemClass55.html?veclass=vec01804", "vec01804 / okoukat (v41esbA)")</f>
        <v>vec01804 / okoukat (v41esbA)</v>
      </c>
      <c r="V491" s="0" t="n">
        <v>0.04043</v>
      </c>
      <c r="W491" s="5" t="s">
        <v>30</v>
      </c>
      <c r="Z491" s="0" t="str">
        <f aca="false">HYPERLINK("https://lindat.mff.cuni.cz/services/SynSemClass55/SynSemClass55.html?veclass=vec00899", "vec00899 / připevnit (v41ivdA)")</f>
        <v>vec00899 / připevnit (v41ivdA)</v>
      </c>
      <c r="AA491" s="0" t="n">
        <v>0.03391</v>
      </c>
      <c r="AB491" s="5" t="s">
        <v>30</v>
      </c>
      <c r="AE491" s="0" t="str">
        <f aca="false">HYPERLINK("https://lindat.mff.cuni.cz/services/SynSemClass55/SynSemClass55.html?veclass=vec01952", "vec01952 / vytesat (v41pcmA)")</f>
        <v>vec01952 / vytesat (v41pcmA)</v>
      </c>
      <c r="AF491" s="0" t="n">
        <v>0.02266</v>
      </c>
      <c r="AG491" s="5" t="s">
        <v>30</v>
      </c>
    </row>
    <row r="493" customFormat="false" ht="12.75" hidden="false" customHeight="false" outlineLevel="0" collapsed="false">
      <c r="A493" s="0" t="str">
        <f aca="false">HYPERLINK("https://lindat.mff.cuni.cz/services/PDT-Vallex4.5/PDT-Vallex4.5.html?verb=useknout", "useknout")</f>
        <v>useknout</v>
      </c>
      <c r="B493" s="0" t="str">
        <f aca="false">HYPERLINK("https://lindat.mff.cuni.cz/services/PDT-Vallex4.5/PDT-Vallex4.5.html?verb=useknout#v41muvB", "v41muvB")</f>
        <v>v41muvB</v>
      </c>
      <c r="E493" s="0" t="n">
        <v>235</v>
      </c>
      <c r="F493" s="0" t="n">
        <v>0.20233</v>
      </c>
      <c r="G493" s="1" t="s">
        <v>173</v>
      </c>
      <c r="I493" s="1" t="s">
        <v>174</v>
      </c>
      <c r="K493" s="0" t="str">
        <f aca="false">HYPERLINK("https://lindat.mff.cuni.cz/services/SynSemClass55/SynSemClass55.html?veclass=vec01456", "vec01456 / useknout (v41muvA)")</f>
        <v>vec01456 / useknout (v41muvA)</v>
      </c>
      <c r="L493" s="0" t="n">
        <v>0.20233</v>
      </c>
      <c r="M493" s="5" t="s">
        <v>30</v>
      </c>
      <c r="P493" s="0" t="str">
        <f aca="false">HYPERLINK("https://lindat.mff.cuni.cz/services/SynSemClass55/SynSemClass55.html?veclass=vec00764", "vec00764 / vytrhnout (v41pdrB)")</f>
        <v>vec00764 / vytrhnout (v41pdrB)</v>
      </c>
      <c r="Q493" s="0" t="n">
        <v>0.19948</v>
      </c>
      <c r="R493" s="5" t="s">
        <v>30</v>
      </c>
      <c r="U493" s="0" t="str">
        <f aca="false">HYPERLINK("https://lindat.mff.cuni.cz/services/SynSemClass55/SynSemClass55.html?veclass=vec01413", "vec01413 / odtrhnout se (v41eltB)")</f>
        <v>vec01413 / odtrhnout se (v41eltB)</v>
      </c>
      <c r="V493" s="0" t="n">
        <v>0.08351</v>
      </c>
      <c r="W493" s="5" t="s">
        <v>30</v>
      </c>
      <c r="Z493" s="0" t="str">
        <f aca="false">HYPERLINK("https://lindat.mff.cuni.cz/services/SynSemClass55/SynSemClass55.html?veclass=vec00903", "vec00903 / rozcupovat (v41jmmA)")</f>
        <v>vec00903 / rozcupovat (v41jmmA)</v>
      </c>
      <c r="AA493" s="0" t="n">
        <v>0.05479</v>
      </c>
      <c r="AB493" s="5" t="s">
        <v>30</v>
      </c>
      <c r="AE493" s="0" t="str">
        <f aca="false">HYPERLINK("https://lindat.mff.cuni.cz/services/SynSemClass55/SynSemClass55.html?veclass=vec01615", "vec01615 / utrhnout (v41nbgA)")</f>
        <v>vec01615 / utrhnout (v41nbgA)</v>
      </c>
      <c r="AF493" s="0" t="n">
        <v>0.05292</v>
      </c>
      <c r="AG493" s="5" t="s">
        <v>30</v>
      </c>
    </row>
    <row r="495" customFormat="false" ht="12.75" hidden="false" customHeight="false" outlineLevel="0" collapsed="false">
      <c r="A495" s="0" t="str">
        <f aca="false">HYPERLINK("https://lindat.mff.cuni.cz/services/PDT-Vallex4.5/PDT-Vallex4.5.html?verb=usíci", "usíci")</f>
        <v>usíci</v>
      </c>
      <c r="B495" s="0" t="str">
        <f aca="false">HYPERLINK("https://lindat.mff.cuni.cz/services/PDT-Vallex4.5/PDT-Vallex4.5.html?verb=usíci#v41mvaA", "v41mvaA")</f>
        <v>v41mvaA</v>
      </c>
      <c r="E495" s="0" t="n">
        <v>9</v>
      </c>
      <c r="F495" s="0" t="n">
        <v>0.03956</v>
      </c>
      <c r="G495" s="1" t="s">
        <v>175</v>
      </c>
      <c r="K495" s="0" t="str">
        <f aca="false">HYPERLINK("https://lindat.mff.cuni.cz/services/SynSemClass55/SynSemClass55.html?veclass=vec00555", "vec00555 / vyhodit (v41oaaA)")</f>
        <v>vec00555 / vyhodit (v41oaaA)</v>
      </c>
      <c r="L495" s="0" t="n">
        <v>0.03956</v>
      </c>
      <c r="M495" s="5" t="s">
        <v>30</v>
      </c>
      <c r="P495" s="0" t="str">
        <f aca="false">HYPERLINK("https://lindat.mff.cuni.cz/services/SynSemClass55/SynSemClass55.html?veclass=vec00031", "vec00031 / mluvit (v41chxD)")</f>
        <v>vec00031 / mluvit (v41chxD)</v>
      </c>
      <c r="Q495" s="0" t="n">
        <v>0.0387</v>
      </c>
      <c r="R495" s="5" t="s">
        <v>30</v>
      </c>
      <c r="U495" s="0" t="str">
        <f aca="false">HYPERLINK("https://lindat.mff.cuni.cz/services/SynSemClass55/SynSemClass55.html?veclass=vec01491", "vec01491 / fasovat (v41appA)")</f>
        <v>vec01491 / fasovat (v41appA)</v>
      </c>
      <c r="V495" s="0" t="n">
        <v>0.03312</v>
      </c>
      <c r="W495" s="5" t="s">
        <v>30</v>
      </c>
      <c r="Z495" s="0" t="str">
        <f aca="false">HYPERLINK("https://lindat.mff.cuni.cz/services/SynSemClass55/SynSemClass55.html?veclass=vec01206", "vec01206 / dát (v41plY)")</f>
        <v>vec01206 / dát (v41plY)</v>
      </c>
      <c r="AA495" s="0" t="n">
        <v>0.03037</v>
      </c>
      <c r="AB495" s="5" t="s">
        <v>30</v>
      </c>
      <c r="AE495" s="0" t="str">
        <f aca="false">HYPERLINK("https://lindat.mff.cuni.cz/services/SynSemClass55/SynSemClass55.html?veclass=vec00019", "vec00019 / handrkovat se (v41atvA)")</f>
        <v>vec00019 / handrkovat se (v41atvA)</v>
      </c>
      <c r="AF495" s="0" t="n">
        <v>0.02943</v>
      </c>
      <c r="AG495" s="5" t="s">
        <v>30</v>
      </c>
    </row>
    <row r="497" customFormat="false" ht="12.75" hidden="false" customHeight="false" outlineLevel="0" collapsed="false">
      <c r="A497" s="0" t="str">
        <f aca="false">HYPERLINK("https://lindat.mff.cuni.cz/services/PDT-Vallex4.5/PDT-Vallex4.5.html?verb=usmolit", "usmolit")</f>
        <v>usmolit</v>
      </c>
      <c r="B497" s="0" t="str">
        <f aca="false">HYPERLINK("https://lindat.mff.cuni.cz/services/PDT-Vallex4.5/PDT-Vallex4.5.html?verb=usmolit#v41mwiA", "v41mwiA")</f>
        <v>v41mwiA</v>
      </c>
      <c r="E497" s="0" t="n">
        <v>1</v>
      </c>
      <c r="F497" s="0" t="n">
        <v>0.10406</v>
      </c>
      <c r="G497" s="1" t="n">
        <v>0</v>
      </c>
      <c r="I497" s="1" t="s">
        <v>176</v>
      </c>
      <c r="K497" s="0" t="str">
        <f aca="false">HYPERLINK("https://lindat.mff.cuni.cz/services/SynSemClass55/SynSemClass55.html?veclass=vec01167", "vec01167 / zabudovat (v41pqdB)")</f>
        <v>vec01167 / zabudovat (v41pqdB)</v>
      </c>
      <c r="L497" s="0" t="n">
        <v>0.10406</v>
      </c>
      <c r="M497" s="5" t="s">
        <v>30</v>
      </c>
      <c r="P497" s="0" t="str">
        <f aca="false">HYPERLINK("https://lindat.mff.cuni.cz/services/SynSemClass55/SynSemClass55.html?veclass=vec01200", "vec01200 / žebrat (v41seaA)")</f>
        <v>vec01200 / žebrat (v41seaA)</v>
      </c>
      <c r="Q497" s="0" t="n">
        <v>0.07567</v>
      </c>
      <c r="R497" s="5" t="s">
        <v>30</v>
      </c>
      <c r="U497" s="0" t="str">
        <f aca="false">HYPERLINK("https://lindat.mff.cuni.cz/services/SynSemClass55/SynSemClass55.html?veclass=vec01326", "vec01326 / stáčet (v41lhdA)")</f>
        <v>vec01326 / stáčet (v41lhdA)</v>
      </c>
      <c r="V497" s="0" t="n">
        <v>0.06561</v>
      </c>
      <c r="W497" s="5" t="s">
        <v>30</v>
      </c>
      <c r="Z497" s="0" t="str">
        <f aca="false">HYPERLINK("https://lindat.mff.cuni.cz/services/SynSemClass55/SynSemClass55.html?veclass=vec00095", "vec00095 / přeměnit (v41iecA)")</f>
        <v>vec00095 / přeměnit (v41iecA)</v>
      </c>
      <c r="AA497" s="0" t="n">
        <v>0.05756</v>
      </c>
      <c r="AB497" s="5" t="s">
        <v>30</v>
      </c>
      <c r="AE497" s="0" t="str">
        <f aca="false">HYPERLINK("https://lindat.mff.cuni.cz/services/SynSemClass55/SynSemClass55.html?veclass=vec00791", "vec00791 / zkreslovat (v41rhfA)")</f>
        <v>vec00791 / zkreslovat (v41rhfA)</v>
      </c>
      <c r="AF497" s="0" t="n">
        <v>0.05014</v>
      </c>
      <c r="AG497" s="5" t="s">
        <v>30</v>
      </c>
    </row>
    <row r="499" customFormat="false" ht="12.75" hidden="false" customHeight="false" outlineLevel="0" collapsed="false">
      <c r="A499" s="0" t="str">
        <f aca="false">HYPERLINK("https://lindat.mff.cuni.cz/services/PDT-Vallex4.5/PDT-Vallex4.5.html?verb=uspat", "uspat")</f>
        <v>uspat</v>
      </c>
      <c r="B499" s="0" t="str">
        <f aca="false">HYPERLINK("https://lindat.mff.cuni.cz/services/PDT-Vallex4.5/PDT-Vallex4.5.html?verb=uspat#v41mwxA", "v41mwxA")</f>
        <v>v41mwxA</v>
      </c>
      <c r="E499" s="0" t="n">
        <v>204</v>
      </c>
      <c r="F499" s="0" t="n">
        <v>0.10106</v>
      </c>
      <c r="G499" s="1" t="s">
        <v>31</v>
      </c>
      <c r="K499" s="0" t="str">
        <f aca="false">HYPERLINK("https://lindat.mff.cuni.cz/services/SynSemClass55/SynSemClass55.html?veclass=vec00091", "vec00091 / přebít (v41hueA)")</f>
        <v>vec00091 / přebít (v41hueA)</v>
      </c>
      <c r="L499" s="0" t="n">
        <v>0.10106</v>
      </c>
      <c r="M499" s="5" t="s">
        <v>30</v>
      </c>
      <c r="P499" s="0" t="str">
        <f aca="false">HYPERLINK("https://lindat.mff.cuni.cz/services/SynSemClass55/SynSemClass55.html?veclass=vec01210", "vec01210 / dojmout (v41zgA)")</f>
        <v>vec01210 / dojmout (v41zgA)</v>
      </c>
      <c r="Q499" s="0" t="n">
        <v>0.09732</v>
      </c>
      <c r="R499" s="5" t="s">
        <v>30</v>
      </c>
      <c r="U499" s="0" t="str">
        <f aca="false">HYPERLINK("https://lindat.mff.cuni.cz/services/SynSemClass55/SynSemClass55.html?veclass=vec00536", "vec00536 / uklidnit (v41mmaA)")</f>
        <v>vec00536 / uklidnit (v41mmaA)</v>
      </c>
      <c r="V499" s="0" t="n">
        <v>0.07335</v>
      </c>
      <c r="W499" s="5" t="s">
        <v>34</v>
      </c>
      <c r="Z499" s="0" t="str">
        <f aca="false">HYPERLINK("https://lindat.mff.cuni.cz/services/SynSemClass55/SynSemClass55.html?veclass=vec01506", "vec01506 / omráčit (v41etvB)")</f>
        <v>vec01506 / omráčit (v41etvB)</v>
      </c>
      <c r="AA499" s="0" t="n">
        <v>0.05134</v>
      </c>
      <c r="AB499" s="5" t="s">
        <v>30</v>
      </c>
      <c r="AE499" s="0" t="str">
        <f aca="false">HYPERLINK("https://lindat.mff.cuni.cz/services/SynSemClass55/SynSemClass55.html?veclass=vec00761", "vec00761 / vystrašit (v41oyoA)")</f>
        <v>vec00761 / vystrašit (v41oyoA)</v>
      </c>
      <c r="AF499" s="0" t="n">
        <v>0.04425</v>
      </c>
      <c r="AG499" s="5" t="s">
        <v>30</v>
      </c>
    </row>
    <row r="501" customFormat="false" ht="12.75" hidden="false" customHeight="false" outlineLevel="0" collapsed="false">
      <c r="A501" s="0" t="str">
        <f aca="false">HYPERLINK("https://lindat.mff.cuni.cz/services/PDT-Vallex4.5/PDT-Vallex4.5.html?verb=ustat", "ustat")</f>
        <v>ustat</v>
      </c>
      <c r="B501" s="0" t="str">
        <f aca="false">HYPERLINK("https://lindat.mff.cuni.cz/services/PDT-Vallex4.5/PDT-Vallex4.5.html?verb=ustat#v41mxxA", "v41mxxA")</f>
        <v>v41mxxA</v>
      </c>
      <c r="E501" s="0" t="n">
        <v>1048</v>
      </c>
      <c r="F501" s="0" t="n">
        <v>0.20349</v>
      </c>
      <c r="G501" s="1" t="s">
        <v>173</v>
      </c>
      <c r="K501" s="0" t="str">
        <f aca="false">HYPERLINK("https://lindat.mff.cuni.cz/services/SynSemClass55/SynSemClass55.html?veclass=vec00522", "vec00522 / stabilizovat se (v41lhbA)")</f>
        <v>vec00522 / stabilizovat se (v41lhbA)</v>
      </c>
      <c r="L501" s="0" t="n">
        <v>0.20349</v>
      </c>
      <c r="M501" s="5" t="s">
        <v>30</v>
      </c>
      <c r="P501" s="0" t="str">
        <f aca="false">HYPERLINK("https://lindat.mff.cuni.cz/services/SynSemClass55/SynSemClass55.html?veclass=vec00733", "vec00733 / uklidnit se (v41mmbA)")</f>
        <v>vec00733 / uklidnit se (v41mmbA)</v>
      </c>
      <c r="Q501" s="0" t="n">
        <v>0.14877</v>
      </c>
      <c r="R501" s="5" t="s">
        <v>30</v>
      </c>
      <c r="U501" s="0" t="str">
        <f aca="false">HYPERLINK("https://lindat.mff.cuni.cz/services/SynSemClass55/SynSemClass55.html?veclass=vec00113", "vec00113 / skončit (v41krfH)")</f>
        <v>vec00113 / skončit (v41krfH)</v>
      </c>
      <c r="V501" s="0" t="n">
        <v>0.14545</v>
      </c>
      <c r="W501" s="5" t="s">
        <v>30</v>
      </c>
      <c r="Z501" s="0" t="str">
        <f aca="false">HYPERLINK("https://lindat.mff.cuni.cz/services/SynSemClass55/SynSemClass55.html?veclass=vec01369", "vec01369 / zadrhnout se (v41pscA)")</f>
        <v>vec01369 / zadrhnout se (v41pscA)</v>
      </c>
      <c r="AA501" s="0" t="n">
        <v>0.07875</v>
      </c>
      <c r="AB501" s="5" t="s">
        <v>30</v>
      </c>
      <c r="AE501" s="0" t="str">
        <f aca="false">HYPERLINK("https://lindat.mff.cuni.cz/services/SynSemClass55/SynSemClass55.html?veclass=vec00793", "vec00793 / zmírnit se (v41rkyA)")</f>
        <v>vec00793 / zmírnit se (v41rkyA)</v>
      </c>
      <c r="AF501" s="0" t="n">
        <v>0.06969</v>
      </c>
      <c r="AG501" s="5" t="s">
        <v>30</v>
      </c>
    </row>
    <row r="503" customFormat="false" ht="12.75" hidden="false" customHeight="false" outlineLevel="0" collapsed="false">
      <c r="A503" s="0" t="str">
        <f aca="false">HYPERLINK("https://lindat.mff.cuni.cz/services/PDT-Vallex4.5/PDT-Vallex4.5.html?verb=ustávat", "ustávat")</f>
        <v>ustávat</v>
      </c>
      <c r="B503" s="0" t="str">
        <f aca="false">HYPERLINK("https://lindat.mff.cuni.cz/services/PDT-Vallex4.5/PDT-Vallex4.5.html?verb=ustávat#v41mxzA", "v41mxzA")</f>
        <v>v41mxzA</v>
      </c>
      <c r="E503" s="0" t="n">
        <v>232</v>
      </c>
      <c r="F503" s="0" t="n">
        <v>0.42452</v>
      </c>
      <c r="G503" s="1" t="s">
        <v>173</v>
      </c>
      <c r="K503" s="0" t="str">
        <f aca="false">HYPERLINK("https://lindat.mff.cuni.cz/services/SynSemClass55/SynSemClass55.html?veclass=vec00113", "vec00113 / skončit (v41krfH)")</f>
        <v>vec00113 / skončit (v41krfH)</v>
      </c>
      <c r="L503" s="0" t="n">
        <v>0.42452</v>
      </c>
      <c r="M503" s="5" t="s">
        <v>30</v>
      </c>
      <c r="P503" s="0" t="str">
        <f aca="false">HYPERLINK("https://lindat.mff.cuni.cz/services/SynSemClass55/SynSemClass55.html?veclass=vec00793", "vec00793 / zmírnit se (v41rkyA)")</f>
        <v>vec00793 / zmírnit se (v41rkyA)</v>
      </c>
      <c r="Q503" s="0" t="n">
        <v>0.1052</v>
      </c>
      <c r="R503" s="5" t="s">
        <v>30</v>
      </c>
      <c r="U503" s="0" t="str">
        <f aca="false">HYPERLINK("https://lindat.mff.cuni.cz/services/SynSemClass55/SynSemClass55.html?veclass=vec00873", "vec00873 / pominout (v41gehB)")</f>
        <v>vec00873 / pominout (v41gehB)</v>
      </c>
      <c r="V503" s="0" t="n">
        <v>0.07528</v>
      </c>
      <c r="W503" s="5" t="s">
        <v>30</v>
      </c>
      <c r="Z503" s="0" t="str">
        <f aca="false">HYPERLINK("https://lindat.mff.cuni.cz/services/SynSemClass55/SynSemClass55.html?veclass=vec01718", "vec01718 / ztichnout (v41rymA)")</f>
        <v>vec01718 / ztichnout (v41rymA)</v>
      </c>
      <c r="AA503" s="0" t="n">
        <v>0.05655</v>
      </c>
      <c r="AB503" s="5" t="s">
        <v>30</v>
      </c>
      <c r="AE503" s="0" t="str">
        <f aca="false">HYPERLINK("https://lindat.mff.cuni.cz/services/SynSemClass55/SynSemClass55.html?veclass=vec01369", "vec01369 / zadrhnout se (v41pscA)")</f>
        <v>vec01369 / zadrhnout se (v41pscA)</v>
      </c>
      <c r="AF503" s="0" t="n">
        <v>0.03802</v>
      </c>
      <c r="AG503" s="5" t="s">
        <v>30</v>
      </c>
    </row>
    <row r="505" customFormat="false" ht="12.75" hidden="false" customHeight="false" outlineLevel="0" collapsed="false">
      <c r="A505" s="0" t="str">
        <f aca="false">HYPERLINK("https://lindat.mff.cuni.cz/services/PDT-Vallex4.5/PDT-Vallex4.5.html?verb=ustavovat", "ustavovat")</f>
        <v>ustavovat</v>
      </c>
      <c r="B505" s="0" t="str">
        <f aca="false">HYPERLINK("https://lindat.mff.cuni.cz/services/PDT-Vallex4.5/PDT-Vallex4.5.html?verb=ustavovat#v41mycA", "v41mycA")</f>
        <v>v41mycA</v>
      </c>
      <c r="E505" s="0" t="n">
        <v>11</v>
      </c>
      <c r="F505" s="0" t="n">
        <v>0.55605</v>
      </c>
      <c r="G505" s="1" t="s">
        <v>31</v>
      </c>
      <c r="K505" s="0" t="str">
        <f aca="false">HYPERLINK("https://lindat.mff.cuni.cz/services/SynSemClass55/SynSemClass55.html?veclass=vec00179", "vec00179 / zakládat (v41pwsA)")</f>
        <v>vec00179 / zakládat (v41pwsA)</v>
      </c>
      <c r="L505" s="0" t="n">
        <v>0.55605</v>
      </c>
      <c r="M505" s="5" t="s">
        <v>30</v>
      </c>
      <c r="P505" s="0" t="str">
        <f aca="false">HYPERLINK("https://lindat.mff.cuni.cz/services/SynSemClass55/SynSemClass55.html?veclass=vec00488", "vec00488 / prohlásit (v41hddA)")</f>
        <v>vec00488 / prohlásit (v41hddA)</v>
      </c>
      <c r="Q505" s="0" t="n">
        <v>0.06074</v>
      </c>
      <c r="R505" s="5" t="s">
        <v>33</v>
      </c>
      <c r="U505" s="0" t="str">
        <f aca="false">HYPERLINK("https://lindat.mff.cuni.cz/services/SynSemClass55/SynSemClass55.html?veclass=vec00127", "vec00127 / stanovit (v41lhzD)")</f>
        <v>vec00127 / stanovit (v41lhzD)</v>
      </c>
      <c r="V505" s="0" t="n">
        <v>0.06035</v>
      </c>
      <c r="W505" s="5" t="s">
        <v>30</v>
      </c>
      <c r="Z505" s="0" t="str">
        <f aca="false">HYPERLINK("https://lindat.mff.cuni.cz/services/SynSemClass55/SynSemClass55.html?veclass=vec00084", "vec00084 / produkovat (v41hcjA)")</f>
        <v>vec00084 / produkovat (v41hcjA)</v>
      </c>
      <c r="AA505" s="0" t="n">
        <v>0.02909</v>
      </c>
      <c r="AB505" s="5" t="s">
        <v>30</v>
      </c>
      <c r="AE505" s="0" t="str">
        <f aca="false">HYPERLINK("https://lindat.mff.cuni.cz/services/SynSemClass55/SynSemClass55.html?veclass=vec01490", "vec01490 / dotvořit (v41ahrA)")</f>
        <v>vec01490 / dotvořit (v41ahrA)</v>
      </c>
      <c r="AF505" s="0" t="n">
        <v>0.02683</v>
      </c>
      <c r="AG505" s="5" t="s">
        <v>30</v>
      </c>
    </row>
    <row r="507" customFormat="false" ht="12.75" hidden="false" customHeight="false" outlineLevel="0" collapsed="false">
      <c r="A507" s="0" t="str">
        <f aca="false">HYPERLINK("https://lindat.mff.cuni.cz/services/PDT-Vallex4.5/PDT-Vallex4.5.html?verb=utahovat", "utahovat")</f>
        <v>utahovat</v>
      </c>
      <c r="B507" s="0" t="str">
        <f aca="false">HYPERLINK("https://lindat.mff.cuni.cz/services/PDT-Vallex4.5/PDT-Vallex4.5.html?verb=utahovat#v41mzlB", "v41mzlB")</f>
        <v>v41mzlB</v>
      </c>
      <c r="E507" s="0" t="n">
        <v>315</v>
      </c>
      <c r="F507" s="0" t="n">
        <v>0.17323</v>
      </c>
      <c r="G507" s="1" t="n">
        <v>0</v>
      </c>
      <c r="H507" s="1" t="s">
        <v>177</v>
      </c>
      <c r="I507" s="1" t="s">
        <v>178</v>
      </c>
      <c r="K507" s="0" t="str">
        <f aca="false">HYPERLINK("https://lindat.mff.cuni.cz/services/SynSemClass55/SynSemClass55.html?veclass=vec00943", "vec00943 / utáhnout (v41mzjC)")</f>
        <v>vec00943 / utáhnout (v41mzjC)</v>
      </c>
      <c r="L507" s="0" t="n">
        <v>0.17323</v>
      </c>
      <c r="M507" s="5" t="s">
        <v>30</v>
      </c>
      <c r="P507" s="0" t="str">
        <f aca="false">HYPERLINK("https://lindat.mff.cuni.cz/services/SynSemClass55/SynSemClass55.html?veclass=vec01667", "vec01667 / příst (v41iyxA)")</f>
        <v>vec01667 / příst (v41iyxA)</v>
      </c>
      <c r="Q507" s="0" t="n">
        <v>0.0293</v>
      </c>
      <c r="R507" s="5" t="s">
        <v>30</v>
      </c>
      <c r="U507" s="0" t="str">
        <f aca="false">HYPERLINK("https://lindat.mff.cuni.cz/services/SynSemClass55/SynSemClass55.html?veclass=vec01810", "vec01810 / osahávat (v41eyrA)")</f>
        <v>vec01810 / osahávat (v41eyrA)</v>
      </c>
      <c r="V507" s="0" t="n">
        <v>0.02862</v>
      </c>
      <c r="W507" s="5" t="s">
        <v>30</v>
      </c>
      <c r="Z507" s="0" t="str">
        <f aca="false">HYPERLINK("https://lindat.mff.cuni.cz/services/SynSemClass55/SynSemClass55.html?veclass=vec00677", "vec00677 / popadnout (v41gggA)")</f>
        <v>vec00677 / popadnout (v41gggA)</v>
      </c>
      <c r="AA507" s="0" t="n">
        <v>0.02661</v>
      </c>
      <c r="AB507" s="5" t="s">
        <v>30</v>
      </c>
      <c r="AE507" s="0" t="str">
        <f aca="false">HYPERLINK("https://lindat.mff.cuni.cz/services/SynSemClass55/SynSemClass55.html?veclass=vec01580", "vec01580 / natahovat (v41dekC)")</f>
        <v>vec01580 / natahovat (v41dekC)</v>
      </c>
      <c r="AF507" s="0" t="n">
        <v>0.02339</v>
      </c>
      <c r="AG507" s="5" t="s">
        <v>30</v>
      </c>
    </row>
    <row r="509" customFormat="false" ht="12.75" hidden="false" customHeight="false" outlineLevel="0" collapsed="false">
      <c r="A509" s="0" t="str">
        <f aca="false">HYPERLINK("https://lindat.mff.cuni.cz/services/PDT-Vallex4.5/PDT-Vallex4.5.html?verb=utkvět", "utkvět")</f>
        <v>utkvět</v>
      </c>
      <c r="B509" s="0" t="str">
        <f aca="false">HYPERLINK("https://lindat.mff.cuni.cz/services/PDT-Vallex4.5/PDT-Vallex4.5.html?verb=utkvět#v41nahA", "v41nahA")</f>
        <v>v41nahA</v>
      </c>
      <c r="E509" s="0" t="n">
        <v>402</v>
      </c>
      <c r="F509" s="0" t="n">
        <v>0.5162</v>
      </c>
      <c r="G509" s="1" t="n">
        <v>0</v>
      </c>
      <c r="I509" s="1" t="s">
        <v>179</v>
      </c>
      <c r="K509" s="0" t="str">
        <f aca="false">HYPERLINK("https://lindat.mff.cuni.cz/services/SynSemClass55/SynSemClass55.html?veclass=vec00394", "vec00394 / zůstat (v41sadF)")</f>
        <v>vec00394 / zůstat (v41sadF)</v>
      </c>
      <c r="L509" s="0" t="n">
        <v>0.5162</v>
      </c>
      <c r="M509" s="5" t="s">
        <v>30</v>
      </c>
      <c r="P509" s="0" t="str">
        <f aca="false">HYPERLINK("https://lindat.mff.cuni.cz/services/SynSemClass55/SynSemClass55.html?veclass=vec00579", "vec00579 / zastavit se (v41qmhA)")</f>
        <v>vec00579 / zastavit se (v41qmhA)</v>
      </c>
      <c r="Q509" s="0" t="n">
        <v>0.13125</v>
      </c>
      <c r="R509" s="5" t="s">
        <v>30</v>
      </c>
      <c r="U509" s="0" t="str">
        <f aca="false">HYPERLINK("https://lindat.mff.cuni.cz/services/SynSemClass55/SynSemClass55.html?veclass=vec01369", "vec01369 / zadrhnout se (v41pscA)")</f>
        <v>vec01369 / zadrhnout se (v41pscA)</v>
      </c>
      <c r="V509" s="0" t="n">
        <v>0.05054</v>
      </c>
      <c r="W509" s="5" t="s">
        <v>30</v>
      </c>
      <c r="Z509" s="0" t="str">
        <f aca="false">HYPERLINK("https://lindat.mff.cuni.cz/services/SynSemClass55/SynSemClass55.html?veclass=vec01475", "vec01475 / zadrhávat se (v41psbA)")</f>
        <v>vec01475 / zadrhávat se (v41psbA)</v>
      </c>
      <c r="AA509" s="0" t="n">
        <v>0.02947</v>
      </c>
      <c r="AB509" s="5" t="s">
        <v>30</v>
      </c>
      <c r="AE509" s="0" t="str">
        <f aca="false">HYPERLINK("https://lindat.mff.cuni.cz/services/SynSemClass55/SynSemClass55.html?veclass=vec00199", "vec00199 / zůstat (v41sadA)")</f>
        <v>vec00199 / zůstat (v41sadA)</v>
      </c>
      <c r="AF509" s="0" t="n">
        <v>0.01973</v>
      </c>
      <c r="AG509" s="5" t="s">
        <v>30</v>
      </c>
    </row>
    <row r="511" customFormat="false" ht="12.75" hidden="false" customHeight="false" outlineLevel="0" collapsed="false">
      <c r="A511" s="0" t="str">
        <f aca="false">HYPERLINK("https://lindat.mff.cuni.cz/services/PDT-Vallex4.5/PDT-Vallex4.5.html?verb=utlumit se", "utlumit se")</f>
        <v>utlumit se</v>
      </c>
      <c r="B511" s="0" t="str">
        <f aca="false">HYPERLINK("https://lindat.mff.cuni.cz/services/PDT-Vallex4.5/PDT-Vallex4.5.html?verb=utlumit se#v41naqA", "v41naqA")</f>
        <v>v41naqA</v>
      </c>
      <c r="E511" s="0" t="n">
        <v>44</v>
      </c>
      <c r="F511" s="0" t="n">
        <v>0.69982</v>
      </c>
      <c r="G511" s="1" t="s">
        <v>180</v>
      </c>
      <c r="K511" s="0" t="str">
        <f aca="false">HYPERLINK("https://lindat.mff.cuni.cz/services/SynSemClass55/SynSemClass55.html?veclass=vec00055", "vec00055 / oslabit (v41ezlC)")</f>
        <v>vec00055 / oslabit (v41ezlC)</v>
      </c>
      <c r="L511" s="0" t="n">
        <v>0.69982</v>
      </c>
      <c r="M511" s="5" t="s">
        <v>30</v>
      </c>
      <c r="P511" s="0" t="str">
        <f aca="false">HYPERLINK("https://lindat.mff.cuni.cz/services/SynSemClass55/SynSemClass55.html?veclass=vec00536", "vec00536 / uklidnit (v41mmaA)")</f>
        <v>vec00536 / uklidnit (v41mmaA)</v>
      </c>
      <c r="Q511" s="0" t="n">
        <v>0.10538</v>
      </c>
      <c r="R511" s="5" t="s">
        <v>30</v>
      </c>
      <c r="U511" s="0" t="str">
        <f aca="false">HYPERLINK("https://lindat.mff.cuni.cz/services/SynSemClass55/SynSemClass55.html?veclass=vec00815", "vec00815 / dusit (v41alyD)")</f>
        <v>vec00815 / dusit (v41alyD)</v>
      </c>
      <c r="V511" s="0" t="n">
        <v>0.09035</v>
      </c>
      <c r="W511" s="5" t="s">
        <v>30</v>
      </c>
      <c r="Z511" s="0" t="str">
        <f aca="false">HYPERLINK("https://lindat.mff.cuni.cz/services/SynSemClass55/SynSemClass55.html?veclass=vec01301", "vec01301 / přitvrdit (v41javA)")</f>
        <v>vec01301 / přitvrdit (v41javA)</v>
      </c>
      <c r="AA511" s="0" t="n">
        <v>0.0273</v>
      </c>
      <c r="AB511" s="5" t="s">
        <v>30</v>
      </c>
      <c r="AE511" s="0" t="str">
        <f aca="false">HYPERLINK("https://lindat.mff.cuni.cz/services/SynSemClass55/SynSemClass55.html?veclass=vec00545", "vec00545 / uvolnit (v41ndvG)")</f>
        <v>vec00545 / uvolnit (v41ndvG)</v>
      </c>
      <c r="AF511" s="0" t="n">
        <v>0.02267</v>
      </c>
      <c r="AG511" s="5" t="s">
        <v>30</v>
      </c>
    </row>
    <row r="513" customFormat="false" ht="12.75" hidden="false" customHeight="false" outlineLevel="0" collapsed="false">
      <c r="A513" s="0" t="str">
        <f aca="false">HYPERLINK("https://lindat.mff.cuni.cz/services/PDT-Vallex4.5/PDT-Vallex4.5.html?verb=utrhnout se", "utrhnout se")</f>
        <v>utrhnout se</v>
      </c>
      <c r="B513" s="0" t="str">
        <f aca="false">HYPERLINK("https://lindat.mff.cuni.cz/services/PDT-Vallex4.5/PDT-Vallex4.5.html?verb=utrhnout se#v41nbhA", "v41nbhA")</f>
        <v>v41nbhA</v>
      </c>
      <c r="E513" s="0" t="n">
        <v>782</v>
      </c>
      <c r="F513" s="0" t="n">
        <v>0.13247</v>
      </c>
      <c r="G513" s="1" t="s">
        <v>161</v>
      </c>
      <c r="K513" s="0" t="str">
        <f aca="false">HYPERLINK("https://lindat.mff.cuni.cz/services/SynSemClass55/SynSemClass55.html?veclass=vec01615", "vec01615 / utrhnout (v41nbgA)")</f>
        <v>vec01615 / utrhnout (v41nbgA)</v>
      </c>
      <c r="L513" s="0" t="n">
        <v>0.13247</v>
      </c>
      <c r="M513" s="5" t="s">
        <v>30</v>
      </c>
      <c r="P513" s="0" t="str">
        <f aca="false">HYPERLINK("https://lindat.mff.cuni.cz/services/SynSemClass55/SynSemClass55.html?veclass=vec00764", "vec00764 / vytrhnout (v41pdrB)")</f>
        <v>vec00764 / vytrhnout (v41pdrB)</v>
      </c>
      <c r="Q513" s="0" t="n">
        <v>0.11032</v>
      </c>
      <c r="R513" s="5" t="s">
        <v>30</v>
      </c>
      <c r="U513" s="0" t="str">
        <f aca="false">HYPERLINK("https://lindat.mff.cuni.cz/services/SynSemClass55/SynSemClass55.html?veclass=vec01413", "vec01413 / odtrhnout se (v41eltB)")</f>
        <v>vec01413 / odtrhnout se (v41eltB)</v>
      </c>
      <c r="V513" s="0" t="n">
        <v>0.08563</v>
      </c>
      <c r="W513" s="5" t="s">
        <v>30</v>
      </c>
      <c r="Z513" s="0" t="str">
        <f aca="false">HYPERLINK("https://lindat.mff.cuni.cz/services/SynSemClass55/SynSemClass55.html?veclass=vec00648", "vec00648 / odebrat (v41dygC)")</f>
        <v>vec00648 / odebrat (v41dygC)</v>
      </c>
      <c r="AA513" s="0" t="n">
        <v>0.05075</v>
      </c>
      <c r="AB513" s="5" t="s">
        <v>30</v>
      </c>
      <c r="AE513" s="0" t="str">
        <f aca="false">HYPERLINK("https://lindat.mff.cuni.cz/services/SynSemClass55/SynSemClass55.html?veclass=vec01508", "vec01508 / ořezávat (v41eymA)")</f>
        <v>vec01508 / ořezávat (v41eymA)</v>
      </c>
      <c r="AF513" s="0" t="n">
        <v>0.03787</v>
      </c>
      <c r="AG513" s="5" t="s">
        <v>30</v>
      </c>
    </row>
    <row r="515" customFormat="false" ht="12.75" hidden="false" customHeight="false" outlineLevel="0" collapsed="false">
      <c r="A515" s="0" t="str">
        <f aca="false">HYPERLINK("https://lindat.mff.cuni.cz/services/PDT-Vallex4.5/PDT-Vallex4.5.html?verb=uvalovat", "uvalovat")</f>
        <v>uvalovat</v>
      </c>
      <c r="B515" s="0" t="str">
        <f aca="false">HYPERLINK("https://lindat.mff.cuni.cz/services/PDT-Vallex4.5/PDT-Vallex4.5.html?verb=uvalovat#v41nciA", "v41nciA")</f>
        <v>v41nciA</v>
      </c>
      <c r="E515" s="0" t="n">
        <v>19</v>
      </c>
      <c r="F515" s="0" t="n">
        <v>0.13055</v>
      </c>
      <c r="G515" s="1" t="n">
        <v>0</v>
      </c>
      <c r="I515" s="1" t="s">
        <v>181</v>
      </c>
      <c r="K515" s="0" t="str">
        <f aca="false">HYPERLINK("https://lindat.mff.cuni.cz/services/SynSemClass55/SynSemClass55.html?veclass=vec01712", "vec01712 / zatěžovat (v41qppB)")</f>
        <v>vec01712 / zatěžovat (v41qppB)</v>
      </c>
      <c r="L515" s="0" t="n">
        <v>0.13055</v>
      </c>
      <c r="M515" s="5" t="s">
        <v>30</v>
      </c>
      <c r="P515" s="0" t="str">
        <f aca="false">HYPERLINK("https://lindat.mff.cuni.cz/services/SynSemClass55/SynSemClass55.html?veclass=vec00347", "vec00347 / vinit (v41nllA)")</f>
        <v>vec00347 / vinit (v41nllA)</v>
      </c>
      <c r="Q515" s="0" t="n">
        <v>0.0824</v>
      </c>
      <c r="R515" s="5" t="s">
        <v>30</v>
      </c>
      <c r="U515" s="0" t="str">
        <f aca="false">HYPERLINK("https://lindat.mff.cuni.cz/services/SynSemClass55/SynSemClass55.html?veclass=vec00819", "vec00819 / házet (v41aupC)")</f>
        <v>vec00819 / házet (v41aupC)</v>
      </c>
      <c r="V515" s="0" t="n">
        <v>0.06001</v>
      </c>
      <c r="W515" s="5" t="s">
        <v>30</v>
      </c>
      <c r="Z515" s="0" t="str">
        <f aca="false">HYPERLINK("https://lindat.mff.cuni.cz/services/SynSemClass55/SynSemClass55.html?veclass=vec00196", "vec00196 / způsobit (v41rvuB)")</f>
        <v>vec00196 / způsobit (v41rvuB)</v>
      </c>
      <c r="AA515" s="0" t="n">
        <v>0.05984</v>
      </c>
      <c r="AB515" s="5" t="s">
        <v>30</v>
      </c>
      <c r="AE515" s="0" t="str">
        <f aca="false">HYPERLINK("https://lindat.mff.cuni.cz/services/SynSemClass55/SynSemClass55.html?veclass=vec01407", "vec01407 / nakládat (v41crzA)")</f>
        <v>vec01407 / nakládat (v41crzA)</v>
      </c>
      <c r="AF515" s="0" t="n">
        <v>0.04897</v>
      </c>
      <c r="AG515" s="5" t="s">
        <v>30</v>
      </c>
    </row>
    <row r="517" customFormat="false" ht="12.75" hidden="false" customHeight="false" outlineLevel="0" collapsed="false">
      <c r="A517" s="0" t="str">
        <f aca="false">HYPERLINK("https://lindat.mff.cuni.cz/services/PDT-Vallex4.5/PDT-Vallex4.5.html?verb=uvázat se", "uvázat se")</f>
        <v>uvázat se</v>
      </c>
      <c r="B517" s="0" t="str">
        <f aca="false">HYPERLINK("https://lindat.mff.cuni.cz/services/PDT-Vallex4.5/PDT-Vallex4.5.html?verb=uvázat se#v41ncmA", "v41ncmA")</f>
        <v>v41ncmA</v>
      </c>
      <c r="E517" s="0" t="n">
        <v>361</v>
      </c>
      <c r="F517" s="0" t="n">
        <v>0.4157</v>
      </c>
      <c r="G517" s="1" t="s">
        <v>182</v>
      </c>
      <c r="K517" s="0" t="str">
        <f aca="false">HYPERLINK("https://lindat.mff.cuni.cz/services/SynSemClass55/SynSemClass55.html?veclass=vec00899", "vec00899 / připevnit (v41ivdA)")</f>
        <v>vec00899 / připevnit (v41ivdA)</v>
      </c>
      <c r="L517" s="0" t="n">
        <v>0.4157</v>
      </c>
      <c r="M517" s="5" t="s">
        <v>30</v>
      </c>
      <c r="P517" s="0" t="str">
        <f aca="false">HYPERLINK("https://lindat.mff.cuni.cz/services/SynSemClass55/SynSemClass55.html?veclass=vec00943", "vec00943 / utáhnout (v41mzjC)")</f>
        <v>vec00943 / utáhnout (v41mzjC)</v>
      </c>
      <c r="Q517" s="0" t="n">
        <v>0.10164</v>
      </c>
      <c r="R517" s="5" t="s">
        <v>30</v>
      </c>
      <c r="U517" s="0" t="str">
        <f aca="false">HYPERLINK("https://lindat.mff.cuni.cz/services/SynSemClass55/SynSemClass55.html?veclass=vec00519", "vec00519 / spojovat (v41ldaC)")</f>
        <v>vec00519 / spojovat (v41ldaC)</v>
      </c>
      <c r="V517" s="0" t="n">
        <v>0.06779</v>
      </c>
      <c r="W517" s="5" t="s">
        <v>30</v>
      </c>
      <c r="Z517" s="0" t="str">
        <f aca="false">HYPERLINK("https://lindat.mff.cuni.cz/services/SynSemClass55/SynSemClass55.html?veclass=vec01141", "vec01141 / vázat (v41nhcE)")</f>
        <v>vec01141 / vázat (v41nhcE)</v>
      </c>
      <c r="AA517" s="0" t="n">
        <v>0.05611</v>
      </c>
      <c r="AB517" s="5" t="s">
        <v>30</v>
      </c>
      <c r="AE517" s="0" t="str">
        <f aca="false">HYPERLINK("https://lindat.mff.cuni.cz/services/SynSemClass55/SynSemClass55.html?veclass=vec01500", "vec01500 / obouvat (v41drsA)")</f>
        <v>vec01500 / obouvat (v41drsA)</v>
      </c>
      <c r="AF517" s="0" t="n">
        <v>0.04412</v>
      </c>
      <c r="AG517" s="5" t="s">
        <v>30</v>
      </c>
    </row>
    <row r="519" customFormat="false" ht="12.75" hidden="false" customHeight="false" outlineLevel="0" collapsed="false">
      <c r="A519" s="0" t="str">
        <f aca="false">HYPERLINK("https://lindat.mff.cuni.cz/services/PDT-Vallex4.5/PDT-Vallex4.5.html?verb=uzobnout", "uzobnout")</f>
        <v>uzobnout</v>
      </c>
      <c r="B519" s="0" t="str">
        <f aca="false">HYPERLINK("https://lindat.mff.cuni.cz/services/PDT-Vallex4.5/PDT-Vallex4.5.html?verb=uzobnout#v41nfdA", "v41nfdA")</f>
        <v>v41nfdA</v>
      </c>
      <c r="E519" s="0" t="n">
        <v>5</v>
      </c>
      <c r="F519" s="0" t="n">
        <v>0.15624</v>
      </c>
      <c r="G519" s="1" t="s">
        <v>183</v>
      </c>
      <c r="K519" s="0" t="str">
        <f aca="false">HYPERLINK("https://lindat.mff.cuni.cz/services/SynSemClass55/SynSemClass55.html?veclass=vec01810", "vec01810 / osahávat (v41eyrA)")</f>
        <v>vec01810 / osahávat (v41eyrA)</v>
      </c>
      <c r="L519" s="0" t="n">
        <v>0.15624</v>
      </c>
      <c r="M519" s="5" t="s">
        <v>30</v>
      </c>
      <c r="P519" s="0" t="str">
        <f aca="false">HYPERLINK("https://lindat.mff.cuni.cz/services/SynSemClass55/SynSemClass55.html?veclass=vec01699", "vec01699 / veslovat (v41njuA)")</f>
        <v>vec01699 / veslovat (v41njuA)</v>
      </c>
      <c r="Q519" s="0" t="n">
        <v>0.07059</v>
      </c>
      <c r="R519" s="5" t="s">
        <v>30</v>
      </c>
      <c r="U519" s="0" t="str">
        <f aca="false">HYPERLINK("https://lindat.mff.cuni.cz/services/SynSemClass55/SynSemClass55.html?veclass=vec01216", "vec01216 / hrabat se (v41aygA)")</f>
        <v>vec01216 / hrabat se (v41aygA)</v>
      </c>
      <c r="V519" s="0" t="n">
        <v>0.06966</v>
      </c>
      <c r="W519" s="5" t="s">
        <v>30</v>
      </c>
      <c r="Z519" s="0" t="str">
        <f aca="false">HYPERLINK("https://lindat.mff.cuni.cz/services/SynSemClass55/SynSemClass55.html?veclass=vec01615", "vec01615 / utrhnout (v41nbgA)")</f>
        <v>vec01615 / utrhnout (v41nbgA)</v>
      </c>
      <c r="AA519" s="0" t="n">
        <v>0.06163</v>
      </c>
      <c r="AB519" s="5" t="s">
        <v>30</v>
      </c>
      <c r="AE519" s="0" t="str">
        <f aca="false">HYPERLINK("https://lindat.mff.cuni.cz/services/SynSemClass55/SynSemClass55.html?veclass=vec01678", "vec01678 / smeknout (v41kuuA)")</f>
        <v>vec01678 / smeknout (v41kuuA)</v>
      </c>
      <c r="AF519" s="0" t="n">
        <v>0.06101</v>
      </c>
      <c r="AG519" s="5" t="s">
        <v>30</v>
      </c>
    </row>
    <row r="521" customFormat="false" ht="12.75" hidden="false" customHeight="false" outlineLevel="0" collapsed="false">
      <c r="A521" s="0" t="str">
        <f aca="false">HYPERLINK("https://lindat.mff.cuni.cz/services/PDT-Vallex4.5/PDT-Vallex4.5.html?verb=uzpůsobit", "uzpůsobit")</f>
        <v>uzpůsobit</v>
      </c>
      <c r="B521" s="0" t="str">
        <f aca="false">HYPERLINK("https://lindat.mff.cuni.cz/services/PDT-Vallex4.5/PDT-Vallex4.5.html?verb=uzpůsobit#v41nffB", "v41nffB")</f>
        <v>v41nffB</v>
      </c>
      <c r="E521" s="0" t="n">
        <v>50</v>
      </c>
      <c r="F521" s="0" t="n">
        <v>0.46425</v>
      </c>
      <c r="G521" s="1" t="s">
        <v>31</v>
      </c>
      <c r="K521" s="0" t="str">
        <f aca="false">HYPERLINK("https://lindat.mff.cuni.cz/services/SynSemClass55/SynSemClass55.html?veclass=vec00902", "vec00902 / přizpůsobovat (v41jcrA)")</f>
        <v>vec00902 / přizpůsobovat (v41jcrA)</v>
      </c>
      <c r="L521" s="0" t="n">
        <v>0.46425</v>
      </c>
      <c r="M521" s="5" t="s">
        <v>33</v>
      </c>
      <c r="P521" s="0" t="str">
        <f aca="false">HYPERLINK("https://lindat.mff.cuni.cz/services/SynSemClass55/SynSemClass55.html?veclass=vec00095", "vec00095 / přeměnit (v41iecA)")</f>
        <v>vec00095 / přeměnit (v41iecA)</v>
      </c>
      <c r="Q521" s="0" t="n">
        <v>0.12525</v>
      </c>
      <c r="R521" s="5" t="s">
        <v>30</v>
      </c>
      <c r="U521" s="0" t="str">
        <f aca="false">HYPERLINK("https://lindat.mff.cuni.cz/services/SynSemClass55/SynSemClass55.html?veclass=vec00040", "vec00040 / navrhnout (v41dgxD)")</f>
        <v>vec00040 / navrhnout (v41dgxD)</v>
      </c>
      <c r="V521" s="0" t="n">
        <v>0.03543</v>
      </c>
      <c r="W521" s="5" t="s">
        <v>30</v>
      </c>
      <c r="Z521" s="0" t="str">
        <f aca="false">HYPERLINK("https://lindat.mff.cuni.cz/services/SynSemClass55/SynSemClass55.html?veclass=vec00696", "vec00696 / přizpůsobit se (v41jcpA)")</f>
        <v>vec00696 / přizpůsobit se (v41jcpA)</v>
      </c>
      <c r="AA521" s="0" t="n">
        <v>0.03061</v>
      </c>
      <c r="AB521" s="5" t="s">
        <v>30</v>
      </c>
      <c r="AE521" s="0" t="str">
        <f aca="false">HYPERLINK("https://lindat.mff.cuni.cz/services/SynSemClass55/SynSemClass55.html?veclass=vec00556", "vec00556 / vyhradit (v41oavA)")</f>
        <v>vec00556 / vyhradit (v41oavA)</v>
      </c>
      <c r="AF521" s="0" t="n">
        <v>0.02455</v>
      </c>
      <c r="AG521" s="5" t="s">
        <v>30</v>
      </c>
    </row>
    <row r="523" customFormat="false" ht="12.75" hidden="false" customHeight="false" outlineLevel="0" collapsed="false">
      <c r="A523" s="0" t="str">
        <f aca="false">HYPERLINK("https://lindat.mff.cuni.cz/services/PDT-Vallex4.5/PDT-Vallex4.5.html?verb=vést si", "vést si")</f>
        <v>vést si</v>
      </c>
      <c r="B523" s="0" t="str">
        <f aca="false">HYPERLINK("https://lindat.mff.cuni.cz/services/PDT-Vallex4.5/PDT-Vallex4.5.html?verb=vést si#v41njzB", "v41njzB")</f>
        <v>v41njzB</v>
      </c>
      <c r="E523" s="0" t="n">
        <v>5000</v>
      </c>
      <c r="F523" s="0" t="n">
        <v>0.14768</v>
      </c>
      <c r="G523" s="1" t="s">
        <v>184</v>
      </c>
      <c r="K523" s="0" t="str">
        <f aca="false">HYPERLINK("https://lindat.mff.cuni.cz/services/SynSemClass55/SynSemClass55.html?veclass=vec01377", "vec01377 / zavést (v41qsnC)")</f>
        <v>vec01377 / zavést (v41qsnC)</v>
      </c>
      <c r="L523" s="0" t="n">
        <v>0.14768</v>
      </c>
      <c r="M523" s="5" t="s">
        <v>30</v>
      </c>
      <c r="P523" s="0" t="str">
        <f aca="false">HYPERLINK("https://lindat.mff.cuni.cz/services/SynSemClass55/SynSemClass55.html?veclass=vec00153", "vec00153 / vést si (v41njzA)")</f>
        <v>vec00153 / vést si (v41njzA)</v>
      </c>
      <c r="Q523" s="0" t="n">
        <v>0.1312</v>
      </c>
      <c r="R523" s="5" t="s">
        <v>30</v>
      </c>
      <c r="U523" s="0" t="str">
        <f aca="false">HYPERLINK("https://lindat.mff.cuni.cz/services/SynSemClass55/SynSemClass55.html?veclass=vec01694", "vec01694 / ústit (v41myeB)")</f>
        <v>vec01694 / ústit (v41myeB)</v>
      </c>
      <c r="V523" s="0" t="n">
        <v>0.07561</v>
      </c>
      <c r="W523" s="5" t="s">
        <v>30</v>
      </c>
      <c r="Z523" s="0" t="str">
        <f aca="false">HYPERLINK("https://lindat.mff.cuni.cz/services/SynSemClass55/SynSemClass55.html?veclass=vec00302", "vec00302 / řídit (v41kegA)")</f>
        <v>vec00302 / řídit (v41kegA)</v>
      </c>
      <c r="AA523" s="0" t="n">
        <v>0.05394</v>
      </c>
      <c r="AB523" s="5" t="s">
        <v>30</v>
      </c>
      <c r="AE523" s="0" t="str">
        <f aca="false">HYPERLINK("https://lindat.mff.cuni.cz/services/SynSemClass55/SynSemClass55.html?veclass=vec00359", "vec00359 / vyústit (v41pfhA)")</f>
        <v>vec00359 / vyústit (v41pfhA)</v>
      </c>
      <c r="AF523" s="0" t="n">
        <v>0.04536</v>
      </c>
      <c r="AG523" s="5" t="s">
        <v>30</v>
      </c>
    </row>
    <row r="525" customFormat="false" ht="12.75" hidden="false" customHeight="false" outlineLevel="0" collapsed="false">
      <c r="A525" s="0" t="str">
        <f aca="false">HYPERLINK("https://lindat.mff.cuni.cz/services/PDT-Vallex4.5/PDT-Vallex4.5.html?verb=vetknout", "vetknout")</f>
        <v>vetknout</v>
      </c>
      <c r="B525" s="0" t="str">
        <f aca="false">HYPERLINK("https://lindat.mff.cuni.cz/services/PDT-Vallex4.5/PDT-Vallex4.5.html?verb=vetknout#v41nkfA", "v41nkfA")</f>
        <v>v41nkfA</v>
      </c>
      <c r="E525" s="0" t="n">
        <v>27</v>
      </c>
      <c r="F525" s="0" t="n">
        <v>0.25481</v>
      </c>
      <c r="G525" s="1" t="s">
        <v>31</v>
      </c>
      <c r="K525" s="0" t="str">
        <f aca="false">HYPERLINK("https://lindat.mff.cuni.cz/services/SynSemClass55/SynSemClass55.html?veclass=vec00735", "vec00735 / umístit (v41motA)")</f>
        <v>vec00735 / umístit (v41motA)</v>
      </c>
      <c r="L525" s="0" t="n">
        <v>0.25481</v>
      </c>
      <c r="M525" s="5" t="s">
        <v>33</v>
      </c>
      <c r="P525" s="0" t="str">
        <f aca="false">HYPERLINK("https://lindat.mff.cuni.cz/services/SynSemClass55/SynSemClass55.html?veclass=vec00899", "vec00899 / připevnit (v41ivdA)")</f>
        <v>vec00899 / připevnit (v41ivdA)</v>
      </c>
      <c r="Q525" s="0" t="n">
        <v>0.15341</v>
      </c>
      <c r="R525" s="5" t="s">
        <v>30</v>
      </c>
      <c r="U525" s="0" t="str">
        <f aca="false">HYPERLINK("https://lindat.mff.cuni.cz/services/SynSemClass55/SynSemClass55.html?veclass=vec00932", "vec00932 / strčit (v41lmaE)")</f>
        <v>vec00932 / strčit (v41lmaE)</v>
      </c>
      <c r="V525" s="0" t="n">
        <v>0.12521</v>
      </c>
      <c r="W525" s="5" t="s">
        <v>32</v>
      </c>
      <c r="Z525" s="0" t="str">
        <f aca="false">HYPERLINK("https://lindat.mff.cuni.cz/services/SynSemClass55/SynSemClass55.html?veclass=vec00841", "vec00841 / nacpat (v41cmpB)")</f>
        <v>vec00841 / nacpat (v41cmpB)</v>
      </c>
      <c r="AA525" s="0" t="n">
        <v>0.0579</v>
      </c>
      <c r="AB525" s="5" t="s">
        <v>30</v>
      </c>
      <c r="AE525" s="0" t="str">
        <f aca="false">HYPERLINK("https://lindat.mff.cuni.cz/services/SynSemClass55/SynSemClass55.html?veclass=vec01966", "vec01966 / zapustit (v41qiaB)")</f>
        <v>vec01966 / zapustit (v41qiaB)</v>
      </c>
      <c r="AF525" s="0" t="n">
        <v>0.05412</v>
      </c>
      <c r="AG525" s="5" t="s">
        <v>30</v>
      </c>
    </row>
    <row r="527" customFormat="false" ht="12.75" hidden="false" customHeight="false" outlineLevel="0" collapsed="false">
      <c r="A527" s="0" t="str">
        <f aca="false">HYPERLINK("https://lindat.mff.cuni.cz/services/PDT-Vallex4.5/PDT-Vallex4.5.html?verb=vhlížet", "vhlížet")</f>
        <v>vhlížet</v>
      </c>
      <c r="B527" s="0" t="str">
        <f aca="false">HYPERLINK("https://lindat.mff.cuni.cz/services/PDT-Vallex4.5/PDT-Vallex4.5.html?verb=vhlížet#v41nkyA", "v41nkyA")</f>
        <v>v41nkyA</v>
      </c>
      <c r="E527" s="0" t="n">
        <v>2</v>
      </c>
      <c r="F527" s="0" t="n">
        <v>0.76005</v>
      </c>
      <c r="G527" s="1" t="s">
        <v>31</v>
      </c>
      <c r="K527" s="0" t="str">
        <f aca="false">HYPERLINK("https://lindat.mff.cuni.cz/services/SynSemClass55/SynSemClass55.html?veclass=vec00869", "vec00869 / podívat se (v41fsdH)")</f>
        <v>vec00869 / podívat se (v41fsdH)</v>
      </c>
      <c r="L527" s="0" t="n">
        <v>0.76005</v>
      </c>
      <c r="M527" s="5" t="s">
        <v>33</v>
      </c>
      <c r="P527" s="0" t="str">
        <f aca="false">HYPERLINK("https://lindat.mff.cuni.cz/services/SynSemClass55/SynSemClass55.html?veclass=vec01515", "vec01515 / přeměřovat (v41iegA)")</f>
        <v>vec01515 / přeměřovat (v41iegA)</v>
      </c>
      <c r="Q527" s="0" t="n">
        <v>0.05431</v>
      </c>
      <c r="R527" s="5" t="s">
        <v>30</v>
      </c>
      <c r="U527" s="0" t="str">
        <f aca="false">HYPERLINK("https://lindat.mff.cuni.cz/services/SynSemClass55/SynSemClass55.html?veclass=vec01263", "vec01263 / porozhlédnout se (v41gjlB)")</f>
        <v>vec01263 / porozhlédnout se (v41gjlB)</v>
      </c>
      <c r="V527" s="0" t="n">
        <v>0.04934</v>
      </c>
      <c r="W527" s="5" t="s">
        <v>30</v>
      </c>
      <c r="Z527" s="0" t="str">
        <f aca="false">HYPERLINK("https://lindat.mff.cuni.cz/services/SynSemClass55/SynSemClass55.html?veclass=vec01128", "vec01128 / tolerovat (v41lzxA)")</f>
        <v>vec01128 / tolerovat (v41lzxA)</v>
      </c>
      <c r="AA527" s="0" t="n">
        <v>0.04071</v>
      </c>
      <c r="AB527" s="5" t="s">
        <v>30</v>
      </c>
      <c r="AE527" s="0" t="str">
        <f aca="false">HYPERLINK("https://lindat.mff.cuni.cz/services/SynSemClass55/SynSemClass55.html?veclass=vec00918", "vec00918 / sáhnout (v41kevC)")</f>
        <v>vec00918 / sáhnout (v41kevC)</v>
      </c>
      <c r="AF527" s="0" t="n">
        <v>0.03005</v>
      </c>
      <c r="AG527" s="5" t="s">
        <v>30</v>
      </c>
    </row>
    <row r="529" customFormat="false" ht="12.75" hidden="false" customHeight="false" outlineLevel="0" collapsed="false">
      <c r="A529" s="0" t="str">
        <f aca="false">HYPERLINK("https://lindat.mff.cuni.cz/services/PDT-Vallex4.5/PDT-Vallex4.5.html?verb=viklat se", "viklat se")</f>
        <v>viklat se</v>
      </c>
      <c r="B529" s="0" t="str">
        <f aca="false">HYPERLINK("https://lindat.mff.cuni.cz/services/PDT-Vallex4.5/PDT-Vallex4.5.html?verb=viklat se#v41nliA", "v41nliA")</f>
        <v>v41nliA</v>
      </c>
      <c r="E529" s="0" t="n">
        <v>56</v>
      </c>
      <c r="F529" s="0" t="n">
        <v>0.08459</v>
      </c>
      <c r="G529" s="1" t="s">
        <v>31</v>
      </c>
      <c r="K529" s="0" t="str">
        <f aca="false">HYPERLINK("https://lindat.mff.cuni.cz/services/SynSemClass55/SynSemClass55.html?veclass=vec00626", "vec00626 / kymácet se (v41bxpA)")</f>
        <v>vec00626 / kymácet se (v41bxpA)</v>
      </c>
      <c r="L529" s="0" t="n">
        <v>0.08459</v>
      </c>
      <c r="M529" s="5" t="s">
        <v>33</v>
      </c>
      <c r="P529" s="0" t="str">
        <f aca="false">HYPERLINK("https://lindat.mff.cuni.cz/services/SynSemClass55/SynSemClass55.html?veclass=vec01219", "vec01219 / klouzat (v41bmaA)")</f>
        <v>vec01219 / klouzat (v41bmaA)</v>
      </c>
      <c r="Q529" s="0" t="n">
        <v>0.07361</v>
      </c>
      <c r="R529" s="5" t="s">
        <v>30</v>
      </c>
      <c r="U529" s="0" t="str">
        <f aca="false">HYPERLINK("https://lindat.mff.cuni.cz/services/SynSemClass55/SynSemClass55.html?veclass=vec00993", "vec00993 / zkroutit se (v41rhjA)")</f>
        <v>vec00993 / zkroutit se (v41rhjA)</v>
      </c>
      <c r="V529" s="0" t="n">
        <v>0.06821</v>
      </c>
      <c r="W529" s="5" t="s">
        <v>30</v>
      </c>
      <c r="Z529" s="0" t="str">
        <f aca="false">HYPERLINK("https://lindat.mff.cuni.cz/services/SynSemClass55/SynSemClass55.html?veclass=vec01336", "vec01336 / tyčit se (v41meuA)")</f>
        <v>vec01336 / tyčit se (v41meuA)</v>
      </c>
      <c r="AA529" s="0" t="n">
        <v>0.03965</v>
      </c>
      <c r="AB529" s="5" t="s">
        <v>30</v>
      </c>
      <c r="AE529" s="0" t="str">
        <f aca="false">HYPERLINK("https://lindat.mff.cuni.cz/services/SynSemClass55/SynSemClass55.html?veclass=vec01634", "vec01634 / zmítat se (v41rldA)")</f>
        <v>vec01634 / zmítat se (v41rldA)</v>
      </c>
      <c r="AF529" s="0" t="n">
        <v>0.03884</v>
      </c>
      <c r="AG529" s="5" t="s">
        <v>30</v>
      </c>
    </row>
    <row r="531" customFormat="false" ht="12.75" hidden="false" customHeight="false" outlineLevel="0" collapsed="false">
      <c r="A531" s="0" t="str">
        <f aca="false">HYPERLINK("https://lindat.mff.cuni.cz/services/PDT-Vallex4.5/PDT-Vallex4.5.html?verb=vlévat", "vlévat")</f>
        <v>vlévat</v>
      </c>
      <c r="B531" s="0" t="str">
        <f aca="false">HYPERLINK("https://lindat.mff.cuni.cz/services/PDT-Vallex4.5/PDT-Vallex4.5.html?verb=vlévat#v41nndA", "v41nndA")</f>
        <v>v41nndA</v>
      </c>
      <c r="E531" s="0" t="n">
        <v>171</v>
      </c>
      <c r="F531" s="0" t="n">
        <v>0.47194</v>
      </c>
      <c r="G531" s="1" t="s">
        <v>185</v>
      </c>
      <c r="K531" s="0" t="str">
        <f aca="false">HYPERLINK("https://lindat.mff.cuni.cz/services/SynSemClass55/SynSemClass55.html?veclass=vec00952", "vec00952 / vlévat se (v41nneA)")</f>
        <v>vec00952 / vlévat se (v41nneA)</v>
      </c>
      <c r="L531" s="0" t="n">
        <v>0.47194</v>
      </c>
      <c r="M531" s="5" t="s">
        <v>30</v>
      </c>
      <c r="P531" s="0" t="str">
        <f aca="false">HYPERLINK("https://lindat.mff.cuni.cz/services/SynSemClass55/SynSemClass55.html?veclass=vec01942", "vec01942 / vylít (v41oijA)")</f>
        <v>vec01942 / vylít (v41oijA)</v>
      </c>
      <c r="Q531" s="0" t="n">
        <v>0.03463</v>
      </c>
      <c r="R531" s="5" t="s">
        <v>30</v>
      </c>
      <c r="U531" s="0" t="str">
        <f aca="false">HYPERLINK("https://lindat.mff.cuni.cz/services/SynSemClass55/SynSemClass55.html?veclass=vec00893", "vec00893 / překypovat (v41ideA)")</f>
        <v>vec00893 / překypovat (v41ideA)</v>
      </c>
      <c r="V531" s="0" t="n">
        <v>0.02421</v>
      </c>
      <c r="W531" s="5" t="s">
        <v>30</v>
      </c>
      <c r="Z531" s="0" t="str">
        <f aca="false">HYPERLINK("https://lindat.mff.cuni.cz/services/SynSemClass55/SynSemClass55.html?veclass=vec00218", "vec00218 / dostat se (v41afyI)")</f>
        <v>vec00218 / dostat se (v41afyI)</v>
      </c>
      <c r="AA531" s="0" t="n">
        <v>0.02112</v>
      </c>
      <c r="AB531" s="5" t="s">
        <v>30</v>
      </c>
      <c r="AE531" s="0" t="str">
        <f aca="false">HYPERLINK("https://lindat.mff.cuni.cz/services/SynSemClass55/SynSemClass55.html?veclass=vec00318", "vec00318 / spojit se (v41lcwA)")</f>
        <v>vec00318 / spojit se (v41lcwA)</v>
      </c>
      <c r="AF531" s="0" t="n">
        <v>0.01965</v>
      </c>
      <c r="AG531" s="5" t="s">
        <v>30</v>
      </c>
    </row>
    <row r="533" customFormat="false" ht="12.75" hidden="false" customHeight="false" outlineLevel="0" collapsed="false">
      <c r="A533" s="0" t="str">
        <f aca="false">HYPERLINK("https://lindat.mff.cuni.cz/services/PDT-Vallex4.5/PDT-Vallex4.5.html?verb=vměšovat se", "vměšovat se")</f>
        <v>vměšovat se</v>
      </c>
      <c r="B533" s="0" t="str">
        <f aca="false">HYPERLINK("https://lindat.mff.cuni.cz/services/PDT-Vallex4.5/PDT-Vallex4.5.html?verb=vměšovat se#v41nnvB", "v41nnvB")</f>
        <v>v41nnvB</v>
      </c>
      <c r="E533" s="0" t="n">
        <v>82</v>
      </c>
      <c r="F533" s="0" t="n">
        <v>0.90274</v>
      </c>
      <c r="G533" s="1" t="s">
        <v>186</v>
      </c>
      <c r="K533" s="0" t="str">
        <f aca="false">HYPERLINK("https://lindat.mff.cuni.cz/services/SynSemClass55/SynSemClass55.html?veclass=vec00775", "vec00775 / zasahovat (v41qkaB)")</f>
        <v>vec00775 / zasahovat (v41qkaB)</v>
      </c>
      <c r="L533" s="0" t="n">
        <v>0.90274</v>
      </c>
      <c r="M533" s="5" t="s">
        <v>30</v>
      </c>
      <c r="P533" s="0" t="str">
        <f aca="false">HYPERLINK("https://lindat.mff.cuni.cz/services/SynSemClass55/SynSemClass55.html?veclass=vec00818", "vec00818 / fušovat (v41askA)")</f>
        <v>vec00818 / fušovat (v41askA)</v>
      </c>
      <c r="Q533" s="0" t="n">
        <v>0.06166</v>
      </c>
      <c r="R533" s="5" t="s">
        <v>30</v>
      </c>
      <c r="U533" s="0" t="str">
        <f aca="false">HYPERLINK("https://lindat.mff.cuni.cz/services/SynSemClass55/SynSemClass55.html?veclass=vec01712", "vec01712 / zatěžovat (v41qppB)")</f>
        <v>vec01712 / zatěžovat (v41qppB)</v>
      </c>
      <c r="V533" s="0" t="n">
        <v>0.02262</v>
      </c>
      <c r="W533" s="5" t="s">
        <v>30</v>
      </c>
      <c r="Z533" s="0" t="str">
        <f aca="false">HYPERLINK("https://lindat.mff.cuni.cz/services/SynSemClass55/SynSemClass55.html?veclass=vec00175", "vec00175 / zahrnout (v41ptwC)")</f>
        <v>vec00175 / zahrnout (v41ptwC)</v>
      </c>
      <c r="AA533" s="0" t="n">
        <v>0.0175</v>
      </c>
      <c r="AB533" s="5" t="s">
        <v>30</v>
      </c>
      <c r="AE533" s="0" t="str">
        <f aca="false">HYPERLINK("https://lindat.mff.cuni.cz/services/SynSemClass55/SynSemClass55.html?veclass=vec01706", "vec01706 / zaplést (v41qfnA)")</f>
        <v>vec01706 / zaplést (v41qfnA)</v>
      </c>
      <c r="AF533" s="0" t="n">
        <v>0.01428</v>
      </c>
      <c r="AG533" s="5" t="s">
        <v>30</v>
      </c>
    </row>
    <row r="535" customFormat="false" ht="12.75" hidden="false" customHeight="false" outlineLevel="0" collapsed="false">
      <c r="A535" s="0" t="str">
        <f aca="false">HYPERLINK("https://lindat.mff.cuni.cz/services/PDT-Vallex4.5/PDT-Vallex4.5.html?verb=vpadávat", "vpadávat")</f>
        <v>vpadávat</v>
      </c>
      <c r="B535" s="0" t="str">
        <f aca="false">HYPERLINK("https://lindat.mff.cuni.cz/services/PDT-Vallex4.5/PDT-Vallex4.5.html?verb=vpadávat#v41npcA", "v41npcA")</f>
        <v>v41npcA</v>
      </c>
      <c r="E535" s="0" t="n">
        <v>4</v>
      </c>
      <c r="F535" s="0" t="n">
        <v>0.53444</v>
      </c>
      <c r="G535" s="1" t="s">
        <v>187</v>
      </c>
      <c r="K535" s="0" t="str">
        <f aca="false">HYPERLINK("https://lindat.mff.cuni.cz/services/SynSemClass55/SynSemClass55.html?veclass=vec00218", "vec00218 / dostat se (v41afyI)")</f>
        <v>vec00218 / dostat se (v41afyI)</v>
      </c>
      <c r="L535" s="0" t="n">
        <v>0.53444</v>
      </c>
      <c r="M535" s="5" t="s">
        <v>30</v>
      </c>
      <c r="P535" s="0" t="str">
        <f aca="false">HYPERLINK("https://lindat.mff.cuni.cz/services/SynSemClass55/SynSemClass55.html?veclass=vec00579", "vec00579 / zastavit se (v41qmhA)")</f>
        <v>vec00579 / zastavit se (v41qmhA)</v>
      </c>
      <c r="Q535" s="0" t="n">
        <v>0.05627</v>
      </c>
      <c r="R535" s="5" t="s">
        <v>30</v>
      </c>
      <c r="U535" s="0" t="str">
        <f aca="false">HYPERLINK("https://lindat.mff.cuni.cz/services/SynSemClass55/SynSemClass55.html?veclass=vec00042", "vec00042 / navštěvovat (v41dhjB)")</f>
        <v>vec00042 / navštěvovat (v41dhjB)</v>
      </c>
      <c r="V535" s="0" t="n">
        <v>0.04087</v>
      </c>
      <c r="W535" s="5" t="s">
        <v>30</v>
      </c>
      <c r="Z535" s="0" t="str">
        <f aca="false">HYPERLINK("https://lindat.mff.cuni.cz/services/SynSemClass55/SynSemClass55.html?veclass=vec00747", "vec00747 / vrhnout se (v41nqnC)")</f>
        <v>vec00747 / vrhnout se (v41nqnC)</v>
      </c>
      <c r="AA535" s="0" t="n">
        <v>0.03624</v>
      </c>
      <c r="AB535" s="5" t="s">
        <v>30</v>
      </c>
      <c r="AE535" s="0" t="str">
        <f aca="false">HYPERLINK("https://lindat.mff.cuni.cz/services/SynSemClass55/SynSemClass55.html?veclass=vec00665", "vec00665 / plazit se (v41fnbA)")</f>
        <v>vec00665 / plazit se (v41fnbA)</v>
      </c>
      <c r="AF535" s="0" t="n">
        <v>0.02795</v>
      </c>
      <c r="AG535" s="5" t="s">
        <v>30</v>
      </c>
    </row>
    <row r="537" customFormat="false" ht="12.75" hidden="false" customHeight="false" outlineLevel="0" collapsed="false">
      <c r="A537" s="0" t="str">
        <f aca="false">HYPERLINK("https://lindat.mff.cuni.cz/services/PDT-Vallex4.5/PDT-Vallex4.5.html?verb=vpadnout", "vpadnout")</f>
        <v>vpadnout</v>
      </c>
      <c r="B537" s="0" t="str">
        <f aca="false">HYPERLINK("https://lindat.mff.cuni.cz/services/PDT-Vallex4.5/PDT-Vallex4.5.html?verb=vpadnout#v41npdB", "v41npdB")</f>
        <v>v41npdB</v>
      </c>
      <c r="E537" s="0" t="n">
        <v>845</v>
      </c>
      <c r="F537" s="0" t="n">
        <v>0.51583</v>
      </c>
      <c r="G537" s="1" t="s">
        <v>31</v>
      </c>
      <c r="K537" s="0" t="str">
        <f aca="false">HYPERLINK("https://lindat.mff.cuni.cz/services/SynSemClass55/SynSemClass55.html?veclass=vec00218", "vec00218 / dostat se (v41afyI)")</f>
        <v>vec00218 / dostat se (v41afyI)</v>
      </c>
      <c r="L537" s="0" t="n">
        <v>0.51583</v>
      </c>
      <c r="M537" s="5" t="s">
        <v>30</v>
      </c>
      <c r="P537" s="0" t="str">
        <f aca="false">HYPERLINK("https://lindat.mff.cuni.cz/services/SynSemClass55/SynSemClass55.html?veclass=vec00751", "vec00751 / vtrhnout (v41nsvA)")</f>
        <v>vec00751 / vtrhnout (v41nsvA)</v>
      </c>
      <c r="Q537" s="0" t="n">
        <v>0.04776</v>
      </c>
      <c r="R537" s="5" t="s">
        <v>30</v>
      </c>
      <c r="U537" s="0" t="str">
        <f aca="false">HYPERLINK("https://lindat.mff.cuni.cz/services/SynSemClass55/SynSemClass55.html?veclass=vec00747", "vec00747 / vrhnout se (v41nqnC)")</f>
        <v>vec00747 / vrhnout se (v41nqnC)</v>
      </c>
      <c r="V537" s="0" t="n">
        <v>0.03753</v>
      </c>
      <c r="W537" s="5" t="s">
        <v>30</v>
      </c>
      <c r="Z537" s="0" t="str">
        <f aca="false">HYPERLINK("https://lindat.mff.cuni.cz/services/SynSemClass55/SynSemClass55.html?veclass=vec00775", "vec00775 / zasahovat (v41qkaB)")</f>
        <v>vec00775 / zasahovat (v41qkaB)</v>
      </c>
      <c r="AA537" s="0" t="n">
        <v>0.02658</v>
      </c>
      <c r="AB537" s="5" t="s">
        <v>33</v>
      </c>
      <c r="AE537" s="0" t="str">
        <f aca="false">HYPERLINK("https://lindat.mff.cuni.cz/services/SynSemClass55/SynSemClass55.html?veclass=vec01060", "vec01060 / odseknout (v41eizA)")</f>
        <v>vec01060 / odseknout (v41eizA)</v>
      </c>
      <c r="AF537" s="0" t="n">
        <v>0.02502</v>
      </c>
      <c r="AG537" s="5" t="s">
        <v>30</v>
      </c>
    </row>
    <row r="539" customFormat="false" ht="12.75" hidden="false" customHeight="false" outlineLevel="0" collapsed="false">
      <c r="A539" s="0" t="str">
        <f aca="false">HYPERLINK("https://lindat.mff.cuni.cz/services/PDT-Vallex4.5/PDT-Vallex4.5.html?verb=vplouvat", "vplouvat")</f>
        <v>vplouvat</v>
      </c>
      <c r="B539" s="0" t="str">
        <f aca="false">HYPERLINK("https://lindat.mff.cuni.cz/services/PDT-Vallex4.5/PDT-Vallex4.5.html?verb=vplouvat#v41npnB", "v41npnB")</f>
        <v>v41npnB</v>
      </c>
      <c r="E539" s="0" t="n">
        <v>45</v>
      </c>
      <c r="F539" s="0" t="n">
        <v>0.60653</v>
      </c>
      <c r="G539" s="1" t="s">
        <v>31</v>
      </c>
      <c r="K539" s="0" t="str">
        <f aca="false">HYPERLINK("https://lindat.mff.cuni.cz/services/SynSemClass55/SynSemClass55.html?veclass=vec00218", "vec00218 / dostat se (v41afyI)")</f>
        <v>vec00218 / dostat se (v41afyI)</v>
      </c>
      <c r="L539" s="0" t="n">
        <v>0.60653</v>
      </c>
      <c r="M539" s="5" t="s">
        <v>33</v>
      </c>
      <c r="N539" s="0" t="s">
        <v>188</v>
      </c>
      <c r="P539" s="0" t="str">
        <f aca="false">HYPERLINK("https://lindat.mff.cuni.cz/services/SynSemClass55/SynSemClass55.html?veclass=vec00665", "vec00665 / plazit se (v41fnbA)")</f>
        <v>vec00665 / plazit se (v41fnbA)</v>
      </c>
      <c r="Q539" s="0" t="n">
        <v>0.06959</v>
      </c>
      <c r="R539" s="5" t="s">
        <v>30</v>
      </c>
      <c r="U539" s="0" t="str">
        <f aca="false">HYPERLINK("https://lindat.mff.cuni.cz/services/SynSemClass55/SynSemClass55.html?veclass=vec00952", "vec00952 / vlévat se (v41nneA)")</f>
        <v>vec00952 / vlévat se (v41nneA)</v>
      </c>
      <c r="V539" s="0" t="n">
        <v>0.04846</v>
      </c>
      <c r="W539" s="5" t="s">
        <v>30</v>
      </c>
      <c r="Z539" s="0" t="str">
        <f aca="false">HYPERLINK("https://lindat.mff.cuni.cz/services/SynSemClass55/SynSemClass55.html?veclass=vec00747", "vec00747 / vrhnout se (v41nqnC)")</f>
        <v>vec00747 / vrhnout se (v41nqnC)</v>
      </c>
      <c r="AA539" s="0" t="n">
        <v>0.04128</v>
      </c>
      <c r="AB539" s="5" t="s">
        <v>30</v>
      </c>
      <c r="AE539" s="0" t="str">
        <f aca="false">HYPERLINK("https://lindat.mff.cuni.cz/services/SynSemClass55/SynSemClass55.html?veclass=vec01115", "vec01115 / sklouznout (v41kqyB)")</f>
        <v>vec01115 / sklouznout (v41kqyB)</v>
      </c>
      <c r="AF539" s="0" t="n">
        <v>0.02931</v>
      </c>
      <c r="AG539" s="5" t="s">
        <v>30</v>
      </c>
    </row>
    <row r="541" customFormat="false" ht="12.75" hidden="false" customHeight="false" outlineLevel="0" collapsed="false">
      <c r="A541" s="0" t="str">
        <f aca="false">HYPERLINK("https://lindat.mff.cuni.cz/services/PDT-Vallex4.5/PDT-Vallex4.5.html?verb=vrtat se", "vrtat se")</f>
        <v>vrtat se</v>
      </c>
      <c r="B541" s="0" t="str">
        <f aca="false">HYPERLINK("https://lindat.mff.cuni.cz/services/PDT-Vallex4.5/PDT-Vallex4.5.html?verb=vrtat se#v41nqyB", "v41nqyB")</f>
        <v>v41nqyB</v>
      </c>
      <c r="E541" s="0" t="n">
        <v>284</v>
      </c>
      <c r="F541" s="0" t="n">
        <v>0.07048</v>
      </c>
      <c r="G541" s="1" t="n">
        <v>0</v>
      </c>
      <c r="I541" s="1" t="s">
        <v>189</v>
      </c>
      <c r="K541" s="0" t="str">
        <f aca="false">HYPERLINK("https://lindat.mff.cuni.cz/services/SynSemClass55/SynSemClass55.html?veclass=vec00818", "vec00818 / fušovat (v41askA)")</f>
        <v>vec00818 / fušovat (v41askA)</v>
      </c>
      <c r="L541" s="0" t="n">
        <v>0.07048</v>
      </c>
      <c r="M541" s="5" t="s">
        <v>30</v>
      </c>
      <c r="P541" s="0" t="str">
        <f aca="false">HYPERLINK("https://lindat.mff.cuni.cz/services/SynSemClass55/SynSemClass55.html?veclass=vec00991", "vec00991 / zavrtět (v41qubA)")</f>
        <v>vec00991 / zavrtět (v41qubA)</v>
      </c>
      <c r="Q541" s="0" t="n">
        <v>0.06242</v>
      </c>
      <c r="R541" s="5" t="s">
        <v>30</v>
      </c>
      <c r="U541" s="0" t="str">
        <f aca="false">HYPERLINK("https://lindat.mff.cuni.cz/services/SynSemClass55/SynSemClass55.html?veclass=vec00995", "vec00995 / zmítat (v41rlcA)")</f>
        <v>vec00995 / zmítat (v41rlcA)</v>
      </c>
      <c r="V541" s="0" t="n">
        <v>0.03632</v>
      </c>
      <c r="W541" s="5" t="s">
        <v>30</v>
      </c>
      <c r="Z541" s="0" t="str">
        <f aca="false">HYPERLINK("https://lindat.mff.cuni.cz/services/SynSemClass55/SynSemClass55.html?veclass=vec01216", "vec01216 / hrabat se (v41aygA)")</f>
        <v>vec01216 / hrabat se (v41aygA)</v>
      </c>
      <c r="AA541" s="0" t="n">
        <v>0.03284</v>
      </c>
      <c r="AB541" s="5" t="s">
        <v>30</v>
      </c>
      <c r="AE541" s="0" t="str">
        <f aca="false">HYPERLINK("https://lindat.mff.cuni.cz/services/SynSemClass55/SynSemClass55.html?veclass=vec00055", "vec00055 / oslabit (v41ezlC)")</f>
        <v>vec00055 / oslabit (v41ezlC)</v>
      </c>
      <c r="AF541" s="0" t="n">
        <v>0.02587</v>
      </c>
      <c r="AG541" s="5" t="s">
        <v>30</v>
      </c>
    </row>
    <row r="543" customFormat="false" ht="12.75" hidden="false" customHeight="false" outlineLevel="0" collapsed="false">
      <c r="A543" s="0" t="str">
        <f aca="false">HYPERLINK("https://lindat.mff.cuni.cz/services/PDT-Vallex4.5/PDT-Vallex4.5.html?verb=vřeštět", "vřeštět")</f>
        <v>vřeštět</v>
      </c>
      <c r="B543" s="0" t="str">
        <f aca="false">HYPERLINK("https://lindat.mff.cuni.cz/services/PDT-Vallex4.5/PDT-Vallex4.5.html?verb=vřeštět#v41nrdA", "v41nrdA")</f>
        <v>v41nrdA</v>
      </c>
      <c r="E543" s="0" t="n">
        <v>185</v>
      </c>
      <c r="F543" s="0" t="n">
        <v>0.10266</v>
      </c>
      <c r="G543" s="1" t="s">
        <v>31</v>
      </c>
      <c r="K543" s="0" t="str">
        <f aca="false">HYPERLINK("https://lindat.mff.cuni.cz/services/SynSemClass55/SynSemClass55.html?veclass=vec00426", "vec00426 / křičet (v41bwcA)")</f>
        <v>vec00426 / křičet (v41bwcA)</v>
      </c>
      <c r="L543" s="0" t="n">
        <v>0.10266</v>
      </c>
      <c r="M543" s="5" t="s">
        <v>33</v>
      </c>
      <c r="P543" s="0" t="str">
        <f aca="false">HYPERLINK("https://lindat.mff.cuni.cz/services/SynSemClass55/SynSemClass55.html?veclass=vec01489", "vec01489 / bručet (v41inA)")</f>
        <v>vec01489 / bručet (v41inA)</v>
      </c>
      <c r="Q543" s="0" t="n">
        <v>0.10116</v>
      </c>
      <c r="R543" s="5" t="s">
        <v>30</v>
      </c>
      <c r="U543" s="0" t="str">
        <f aca="false">HYPERLINK("https://lindat.mff.cuni.cz/services/SynSemClass55/SynSemClass55.html?veclass=vec01348", "vec01348 / vrčet (v41nqjC)")</f>
        <v>vec01348 / vrčet (v41nqjC)</v>
      </c>
      <c r="V543" s="0" t="n">
        <v>0.07173</v>
      </c>
      <c r="W543" s="5" t="s">
        <v>30</v>
      </c>
      <c r="Z543" s="0" t="str">
        <f aca="false">HYPERLINK("https://lindat.mff.cuni.cz/services/SynSemClass55/SynSemClass55.html?veclass=vec01196", "vec01196 / zvonit (v41sclA)")</f>
        <v>vec01196 / zvonit (v41sclA)</v>
      </c>
      <c r="AA543" s="0" t="n">
        <v>0.04491</v>
      </c>
      <c r="AB543" s="5" t="s">
        <v>30</v>
      </c>
      <c r="AE543" s="0" t="str">
        <f aca="false">HYPERLINK("https://lindat.mff.cuni.cz/services/SynSemClass55/SynSemClass55.html?veclass=vec01110", "vec01110 / sípat (v41koqA)")</f>
        <v>vec01110 / sípat (v41koqA)</v>
      </c>
      <c r="AF543" s="0" t="n">
        <v>0.04329</v>
      </c>
      <c r="AG543" s="5" t="s">
        <v>30</v>
      </c>
    </row>
    <row r="545" customFormat="false" ht="12.75" hidden="false" customHeight="false" outlineLevel="0" collapsed="false">
      <c r="A545" s="0" t="str">
        <f aca="false">HYPERLINK("https://lindat.mff.cuni.cz/services/PDT-Vallex4.5/PDT-Vallex4.5.html?verb=vsázet se", "vsázet se")</f>
        <v>vsázet se</v>
      </c>
      <c r="B545" s="0" t="str">
        <f aca="false">HYPERLINK("https://lindat.mff.cuni.cz/services/PDT-Vallex4.5/PDT-Vallex4.5.html?verb=vsázet se#v41nrjA", "v41nrjA")</f>
        <v>v41nrjA</v>
      </c>
      <c r="E545" s="0" t="n">
        <v>22</v>
      </c>
      <c r="F545" s="0" t="n">
        <v>0.12715</v>
      </c>
      <c r="G545" s="1" t="s">
        <v>190</v>
      </c>
      <c r="K545" s="0" t="str">
        <f aca="false">HYPERLINK("https://lindat.mff.cuni.cz/services/SynSemClass55/SynSemClass55.html?veclass=vec00112", "vec00112 / sázet (v41kfhE)")</f>
        <v>vec00112 / sázet (v41kfhE)</v>
      </c>
      <c r="L545" s="0" t="n">
        <v>0.12715</v>
      </c>
      <c r="M545" s="5" t="s">
        <v>30</v>
      </c>
      <c r="P545" s="0" t="str">
        <f aca="false">HYPERLINK("https://lindat.mff.cuni.cz/services/SynSemClass55/SynSemClass55.html?veclass=vec00345", "vec00345 / věřit (v41njsD)")</f>
        <v>vec00345 / věřit (v41njsD)</v>
      </c>
      <c r="Q545" s="0" t="n">
        <v>0.11352</v>
      </c>
      <c r="R545" s="5" t="s">
        <v>30</v>
      </c>
      <c r="U545" s="0" t="str">
        <f aca="false">HYPERLINK("https://lindat.mff.cuni.cz/services/SynSemClass55/SynSemClass55.html?veclass=vec00121", "vec00121 / soupeřit (v41kyvA)")</f>
        <v>vec00121 / soupeřit (v41kyvA)</v>
      </c>
      <c r="V545" s="0" t="n">
        <v>0.06998</v>
      </c>
      <c r="W545" s="5" t="s">
        <v>30</v>
      </c>
      <c r="Z545" s="0" t="str">
        <f aca="false">HYPERLINK("https://lindat.mff.cuni.cz/services/SynSemClass55/SynSemClass55.html?veclass=vec00520", "vec00520 / spoléhat (v41ldnA)")</f>
        <v>vec00520 / spoléhat (v41ldnA)</v>
      </c>
      <c r="AA545" s="0" t="n">
        <v>0.0683</v>
      </c>
      <c r="AB545" s="5" t="s">
        <v>30</v>
      </c>
      <c r="AE545" s="0" t="str">
        <f aca="false">HYPERLINK("https://lindat.mff.cuni.cz/services/SynSemClass55/SynSemClass55.html?veclass=vec01500", "vec01500 / obouvat (v41drsA)")</f>
        <v>vec01500 / obouvat (v41drsA)</v>
      </c>
      <c r="AF545" s="0" t="n">
        <v>0.03781</v>
      </c>
      <c r="AG545" s="5" t="s">
        <v>30</v>
      </c>
    </row>
    <row r="547" customFormat="false" ht="12.75" hidden="false" customHeight="false" outlineLevel="0" collapsed="false">
      <c r="A547" s="0" t="str">
        <f aca="false">HYPERLINK("https://lindat.mff.cuni.cz/services/PDT-Vallex4.5/PDT-Vallex4.5.html?verb=vtlačovat", "vtlačovat")</f>
        <v>vtlačovat</v>
      </c>
      <c r="B547" s="0" t="str">
        <f aca="false">HYPERLINK("https://lindat.mff.cuni.cz/services/PDT-Vallex4.5/PDT-Vallex4.5.html?verb=vtlačovat#v41nstA", "v41nstA")</f>
        <v>v41nstA</v>
      </c>
      <c r="E547" s="0" t="n">
        <v>11</v>
      </c>
      <c r="F547" s="0" t="n">
        <v>0.45788</v>
      </c>
      <c r="G547" s="1" t="s">
        <v>31</v>
      </c>
      <c r="K547" s="0" t="str">
        <f aca="false">HYPERLINK("https://lindat.mff.cuni.cz/services/SynSemClass55/SynSemClass55.html?veclass=vec00932", "vec00932 / strčit (v41lmaE)")</f>
        <v>vec00932 / strčit (v41lmaE)</v>
      </c>
      <c r="L547" s="0" t="n">
        <v>0.45788</v>
      </c>
      <c r="M547" s="5" t="s">
        <v>30</v>
      </c>
      <c r="P547" s="0" t="str">
        <f aca="false">HYPERLINK("https://lindat.mff.cuni.cz/services/SynSemClass55/SynSemClass55.html?veclass=vec01971", "vec01971 / zatlačovat (v41qpwA)")</f>
        <v>vec01971 / zatlačovat (v41qpwA)</v>
      </c>
      <c r="Q547" s="0" t="n">
        <v>0.04591</v>
      </c>
      <c r="R547" s="5" t="s">
        <v>30</v>
      </c>
      <c r="U547" s="0" t="str">
        <f aca="false">HYPERLINK("https://lindat.mff.cuni.cz/services/SynSemClass55/SynSemClass55.html?veclass=vec00735", "vec00735 / umístit (v41motA)")</f>
        <v>vec00735 / umístit (v41motA)</v>
      </c>
      <c r="V547" s="0" t="n">
        <v>0.03423</v>
      </c>
      <c r="W547" s="5" t="s">
        <v>33</v>
      </c>
      <c r="Z547" s="0" t="str">
        <f aca="false">HYPERLINK("https://lindat.mff.cuni.cz/services/SynSemClass55/SynSemClass55.html?veclass=vec01403", "vec01403 / kopat (v41bsgD)")</f>
        <v>vec01403 / kopat (v41bsgD)</v>
      </c>
      <c r="AA547" s="0" t="n">
        <v>0.02977</v>
      </c>
      <c r="AB547" s="5" t="s">
        <v>30</v>
      </c>
      <c r="AE547" s="0" t="str">
        <f aca="false">HYPERLINK("https://lindat.mff.cuni.cz/services/SynSemClass55/SynSemClass55.html?veclass=vec01966", "vec01966 / zapustit (v41qiaB)")</f>
        <v>vec01966 / zapustit (v41qiaB)</v>
      </c>
      <c r="AF547" s="0" t="n">
        <v>0.02879</v>
      </c>
      <c r="AG547" s="5" t="s">
        <v>30</v>
      </c>
    </row>
    <row r="549" customFormat="false" ht="12.75" hidden="false" customHeight="false" outlineLevel="0" collapsed="false">
      <c r="A549" s="0" t="str">
        <f aca="false">HYPERLINK("https://lindat.mff.cuni.cz/services/PDT-Vallex4.5/PDT-Vallex4.5.html?verb=vybouchnout", "vybouchnout")</f>
        <v>vybouchnout</v>
      </c>
      <c r="B549" s="0" t="str">
        <f aca="false">HYPERLINK("https://lindat.mff.cuni.cz/services/PDT-Vallex4.5/PDT-Vallex4.5.html?verb=vybouchnout#v41nuiB", "v41nuiB")</f>
        <v>v41nuiB</v>
      </c>
      <c r="E549" s="0" t="n">
        <v>164</v>
      </c>
      <c r="F549" s="0" t="n">
        <v>0.15995</v>
      </c>
      <c r="G549" s="1" t="s">
        <v>31</v>
      </c>
      <c r="K549" s="0" t="str">
        <f aca="false">HYPERLINK("https://lindat.mff.cuni.cz/services/SynSemClass55/SynSemClass55.html?veclass=vec00681", "vec00681 / prasknout (v41gykA)")</f>
        <v>vec00681 / prasknout (v41gykA)</v>
      </c>
      <c r="L549" s="0" t="n">
        <v>0.15995</v>
      </c>
      <c r="M549" s="5" t="s">
        <v>30</v>
      </c>
      <c r="P549" s="0" t="str">
        <f aca="false">HYPERLINK("https://lindat.mff.cuni.cz/services/SynSemClass55/SynSemClass55.html?veclass=vec01587", "vec01587 / omdlít (v41etaA)")</f>
        <v>vec01587 / omdlít (v41etaA)</v>
      </c>
      <c r="Q549" s="0" t="n">
        <v>0.08254</v>
      </c>
      <c r="R549" s="5" t="s">
        <v>30</v>
      </c>
      <c r="U549" s="0" t="str">
        <f aca="false">HYPERLINK("https://lindat.mff.cuni.cz/services/SynSemClass55/SynSemClass55.html?veclass=vec00113", "vec00113 / skončit (v41krfH)")</f>
        <v>vec00113 / skončit (v41krfH)</v>
      </c>
      <c r="V549" s="0" t="n">
        <v>0.05952</v>
      </c>
      <c r="W549" s="5" t="s">
        <v>30</v>
      </c>
      <c r="Z549" s="0" t="str">
        <f aca="false">HYPERLINK("https://lindat.mff.cuni.cz/services/SynSemClass55/SynSemClass55.html?veclass=vec01348", "vec01348 / vrčet (v41nqjC)")</f>
        <v>vec01348 / vrčet (v41nqjC)</v>
      </c>
      <c r="AA549" s="0" t="n">
        <v>0.05074</v>
      </c>
      <c r="AB549" s="5" t="s">
        <v>30</v>
      </c>
      <c r="AE549" s="0" t="str">
        <f aca="false">HYPERLINK("https://lindat.mff.cuni.cz/services/SynSemClass55/SynSemClass55.html?veclass=vec00018", "vec00018 / explodovat (v41aonA)")</f>
        <v>vec00018 / explodovat (v41aonA)</v>
      </c>
      <c r="AF549" s="0" t="n">
        <v>0.05003</v>
      </c>
      <c r="AG549" s="5" t="s">
        <v>33</v>
      </c>
    </row>
    <row r="551" customFormat="false" ht="12.75" hidden="false" customHeight="false" outlineLevel="0" collapsed="false">
      <c r="A551" s="0" t="str">
        <f aca="false">HYPERLINK("https://lindat.mff.cuni.cz/services/PDT-Vallex4.5/PDT-Vallex4.5.html?verb=vyboulit se", "vyboulit se")</f>
        <v>vyboulit se</v>
      </c>
      <c r="B551" s="0" t="str">
        <f aca="false">HYPERLINK("https://lindat.mff.cuni.cz/services/PDT-Vallex4.5/PDT-Vallex4.5.html?verb=vyboulit se#v41nujA", "v41nujA")</f>
        <v>v41nujA</v>
      </c>
      <c r="E551" s="0" t="n">
        <v>35</v>
      </c>
      <c r="F551" s="0" t="n">
        <v>0.11332</v>
      </c>
      <c r="G551" s="1" t="s">
        <v>191</v>
      </c>
      <c r="I551" s="1" t="s">
        <v>192</v>
      </c>
      <c r="K551" s="0" t="str">
        <f aca="false">HYPERLINK("https://lindat.mff.cuni.cz/services/SynSemClass55/SynSemClass55.html?veclass=vec00681", "vec00681 / prasknout (v41gykA)")</f>
        <v>vec00681 / prasknout (v41gykA)</v>
      </c>
      <c r="L551" s="0" t="n">
        <v>0.11332</v>
      </c>
      <c r="M551" s="5" t="s">
        <v>30</v>
      </c>
      <c r="P551" s="0" t="str">
        <f aca="false">HYPERLINK("https://lindat.mff.cuni.cz/services/SynSemClass55/SynSemClass55.html?veclass=vec00993", "vec00993 / zkroutit se (v41rhjA)")</f>
        <v>vec00993 / zkroutit se (v41rhjA)</v>
      </c>
      <c r="Q551" s="0" t="n">
        <v>0.10057</v>
      </c>
      <c r="R551" s="5" t="s">
        <v>30</v>
      </c>
      <c r="U551" s="0" t="str">
        <f aca="false">HYPERLINK("https://lindat.mff.cuni.cz/services/SynSemClass55/SynSemClass55.html?veclass=vec01517", "vec01517 / rozhořet se (v41jquA)")</f>
        <v>vec01517 / rozhořet se (v41jquA)</v>
      </c>
      <c r="V551" s="0" t="n">
        <v>0.05319</v>
      </c>
      <c r="W551" s="5" t="s">
        <v>30</v>
      </c>
      <c r="Z551" s="0" t="str">
        <f aca="false">HYPERLINK("https://lindat.mff.cuni.cz/services/SynSemClass55/SynSemClass55.html?veclass=vec00949", "vec00949 / valit se (v41nghA)")</f>
        <v>vec00949 / valit se (v41nghA)</v>
      </c>
      <c r="AA551" s="0" t="n">
        <v>0.0423</v>
      </c>
      <c r="AB551" s="5" t="s">
        <v>30</v>
      </c>
      <c r="AE551" s="0" t="str">
        <f aca="false">HYPERLINK("https://lindat.mff.cuni.cz/services/SynSemClass55/SynSemClass55.html?veclass=vec01219", "vec01219 / klouzat (v41bmaA)")</f>
        <v>vec01219 / klouzat (v41bmaA)</v>
      </c>
      <c r="AF551" s="0" t="n">
        <v>0.04177</v>
      </c>
      <c r="AG551" s="5" t="s">
        <v>30</v>
      </c>
    </row>
    <row r="553" customFormat="false" ht="12.75" hidden="false" customHeight="false" outlineLevel="0" collapsed="false">
      <c r="A553" s="0" t="str">
        <f aca="false">HYPERLINK("https://lindat.mff.cuni.cz/services/PDT-Vallex4.5/PDT-Vallex4.5.html?verb=vycouvat", "vycouvat")</f>
        <v>vycouvat</v>
      </c>
      <c r="B553" s="0" t="str">
        <f aca="false">HYPERLINK("https://lindat.mff.cuni.cz/services/PDT-Vallex4.5/PDT-Vallex4.5.html?verb=vycouvat#v41nvkB", "v41nvkB")</f>
        <v>v41nvkB</v>
      </c>
      <c r="E553" s="0" t="n">
        <v>339</v>
      </c>
      <c r="F553" s="0" t="n">
        <v>0.16835</v>
      </c>
      <c r="G553" s="1" t="n">
        <v>0</v>
      </c>
      <c r="I553" s="1" t="s">
        <v>193</v>
      </c>
      <c r="K553" s="0" t="str">
        <f aca="false">HYPERLINK("https://lindat.mff.cuni.cz/services/SynSemClass55/SynSemClass55.html?veclass=vec00048", "vec00048 / odejít (v41dyrA)")</f>
        <v>vec00048 / odejít (v41dyrA)</v>
      </c>
      <c r="L553" s="0" t="n">
        <v>0.16835</v>
      </c>
      <c r="M553" s="5" t="s">
        <v>30</v>
      </c>
      <c r="P553" s="0" t="str">
        <f aca="false">HYPERLINK("https://lindat.mff.cuni.cz/services/SynSemClass55/SynSemClass55.html?veclass=vec00665", "vec00665 / plazit se (v41fnbA)")</f>
        <v>vec00665 / plazit se (v41fnbA)</v>
      </c>
      <c r="Q553" s="0" t="n">
        <v>0.08682</v>
      </c>
      <c r="R553" s="5" t="s">
        <v>30</v>
      </c>
      <c r="U553" s="0" t="str">
        <f aca="false">HYPERLINK("https://lindat.mff.cuni.cz/services/SynSemClass55/SynSemClass55.html?veclass=vec00811", "vec00811 / dostat se (v41afyG)")</f>
        <v>vec00811 / dostat se (v41afyG)</v>
      </c>
      <c r="V553" s="0" t="n">
        <v>0.07848</v>
      </c>
      <c r="W553" s="5" t="s">
        <v>30</v>
      </c>
      <c r="Z553" s="0" t="str">
        <f aca="false">HYPERLINK("https://lindat.mff.cuni.cz/services/SynSemClass55/SynSemClass55.html?veclass=vec01465", "vec01465 / vykroutit se (v41oguA)")</f>
        <v>vec01465 / vykroutit se (v41oguA)</v>
      </c>
      <c r="AA553" s="0" t="n">
        <v>0.07654</v>
      </c>
      <c r="AB553" s="5" t="s">
        <v>30</v>
      </c>
      <c r="AE553" s="0" t="str">
        <f aca="false">HYPERLINK("https://lindat.mff.cuni.cz/services/SynSemClass55/SynSemClass55.html?veclass=vec01938", "vec01938 / vyhřeznout (v41obsA)")</f>
        <v>vec01938 / vyhřeznout (v41obsA)</v>
      </c>
      <c r="AF553" s="0" t="n">
        <v>0.05891</v>
      </c>
      <c r="AG553" s="5" t="s">
        <v>30</v>
      </c>
    </row>
    <row r="555" customFormat="false" ht="12.75" hidden="false" customHeight="false" outlineLevel="0" collapsed="false">
      <c r="A555" s="0" t="str">
        <f aca="false">HYPERLINK("https://lindat.mff.cuni.cz/services/PDT-Vallex4.5/PDT-Vallex4.5.html?verb=vycucat si", "vycucat si")</f>
        <v>vycucat si</v>
      </c>
      <c r="B555" s="0" t="str">
        <f aca="false">HYPERLINK("https://lindat.mff.cuni.cz/services/PDT-Vallex4.5/PDT-Vallex4.5.html?verb=vycucat si#v41nvmA", "v41nvmA")</f>
        <v>v41nvmA</v>
      </c>
      <c r="E555" s="0" t="n">
        <v>43</v>
      </c>
      <c r="F555" s="0" t="n">
        <v>0.46277</v>
      </c>
      <c r="G555" s="1" t="s">
        <v>194</v>
      </c>
      <c r="K555" s="0" t="str">
        <f aca="false">HYPERLINK("https://lindat.mff.cuni.cz/services/SynSemClass55/SynSemClass55.html?veclass=vec00648", "vec00648 / odebrat (v41dygC)")</f>
        <v>vec00648 / odebrat (v41dygC)</v>
      </c>
      <c r="L555" s="0" t="n">
        <v>0.46277</v>
      </c>
      <c r="M555" s="5" t="s">
        <v>30</v>
      </c>
      <c r="P555" s="0" t="str">
        <f aca="false">HYPERLINK("https://lindat.mff.cuni.cz/services/SynSemClass55/SynSemClass55.html?veclass=vec01538", "vec01538 / vyloupnout (v41ojcA)")</f>
        <v>vec01538 / vyloupnout (v41ojcA)</v>
      </c>
      <c r="Q555" s="0" t="n">
        <v>0.08312</v>
      </c>
      <c r="R555" s="5" t="s">
        <v>30</v>
      </c>
      <c r="U555" s="0" t="str">
        <f aca="false">HYPERLINK("https://lindat.mff.cuni.cz/services/SynSemClass55/SynSemClass55.html?veclass=vec00816", "vec00816 / extrahovat (v41aowA)")</f>
        <v>vec00816 / extrahovat (v41aowA)</v>
      </c>
      <c r="V555" s="0" t="n">
        <v>0.06908</v>
      </c>
      <c r="W555" s="5" t="s">
        <v>30</v>
      </c>
      <c r="Z555" s="0" t="str">
        <f aca="false">HYPERLINK("https://lindat.mff.cuni.cz/services/SynSemClass55/SynSemClass55.html?veclass=vec00764", "vec00764 / vytrhnout (v41pdrB)")</f>
        <v>vec00764 / vytrhnout (v41pdrB)</v>
      </c>
      <c r="AA555" s="0" t="n">
        <v>0.0494</v>
      </c>
      <c r="AB555" s="5" t="s">
        <v>30</v>
      </c>
      <c r="AE555" s="0" t="str">
        <f aca="false">HYPERLINK("https://lindat.mff.cuni.cz/services/SynSemClass55/SynSemClass55.html?veclass=vec00196", "vec00196 / způsobit (v41rvuB)")</f>
        <v>vec00196 / způsobit (v41rvuB)</v>
      </c>
      <c r="AF555" s="0" t="n">
        <v>0.03393</v>
      </c>
      <c r="AG555" s="5" t="s">
        <v>30</v>
      </c>
    </row>
    <row r="557" customFormat="false" ht="12.75" hidden="false" customHeight="false" outlineLevel="0" collapsed="false">
      <c r="A557" s="0" t="str">
        <f aca="false">HYPERLINK("https://lindat.mff.cuni.cz/services/PDT-Vallex4.5/PDT-Vallex4.5.html?verb=vyčkávat", "vyčkávat")</f>
        <v>vyčkávat</v>
      </c>
      <c r="B557" s="0" t="str">
        <f aca="false">HYPERLINK("https://lindat.mff.cuni.cz/services/PDT-Vallex4.5/PDT-Vallex4.5.html?verb=vyčkávat#v41nwiA", "v41nwiA")</f>
        <v>v41nwiA</v>
      </c>
      <c r="E557" s="0" t="n">
        <v>644</v>
      </c>
      <c r="F557" s="0" t="n">
        <v>0.97703</v>
      </c>
      <c r="G557" s="1" t="s">
        <v>195</v>
      </c>
      <c r="K557" s="0" t="str">
        <f aca="false">HYPERLINK("https://lindat.mff.cuni.cz/services/SynSemClass55/SynSemClass55.html?veclass=vec00003", "vec00003 / čekat (v41mtF)")</f>
        <v>vec00003 / čekat (v41mtF)</v>
      </c>
      <c r="L557" s="0" t="n">
        <v>0.97703</v>
      </c>
      <c r="M557" s="5" t="s">
        <v>30</v>
      </c>
      <c r="P557" s="0" t="str">
        <f aca="false">HYPERLINK("https://lindat.mff.cuni.cz/services/SynSemClass55/SynSemClass55.html?veclass=vec01490", "vec01490 / dotvořit (v41ahrA)")</f>
        <v>vec01490 / dotvořit (v41ahrA)</v>
      </c>
      <c r="Q557" s="0" t="n">
        <v>0.0197</v>
      </c>
      <c r="R557" s="5" t="s">
        <v>30</v>
      </c>
      <c r="U557" s="0" t="str">
        <f aca="false">HYPERLINK("https://lindat.mff.cuni.cz/services/SynSemClass55/SynSemClass55.html?veclass=vec00199", "vec00199 / zůstat (v41sadA)")</f>
        <v>vec00199 / zůstat (v41sadA)</v>
      </c>
      <c r="V557" s="0" t="n">
        <v>0.01478</v>
      </c>
      <c r="W557" s="5" t="s">
        <v>30</v>
      </c>
      <c r="Z557" s="0" t="str">
        <f aca="false">HYPERLINK("https://lindat.mff.cuni.cz/services/SynSemClass55/SynSemClass55.html?veclass=vec00014", "vec00014 / držet (v41alcD)")</f>
        <v>vec00014 / držet (v41alcD)</v>
      </c>
      <c r="AA557" s="0" t="n">
        <v>0.01123</v>
      </c>
      <c r="AB557" s="5" t="s">
        <v>30</v>
      </c>
      <c r="AE557" s="0" t="str">
        <f aca="false">HYPERLINK("https://lindat.mff.cuni.cz/services/SynSemClass55/SynSemClass55.html?veclass=vec00499", "vec00499 / přidat (v41ipvA)")</f>
        <v>vec00499 / přidat (v41ipvA)</v>
      </c>
      <c r="AF557" s="0" t="n">
        <v>0.01007</v>
      </c>
      <c r="AG557" s="5" t="s">
        <v>30</v>
      </c>
    </row>
    <row r="559" customFormat="false" ht="12.75" hidden="false" customHeight="false" outlineLevel="0" collapsed="false">
      <c r="A559" s="0" t="str">
        <f aca="false">HYPERLINK("https://lindat.mff.cuni.cz/services/PDT-Vallex4.5/PDT-Vallex4.5.html?verb=vyfasovat", "vyfasovat")</f>
        <v>vyfasovat</v>
      </c>
      <c r="B559" s="0" t="str">
        <f aca="false">HYPERLINK("https://lindat.mff.cuni.cz/services/PDT-Vallex4.5/PDT-Vallex4.5.html?verb=vyfasovat#v41nyhA", "v41nyhA")</f>
        <v>v41nyhA</v>
      </c>
      <c r="E559" s="0" t="n">
        <v>116</v>
      </c>
      <c r="F559" s="0" t="n">
        <v>0.55365</v>
      </c>
      <c r="G559" s="1" t="n">
        <v>0</v>
      </c>
      <c r="I559" s="1" t="s">
        <v>196</v>
      </c>
      <c r="K559" s="0" t="str">
        <f aca="false">HYPERLINK("https://lindat.mff.cuni.cz/services/SynSemClass55/SynSemClass55.html?veclass=vec01491", "vec01491 / fasovat (v41appA)")</f>
        <v>vec01491 / fasovat (v41appA)</v>
      </c>
      <c r="L559" s="0" t="n">
        <v>0.55365</v>
      </c>
      <c r="M559" s="5" t="s">
        <v>30</v>
      </c>
      <c r="P559" s="0" t="str">
        <f aca="false">HYPERLINK("https://lindat.mff.cuni.cz/services/SynSemClass55/SynSemClass55.html?veclass=vec00189", "vec00189 / získat (v41reiA)")</f>
        <v>vec00189 / získat (v41reiA)</v>
      </c>
      <c r="Q559" s="0" t="n">
        <v>0.34138</v>
      </c>
      <c r="R559" s="5" t="s">
        <v>30</v>
      </c>
      <c r="U559" s="0" t="str">
        <f aca="false">HYPERLINK("https://lindat.mff.cuni.cz/services/SynSemClass55/SynSemClass55.html?veclass=vec00708", "vec00708 / shrábnout (v41kmvA)")</f>
        <v>vec00708 / shrábnout (v41kmvA)</v>
      </c>
      <c r="V559" s="0" t="n">
        <v>0.05436</v>
      </c>
      <c r="W559" s="5" t="s">
        <v>30</v>
      </c>
      <c r="Z559" s="0" t="str">
        <f aca="false">HYPERLINK("https://lindat.mff.cuni.cz/services/SynSemClass55/SynSemClass55.html?veclass=vec00586", "vec00586 / získat (v41reiE)")</f>
        <v>vec00586 / získat (v41reiE)</v>
      </c>
      <c r="AA559" s="0" t="n">
        <v>0.03474</v>
      </c>
      <c r="AB559" s="5" t="s">
        <v>30</v>
      </c>
      <c r="AE559" s="0" t="str">
        <f aca="false">HYPERLINK("https://lindat.mff.cuni.cz/services/SynSemClass55/SynSemClass55.html?veclass=vec00648", "vec00648 / odebrat (v41dygC)")</f>
        <v>vec00648 / odebrat (v41dygC)</v>
      </c>
      <c r="AF559" s="0" t="n">
        <v>0.02484</v>
      </c>
      <c r="AG559" s="5" t="s">
        <v>30</v>
      </c>
    </row>
    <row r="561" customFormat="false" ht="12.75" hidden="false" customHeight="false" outlineLevel="0" collapsed="false">
      <c r="A561" s="0" t="str">
        <f aca="false">HYPERLINK("https://lindat.mff.cuni.cz/services/PDT-Vallex4.5/PDT-Vallex4.5.html?verb=vyhladovět", "vyhladovět")</f>
        <v>vyhladovět</v>
      </c>
      <c r="B561" s="0" t="str">
        <f aca="false">HYPERLINK("https://lindat.mff.cuni.cz/services/PDT-Vallex4.5/PDT-Vallex4.5.html?verb=vyhladovět#v41nzaB", "v41nzaB")</f>
        <v>v41nzaB</v>
      </c>
      <c r="E561" s="0" t="n">
        <v>46</v>
      </c>
      <c r="F561" s="0" t="n">
        <v>0.05307</v>
      </c>
      <c r="G561" s="1" t="s">
        <v>197</v>
      </c>
      <c r="I561" s="1" t="s">
        <v>198</v>
      </c>
      <c r="K561" s="0" t="str">
        <f aca="false">HYPERLINK("https://lindat.mff.cuni.cz/services/SynSemClass55/SynSemClass55.html?veclass=vec00233", "vec00233 / najít (v41croB)")</f>
        <v>vec00233 / najít (v41croB)</v>
      </c>
      <c r="L561" s="0" t="n">
        <v>0.05307</v>
      </c>
      <c r="M561" s="5" t="s">
        <v>30</v>
      </c>
      <c r="P561" s="0" t="str">
        <f aca="false">HYPERLINK("https://lindat.mff.cuni.cz/services/SynSemClass55/SynSemClass55.html?veclass=vec00185", "vec00185 / zatknout (v41qpuA)")</f>
        <v>vec00185 / zatknout (v41qpuA)</v>
      </c>
      <c r="Q561" s="0" t="n">
        <v>0.05278</v>
      </c>
      <c r="R561" s="5" t="s">
        <v>30</v>
      </c>
      <c r="U561" s="0" t="str">
        <f aca="false">HYPERLINK("https://lindat.mff.cuni.cz/services/SynSemClass55/SynSemClass55.html?veclass=vec01105", "vec01105 / rýžovat (v41kdgB)")</f>
        <v>vec01105 / rýžovat (v41kdgB)</v>
      </c>
      <c r="V561" s="0" t="n">
        <v>0.05033</v>
      </c>
      <c r="W561" s="5" t="s">
        <v>30</v>
      </c>
      <c r="Z561" s="0" t="str">
        <f aca="false">HYPERLINK("https://lindat.mff.cuni.cz/services/SynSemClass55/SynSemClass55.html?veclass=vec00657", "vec00657 / okrást (v41eskA)")</f>
        <v>vec00657 / okrást (v41eskA)</v>
      </c>
      <c r="AA561" s="0" t="n">
        <v>0.04759</v>
      </c>
      <c r="AB561" s="5" t="s">
        <v>30</v>
      </c>
      <c r="AE561" s="0" t="str">
        <f aca="false">HYPERLINK("https://lindat.mff.cuni.cz/services/SynSemClass55/SynSemClass55.html?veclass=vec01727", "vec01727 / clít (v41lnA)")</f>
        <v>vec01727 / clít (v41lnA)</v>
      </c>
      <c r="AF561" s="0" t="n">
        <v>0.03248</v>
      </c>
      <c r="AG561" s="5" t="s">
        <v>30</v>
      </c>
    </row>
    <row r="563" customFormat="false" ht="12.75" hidden="false" customHeight="false" outlineLevel="0" collapsed="false">
      <c r="A563" s="0" t="str">
        <f aca="false">HYPERLINK("https://lindat.mff.cuni.cz/services/PDT-Vallex4.5/PDT-Vallex4.5.html?verb=vyhrknout", "vyhrknout")</f>
        <v>vyhrknout</v>
      </c>
      <c r="B563" s="0" t="str">
        <f aca="false">HYPERLINK("https://lindat.mff.cuni.cz/services/PDT-Vallex4.5/PDT-Vallex4.5.html?verb=vyhrknout#v41obgB", "v41obgB")</f>
        <v>v41obgB</v>
      </c>
      <c r="E563" s="0" t="n">
        <v>1714</v>
      </c>
      <c r="F563" s="0" t="n">
        <v>0.26041</v>
      </c>
      <c r="G563" s="1" t="s">
        <v>199</v>
      </c>
      <c r="K563" s="0" t="str">
        <f aca="false">HYPERLINK("https://lindat.mff.cuni.cz/services/SynSemClass55/SynSemClass55.html?veclass=vec01060", "vec01060 / odseknout (v41eizA)")</f>
        <v>vec01060 / odseknout (v41eizA)</v>
      </c>
      <c r="L563" s="0" t="n">
        <v>0.26041</v>
      </c>
      <c r="M563" s="5" t="s">
        <v>30</v>
      </c>
      <c r="P563" s="0" t="str">
        <f aca="false">HYPERLINK("https://lindat.mff.cuni.cz/services/SynSemClass55/SynSemClass55.html?veclass=vec01945", "vec01945 / vyrukovat (v41ouhA)")</f>
        <v>vec01945 / vyrukovat (v41ouhA)</v>
      </c>
      <c r="Q563" s="0" t="n">
        <v>0.20947</v>
      </c>
      <c r="R563" s="5" t="s">
        <v>30</v>
      </c>
      <c r="U563" s="0" t="str">
        <f aca="false">HYPERLINK("https://lindat.mff.cuni.cz/services/SynSemClass55/SynSemClass55.html?veclass=vec01056", "vec01056 / odfrknout si (v41dznA)")</f>
        <v>vec01056 / odfrknout si (v41dznA)</v>
      </c>
      <c r="V563" s="0" t="n">
        <v>0.14877</v>
      </c>
      <c r="W563" s="5" t="s">
        <v>30</v>
      </c>
      <c r="Z563" s="0" t="str">
        <f aca="false">HYPERLINK("https://lindat.mff.cuni.cz/services/SynSemClass55/SynSemClass55.html?veclass=vec01009", "vec01009 / citovat (v41lgA)")</f>
        <v>vec01009 / citovat (v41lgA)</v>
      </c>
      <c r="AA563" s="0" t="n">
        <v>0.07951</v>
      </c>
      <c r="AB563" s="5" t="s">
        <v>30</v>
      </c>
      <c r="AE563" s="0" t="str">
        <f aca="false">HYPERLINK("https://lindat.mff.cuni.cz/services/SynSemClass55/SynSemClass55.html?veclass=vec00426", "vec00426 / křičet (v41bwcA)")</f>
        <v>vec00426 / křičet (v41bwcA)</v>
      </c>
      <c r="AF563" s="0" t="n">
        <v>0.06641</v>
      </c>
      <c r="AG563" s="5" t="s">
        <v>30</v>
      </c>
    </row>
    <row r="565" customFormat="false" ht="12.75" hidden="false" customHeight="false" outlineLevel="0" collapsed="false">
      <c r="A565" s="0" t="str">
        <f aca="false">HYPERLINK("https://lindat.mff.cuni.cz/services/PDT-Vallex4.5/PDT-Vallex4.5.html?verb=vyjevit se", "vyjevit se")</f>
        <v>vyjevit se</v>
      </c>
      <c r="B565" s="0" t="str">
        <f aca="false">HYPERLINK("https://lindat.mff.cuni.cz/services/PDT-Vallex4.5/PDT-Vallex4.5.html?verb=vyjevit se#v41odrA", "v41odrA")</f>
        <v>v41odrA</v>
      </c>
      <c r="E565" s="0" t="n">
        <v>137</v>
      </c>
      <c r="F565" s="0" t="n">
        <v>0.2338</v>
      </c>
      <c r="G565" s="1" t="s">
        <v>200</v>
      </c>
      <c r="K565" s="0" t="str">
        <f aca="false">HYPERLINK("https://lindat.mff.cuni.cz/services/SynSemClass55/SynSemClass55.html?veclass=vec00086", "vec00086 / projevit se (v41hfeC)")</f>
        <v>vec00086 / projevit se (v41hfeC)</v>
      </c>
      <c r="L565" s="0" t="n">
        <v>0.2338</v>
      </c>
      <c r="M565" s="5" t="s">
        <v>30</v>
      </c>
      <c r="P565" s="0" t="str">
        <f aca="false">HYPERLINK("https://lindat.mff.cuni.cz/services/SynSemClass55/SynSemClass55.html?veclass=vec00060", "vec00060 / oznámit (v41fgeD)")</f>
        <v>vec00060 / oznámit (v41fgeD)</v>
      </c>
      <c r="Q565" s="0" t="n">
        <v>0.09099</v>
      </c>
      <c r="R565" s="5" t="s">
        <v>30</v>
      </c>
      <c r="U565" s="0" t="str">
        <f aca="false">HYPERLINK("https://lindat.mff.cuni.cz/services/SynSemClass55/SynSemClass55.html?veclass=vec00330", "vec00330 / ukázat (v41mlkB)")</f>
        <v>vec00330 / ukázat (v41mlkB)</v>
      </c>
      <c r="V565" s="0" t="n">
        <v>0.05246</v>
      </c>
      <c r="W565" s="5" t="s">
        <v>30</v>
      </c>
      <c r="Z565" s="0" t="str">
        <f aca="false">HYPERLINK("https://lindat.mff.cuni.cz/services/SynSemClass55/SynSemClass55.html?veclass=vec00245", "vec00245 / objevit se (v41dpuA)")</f>
        <v>vec00245 / objevit se (v41dpuA)</v>
      </c>
      <c r="AA565" s="0" t="n">
        <v>0.05142</v>
      </c>
      <c r="AB565" s="5" t="s">
        <v>30</v>
      </c>
      <c r="AE565" s="0" t="str">
        <f aca="false">HYPERLINK("https://lindat.mff.cuni.cz/services/SynSemClass55/SynSemClass55.html?veclass=vec01466", "vec01466 / vylévat si (v41oicA)")</f>
        <v>vec01466 / vylévat si (v41oicA)</v>
      </c>
      <c r="AF565" s="0" t="n">
        <v>0.04519</v>
      </c>
      <c r="AG565" s="5" t="s">
        <v>30</v>
      </c>
    </row>
    <row r="567" customFormat="false" ht="12.75" hidden="false" customHeight="false" outlineLevel="0" collapsed="false">
      <c r="A567" s="0" t="str">
        <f aca="false">HYPERLINK("https://lindat.mff.cuni.cz/services/PDT-Vallex4.5/PDT-Vallex4.5.html?verb=vykreslit", "vykreslit")</f>
        <v>vykreslit</v>
      </c>
      <c r="B567" s="0" t="str">
        <f aca="false">HYPERLINK("https://lindat.mff.cuni.cz/services/PDT-Vallex4.5/PDT-Vallex4.5.html?verb=vykreslit#v41ognB", "v41ognB")</f>
        <v>v41ognB</v>
      </c>
      <c r="E567" s="0" t="n">
        <v>116</v>
      </c>
      <c r="F567" s="0" t="n">
        <v>0.28791</v>
      </c>
      <c r="G567" s="1" t="s">
        <v>31</v>
      </c>
      <c r="K567" s="0" t="str">
        <f aca="false">HYPERLINK("https://lindat.mff.cuni.cz/services/SynSemClass55/SynSemClass55.html?veclass=vec00638", "vec00638 / namalovat (v41cutB)")</f>
        <v>vec00638 / namalovat (v41cutB)</v>
      </c>
      <c r="L567" s="0" t="n">
        <v>0.28791</v>
      </c>
      <c r="M567" s="5" t="s">
        <v>34</v>
      </c>
      <c r="P567" s="0" t="str">
        <f aca="false">HYPERLINK("https://lindat.mff.cuni.cz/services/SynSemClass55/SynSemClass55.html?veclass=vec00417", "vec00417 / charakterizovat (v41barA)")</f>
        <v>vec00417 / charakterizovat (v41barA)</v>
      </c>
      <c r="Q567" s="0" t="n">
        <v>0.18036</v>
      </c>
      <c r="R567" s="5" t="s">
        <v>30</v>
      </c>
      <c r="U567" s="0" t="str">
        <f aca="false">HYPERLINK("https://lindat.mff.cuni.cz/services/SynSemClass55/SynSemClass55.html?veclass=vec01496", "vec01496 / načrtávat (v41cneA)")</f>
        <v>vec01496 / načrtávat (v41cneA)</v>
      </c>
      <c r="V567" s="0" t="n">
        <v>0.07927</v>
      </c>
      <c r="W567" s="5" t="s">
        <v>30</v>
      </c>
      <c r="Z567" s="0" t="str">
        <f aca="false">HYPERLINK("https://lindat.mff.cuni.cz/services/SynSemClass55/SynSemClass55.html?veclass=vec00141", "vec00141 / ukazovat (v41mlqF)")</f>
        <v>vec00141 / ukazovat (v41mlqF)</v>
      </c>
      <c r="AA567" s="0" t="n">
        <v>0.03964</v>
      </c>
      <c r="AB567" s="5" t="s">
        <v>30</v>
      </c>
      <c r="AE567" s="0" t="str">
        <f aca="false">HYPERLINK("https://lindat.mff.cuni.cz/services/SynSemClass55/SynSemClass55.html?veclass=vec00402", "vec00402 / brát (v41hsE)")</f>
        <v>vec00402 / brát (v41hsE)</v>
      </c>
      <c r="AF567" s="0" t="n">
        <v>0.03461</v>
      </c>
      <c r="AG567" s="5" t="s">
        <v>30</v>
      </c>
    </row>
    <row r="569" customFormat="false" ht="12.75" hidden="false" customHeight="false" outlineLevel="0" collapsed="false">
      <c r="A569" s="0" t="str">
        <f aca="false">HYPERLINK("https://lindat.mff.cuni.cz/services/PDT-Vallex4.5/PDT-Vallex4.5.html?verb=vykulminovat", "vykulminovat")</f>
        <v>vykulminovat</v>
      </c>
      <c r="B569" s="0" t="str">
        <f aca="false">HYPERLINK("https://lindat.mff.cuni.cz/services/PDT-Vallex4.5/PDT-Vallex4.5.html?verb=vykulminovat#v41ohcA", "v41ohcA")</f>
        <v>v41ohcA</v>
      </c>
      <c r="E569" s="0" t="n">
        <v>1</v>
      </c>
      <c r="F569" s="0" t="n">
        <v>0.21271</v>
      </c>
      <c r="G569" s="1" t="s">
        <v>201</v>
      </c>
      <c r="K569" s="0" t="str">
        <f aca="false">HYPERLINK("https://lindat.mff.cuni.cz/services/SynSemClass55/SynSemClass55.html?veclass=vec01634", "vec01634 / zmítat se (v41rldA)")</f>
        <v>vec01634 / zmítat se (v41rldA)</v>
      </c>
      <c r="L569" s="0" t="n">
        <v>0.21271</v>
      </c>
      <c r="M569" s="5" t="s">
        <v>30</v>
      </c>
      <c r="P569" s="0" t="str">
        <f aca="false">HYPERLINK("https://lindat.mff.cuni.cz/services/SynSemClass55/SynSemClass55.html?veclass=vec01219", "vec01219 / klouzat (v41bmaA)")</f>
        <v>vec01219 / klouzat (v41bmaA)</v>
      </c>
      <c r="Q569" s="0" t="n">
        <v>0.09143</v>
      </c>
      <c r="R569" s="5" t="s">
        <v>30</v>
      </c>
      <c r="U569" s="0" t="str">
        <f aca="false">HYPERLINK("https://lindat.mff.cuni.cz/services/SynSemClass55/SynSemClass55.html?veclass=vec01336", "vec01336 / tyčit se (v41meuA)")</f>
        <v>vec01336 / tyčit se (v41meuA)</v>
      </c>
      <c r="V569" s="0" t="n">
        <v>0.09141</v>
      </c>
      <c r="W569" s="5" t="s">
        <v>30</v>
      </c>
      <c r="Z569" s="0" t="str">
        <f aca="false">HYPERLINK("https://lindat.mff.cuni.cz/services/SynSemClass55/SynSemClass55.html?veclass=vec01714", "vec01714 / zkřivit (v41rhlA)")</f>
        <v>vec01714 / zkřivit (v41rhlA)</v>
      </c>
      <c r="AA569" s="0" t="n">
        <v>0.07413</v>
      </c>
      <c r="AB569" s="5" t="s">
        <v>30</v>
      </c>
      <c r="AE569" s="0" t="str">
        <f aca="false">HYPERLINK("https://lindat.mff.cuni.cz/services/SynSemClass55/SynSemClass55.html?veclass=vec01608", "vec01608 / sypat se (v41lsaA)")</f>
        <v>vec01608 / sypat se (v41lsaA)</v>
      </c>
      <c r="AF569" s="0" t="n">
        <v>0.05878</v>
      </c>
      <c r="AG569" s="5" t="s">
        <v>30</v>
      </c>
    </row>
    <row r="571" customFormat="false" ht="12.75" hidden="false" customHeight="false" outlineLevel="0" collapsed="false">
      <c r="A571" s="0" t="str">
        <f aca="false">HYPERLINK("https://lindat.mff.cuni.cz/services/PDT-Vallex4.5/PDT-Vallex4.5.html?verb=vykvasit", "vykvasit")</f>
        <v>vykvasit</v>
      </c>
      <c r="B571" s="0" t="str">
        <f aca="false">HYPERLINK("https://lindat.mff.cuni.cz/services/PDT-Vallex4.5/PDT-Vallex4.5.html?verb=vykvasit#v41ohgA", "v41ohgA")</f>
        <v>v41ohgA</v>
      </c>
      <c r="E571" s="0" t="n">
        <v>6</v>
      </c>
      <c r="F571" s="0" t="n">
        <v>0.20182</v>
      </c>
      <c r="G571" s="1" t="s">
        <v>202</v>
      </c>
      <c r="K571" s="0" t="str">
        <f aca="false">HYPERLINK("https://lindat.mff.cuni.cz/services/SynSemClass55/SynSemClass55.html?veclass=vec01018", "vec01018 / dozrávat (v41ajrA)")</f>
        <v>vec01018 / dozrávat (v41ajrA)</v>
      </c>
      <c r="L571" s="0" t="n">
        <v>0.20182</v>
      </c>
      <c r="M571" s="5" t="s">
        <v>30</v>
      </c>
      <c r="P571" s="0" t="str">
        <f aca="false">HYPERLINK("https://lindat.mff.cuni.cz/services/SynSemClass55/SynSemClass55.html?veclass=vec01103", "vec01103 / roztavit se (v41jztA)")</f>
        <v>vec01103 / roztavit se (v41jztA)</v>
      </c>
      <c r="Q571" s="0" t="n">
        <v>0.10751</v>
      </c>
      <c r="R571" s="5" t="s">
        <v>30</v>
      </c>
      <c r="U571" s="0" t="str">
        <f aca="false">HYPERLINK("https://lindat.mff.cuni.cz/services/SynSemClass55/SynSemClass55.html?veclass=vec01382", "vec01382 / zlidovět (v41risA)")</f>
        <v>vec01382 / zlidovět (v41risA)</v>
      </c>
      <c r="V571" s="0" t="n">
        <v>0.06544</v>
      </c>
      <c r="W571" s="5" t="s">
        <v>30</v>
      </c>
      <c r="Z571" s="0" t="str">
        <f aca="false">HYPERLINK("https://lindat.mff.cuni.cz/services/SynSemClass55/SynSemClass55.html?veclass=vec00360", "vec00360 / vyvinout (v41pgrA)")</f>
        <v>vec00360 / vyvinout (v41pgrA)</v>
      </c>
      <c r="AA571" s="0" t="n">
        <v>0.05826</v>
      </c>
      <c r="AB571" s="5" t="s">
        <v>30</v>
      </c>
      <c r="AE571" s="0" t="str">
        <f aca="false">HYPERLINK("https://lindat.mff.cuni.cz/services/SynSemClass55/SynSemClass55.html?veclass=vec00097", "vec00097 / přicházet (v41irqL)")</f>
        <v>vec00097 / přicházet (v41irqL)</v>
      </c>
      <c r="AF571" s="0" t="n">
        <v>0.05329</v>
      </c>
      <c r="AG571" s="5" t="s">
        <v>30</v>
      </c>
    </row>
    <row r="573" customFormat="false" ht="12.75" hidden="false" customHeight="false" outlineLevel="0" collapsed="false">
      <c r="A573" s="0" t="str">
        <f aca="false">HYPERLINK("https://lindat.mff.cuni.cz/services/PDT-Vallex4.5/PDT-Vallex4.5.html?verb=vyloučit se", "vyloučit se")</f>
        <v>vyloučit se</v>
      </c>
      <c r="B573" s="0" t="str">
        <f aca="false">HYPERLINK("https://lindat.mff.cuni.cz/services/PDT-Vallex4.5/PDT-Vallex4.5.html?verb=vyloučit se#v41ojaA", "v41ojaA")</f>
        <v>v41ojaA</v>
      </c>
      <c r="E573" s="0" t="n">
        <v>547</v>
      </c>
      <c r="F573" s="0" t="n">
        <v>0.58324</v>
      </c>
      <c r="G573" s="1" t="n">
        <v>0</v>
      </c>
      <c r="I573" s="1" t="s">
        <v>203</v>
      </c>
      <c r="K573" s="0" t="str">
        <f aca="false">HYPERLINK("https://lindat.mff.cuni.cz/services/SynSemClass55/SynSemClass55.html?veclass=vec00558", "vec00558 / vyloučit (v41oizC)")</f>
        <v>vec00558 / vyloučit (v41oizC)</v>
      </c>
      <c r="L573" s="0" t="n">
        <v>0.58324</v>
      </c>
      <c r="M573" s="5" t="s">
        <v>30</v>
      </c>
      <c r="P573" s="0" t="str">
        <f aca="false">HYPERLINK("https://lindat.mff.cuni.cz/services/SynSemClass55/SynSemClass55.html?veclass=vec00555", "vec00555 / vyhodit (v41oaaA)")</f>
        <v>vec00555 / vyhodit (v41oaaA)</v>
      </c>
      <c r="Q573" s="0" t="n">
        <v>0.22333</v>
      </c>
      <c r="R573" s="5" t="s">
        <v>30</v>
      </c>
      <c r="U573" s="0" t="str">
        <f aca="false">HYPERLINK("https://lindat.mff.cuni.cz/services/SynSemClass55/SynSemClass55.html?veclass=vec00367", "vec00367 / zakázat (v41pwlA)")</f>
        <v>vec00367 / zakázat (v41pwlA)</v>
      </c>
      <c r="V573" s="0" t="n">
        <v>0.08944</v>
      </c>
      <c r="W573" s="5" t="s">
        <v>30</v>
      </c>
      <c r="Z573" s="0" t="str">
        <f aca="false">HYPERLINK("https://lindat.mff.cuni.cz/services/SynSemClass55/SynSemClass55.html?veclass=vec00560", "vec00560 / vynechat (v41ommB)")</f>
        <v>vec00560 / vynechat (v41ommB)</v>
      </c>
      <c r="AA573" s="0" t="n">
        <v>0.02594</v>
      </c>
      <c r="AB573" s="5" t="s">
        <v>30</v>
      </c>
      <c r="AE573" s="0" t="str">
        <f aca="false">HYPERLINK("https://lindat.mff.cuni.cz/services/SynSemClass55/SynSemClass55.html?veclass=vec00962", "vec00962 / vymazat (v41ojwA)")</f>
        <v>vec00962 / vymazat (v41ojwA)</v>
      </c>
      <c r="AF573" s="0" t="n">
        <v>0.0231</v>
      </c>
      <c r="AG573" s="5" t="s">
        <v>30</v>
      </c>
    </row>
    <row r="575" customFormat="false" ht="12.75" hidden="false" customHeight="false" outlineLevel="0" collapsed="false">
      <c r="A575" s="0" t="str">
        <f aca="false">HYPERLINK("https://lindat.mff.cuni.cz/services/PDT-Vallex4.5/PDT-Vallex4.5.html?verb=vymáčknout", "vymáčknout")</f>
        <v>vymáčknout</v>
      </c>
      <c r="B575" s="0" t="str">
        <f aca="false">HYPERLINK("https://lindat.mff.cuni.cz/services/PDT-Vallex4.5/PDT-Vallex4.5.html?verb=vymáčknout#v41ojnB", "v41ojnB")</f>
        <v>v41ojnB</v>
      </c>
      <c r="E575" s="0" t="n">
        <v>213</v>
      </c>
      <c r="F575" s="0" t="n">
        <v>0.28837</v>
      </c>
      <c r="G575" s="1" t="s">
        <v>31</v>
      </c>
      <c r="K575" s="0" t="str">
        <f aca="false">HYPERLINK("https://lindat.mff.cuni.cz/services/SynSemClass55/SynSemClass55.html?veclass=vec00648", "vec00648 / odebrat (v41dygC)")</f>
        <v>vec00648 / odebrat (v41dygC)</v>
      </c>
      <c r="L575" s="0" t="n">
        <v>0.28837</v>
      </c>
      <c r="M575" s="5" t="s">
        <v>30</v>
      </c>
      <c r="P575" s="0" t="str">
        <f aca="false">HYPERLINK("https://lindat.mff.cuni.cz/services/SynSemClass55/SynSemClass55.html?veclass=vec01538", "vec01538 / vyloupnout (v41ojcA)")</f>
        <v>vec01538 / vyloupnout (v41ojcA)</v>
      </c>
      <c r="Q575" s="0" t="n">
        <v>0.09088</v>
      </c>
      <c r="R575" s="5" t="s">
        <v>33</v>
      </c>
      <c r="U575" s="0" t="str">
        <f aca="false">HYPERLINK("https://lindat.mff.cuni.cz/services/SynSemClass55/SynSemClass55.html?veclass=vec00704", "vec00704 / sebrat (v41khhA)")</f>
        <v>vec00704 / sebrat (v41khhA)</v>
      </c>
      <c r="V575" s="0" t="n">
        <v>0.04806</v>
      </c>
      <c r="W575" s="5" t="s">
        <v>30</v>
      </c>
      <c r="Z575" s="0" t="str">
        <f aca="false">HYPERLINK("https://lindat.mff.cuni.cz/services/SynSemClass55/SynSemClass55.html?veclass=vec00816", "vec00816 / extrahovat (v41aowA)")</f>
        <v>vec00816 / extrahovat (v41aowA)</v>
      </c>
      <c r="AA575" s="0" t="n">
        <v>0.03741</v>
      </c>
      <c r="AB575" s="5" t="s">
        <v>32</v>
      </c>
      <c r="AE575" s="0" t="str">
        <f aca="false">HYPERLINK("https://lindat.mff.cuni.cz/services/SynSemClass55/SynSemClass55.html?veclass=vec00764", "vec00764 / vytrhnout (v41pdrB)")</f>
        <v>vec00764 / vytrhnout (v41pdrB)</v>
      </c>
      <c r="AF575" s="0" t="n">
        <v>0.03457</v>
      </c>
      <c r="AG575" s="5" t="s">
        <v>30</v>
      </c>
    </row>
    <row r="577" customFormat="false" ht="12.75" hidden="false" customHeight="false" outlineLevel="0" collapsed="false">
      <c r="A577" s="0" t="str">
        <f aca="false">HYPERLINK("https://lindat.mff.cuni.cz/services/PDT-Vallex4.5/PDT-Vallex4.5.html?verb=vymanévrovat", "vymanévrovat")</f>
        <v>vymanévrovat</v>
      </c>
      <c r="B577" s="0" t="str">
        <f aca="false">HYPERLINK("https://lindat.mff.cuni.cz/services/PDT-Vallex4.5/PDT-Vallex4.5.html?verb=vymanévrovat#v41ojtA", "v41ojtA")</f>
        <v>v41ojtA</v>
      </c>
      <c r="E577" s="0" t="n">
        <v>21</v>
      </c>
      <c r="F577" s="0" t="n">
        <v>0.17085</v>
      </c>
      <c r="G577" s="1" t="s">
        <v>204</v>
      </c>
      <c r="K577" s="0" t="str">
        <f aca="false">HYPERLINK("https://lindat.mff.cuni.cz/services/SynSemClass55/SynSemClass55.html?veclass=vec01354", "vec01354 / vyprošťovat (v41osaA)")</f>
        <v>vec01354 / vyprošťovat (v41osaA)</v>
      </c>
      <c r="L577" s="0" t="n">
        <v>0.17085</v>
      </c>
      <c r="M577" s="5" t="s">
        <v>30</v>
      </c>
      <c r="P577" s="0" t="str">
        <f aca="false">HYPERLINK("https://lindat.mff.cuni.cz/services/SynSemClass55/SynSemClass55.html?veclass=vec01465", "vec01465 / vykroutit se (v41oguA)")</f>
        <v>vec01465 / vykroutit se (v41oguA)</v>
      </c>
      <c r="Q577" s="0" t="n">
        <v>0.10085</v>
      </c>
      <c r="R577" s="5" t="s">
        <v>30</v>
      </c>
      <c r="U577" s="0" t="str">
        <f aca="false">HYPERLINK("https://lindat.mff.cuni.cz/services/SynSemClass55/SynSemClass55.html?veclass=vec00555", "vec00555 / vyhodit (v41oaaA)")</f>
        <v>vec00555 / vyhodit (v41oaaA)</v>
      </c>
      <c r="V577" s="0" t="n">
        <v>0.09473</v>
      </c>
      <c r="W577" s="5" t="s">
        <v>30</v>
      </c>
      <c r="Z577" s="0" t="str">
        <f aca="false">HYPERLINK("https://lindat.mff.cuni.cz/services/SynSemClass55/SynSemClass55.html?veclass=vec00811", "vec00811 / dostat se (v41afyG)")</f>
        <v>vec00811 / dostat se (v41afyG)</v>
      </c>
      <c r="AA577" s="0" t="n">
        <v>0.08624</v>
      </c>
      <c r="AB577" s="5" t="s">
        <v>30</v>
      </c>
      <c r="AE577" s="0" t="str">
        <f aca="false">HYPERLINK("https://lindat.mff.cuni.cz/services/SynSemClass55/SynSemClass55.html?veclass=vec01214", "vec01214 / evakuovat (v41anpA)")</f>
        <v>vec01214 / evakuovat (v41anpA)</v>
      </c>
      <c r="AF577" s="0" t="n">
        <v>0.06843</v>
      </c>
      <c r="AG577" s="5" t="s">
        <v>30</v>
      </c>
    </row>
    <row r="579" customFormat="false" ht="12.75" hidden="false" customHeight="false" outlineLevel="0" collapsed="false">
      <c r="A579" s="0" t="str">
        <f aca="false">HYPERLINK("https://lindat.mff.cuni.cz/services/PDT-Vallex4.5/PDT-Vallex4.5.html?verb=vypískávat", "vypískávat")</f>
        <v>vypískávat</v>
      </c>
      <c r="B579" s="0" t="str">
        <f aca="false">HYPERLINK("https://lindat.mff.cuni.cz/services/PDT-Vallex4.5/PDT-Vallex4.5.html?verb=vypískávat#v41oocA", "v41oocA")</f>
        <v>v41oocA</v>
      </c>
      <c r="E579" s="0" t="n">
        <v>4</v>
      </c>
      <c r="F579" s="0" t="n">
        <v>0.1015</v>
      </c>
      <c r="G579" s="1" t="s">
        <v>31</v>
      </c>
      <c r="K579" s="0" t="str">
        <f aca="false">HYPERLINK("https://lindat.mff.cuni.cz/services/SynSemClass55/SynSemClass55.html?veclass=vec00958", "vec00958 / vyčinit (v41nvxA)")</f>
        <v>vec00958 / vyčinit (v41nvxA)</v>
      </c>
      <c r="L579" s="0" t="n">
        <v>0.1015</v>
      </c>
      <c r="M579" s="5" t="s">
        <v>30</v>
      </c>
      <c r="P579" s="0" t="str">
        <f aca="false">HYPERLINK("https://lindat.mff.cuni.cz/services/SynSemClass55/SynSemClass55.html?veclass=vec00633", "vec00633 / nadávat (v41cnkB)")</f>
        <v>vec00633 / nadávat (v41cnkB)</v>
      </c>
      <c r="Q579" s="0" t="n">
        <v>0.08109</v>
      </c>
      <c r="R579" s="5" t="s">
        <v>30</v>
      </c>
      <c r="U579" s="0" t="str">
        <f aca="false">HYPERLINK("https://lindat.mff.cuni.cz/services/SynSemClass55/SynSemClass55.html?veclass=vec01220", "vec01220 / knokautovat (v41bmhA)")</f>
        <v>vec01220 / knokautovat (v41bmhA)</v>
      </c>
      <c r="V579" s="0" t="n">
        <v>0.07228</v>
      </c>
      <c r="W579" s="5" t="s">
        <v>30</v>
      </c>
      <c r="Z579" s="0" t="str">
        <f aca="false">HYPERLINK("https://lindat.mff.cuni.cz/services/SynSemClass55/SynSemClass55.html?veclass=vec00819", "vec00819 / házet (v41aupC)")</f>
        <v>vec00819 / házet (v41aupC)</v>
      </c>
      <c r="AA579" s="0" t="n">
        <v>0.05888</v>
      </c>
      <c r="AB579" s="5" t="s">
        <v>30</v>
      </c>
      <c r="AE579" s="0" t="str">
        <f aca="false">HYPERLINK("https://lindat.mff.cuni.cz/services/SynSemClass55/SynSemClass55.html?veclass=vec01489", "vec01489 / bručet (v41inA)")</f>
        <v>vec01489 / bručet (v41inA)</v>
      </c>
      <c r="AF579" s="0" t="n">
        <v>0.05355</v>
      </c>
      <c r="AG579" s="5" t="s">
        <v>34</v>
      </c>
    </row>
    <row r="581" customFormat="false" ht="12.75" hidden="false" customHeight="false" outlineLevel="0" collapsed="false">
      <c r="A581" s="0" t="str">
        <f aca="false">HYPERLINK("https://lindat.mff.cuni.cz/services/PDT-Vallex4.5/PDT-Vallex4.5.html?verb=vyplatit se", "vyplatit se")</f>
        <v>vyplatit se</v>
      </c>
      <c r="B581" s="0" t="str">
        <f aca="false">HYPERLINK("https://lindat.mff.cuni.cz/services/PDT-Vallex4.5/PDT-Vallex4.5.html?verb=vyplatit se#v41oooB", "v41oooB")</f>
        <v>v41oooB</v>
      </c>
      <c r="E581" s="0" t="n">
        <v>495</v>
      </c>
      <c r="F581" s="0" t="n">
        <v>0.61282</v>
      </c>
      <c r="G581" s="1" t="s">
        <v>31</v>
      </c>
      <c r="K581" s="0" t="str">
        <f aca="false">HYPERLINK("https://lindat.mff.cuni.cz/services/SynSemClass55/SynSemClass55.html?veclass=vec00757", "vec00757 / vyplácet se (v41oojA)")</f>
        <v>vec00757 / vyplácet se (v41oojA)</v>
      </c>
      <c r="L581" s="0" t="n">
        <v>0.61282</v>
      </c>
      <c r="M581" s="5" t="s">
        <v>30</v>
      </c>
      <c r="P581" s="0" t="str">
        <f aca="false">HYPERLINK("https://lindat.mff.cuni.cz/services/SynSemClass55/SynSemClass55.html?veclass=vec01356", "vec01356 / vysázet (v41ovmA)")</f>
        <v>vec01356 / vysázet (v41ovmA)</v>
      </c>
      <c r="Q581" s="0" t="n">
        <v>0.16878</v>
      </c>
      <c r="R581" s="5" t="s">
        <v>30</v>
      </c>
      <c r="U581" s="0" t="str">
        <f aca="false">HYPERLINK("https://lindat.mff.cuni.cz/services/SynSemClass55/SynSemClass55.html?veclass=vec00125", "vec00125 / splatit (v41lbvA)")</f>
        <v>vec00125 / splatit (v41lbvA)</v>
      </c>
      <c r="V581" s="0" t="n">
        <v>0.0851</v>
      </c>
      <c r="W581" s="5" t="s">
        <v>34</v>
      </c>
      <c r="Z581" s="0" t="str">
        <f aca="false">HYPERLINK("https://lindat.mff.cuni.cz/services/SynSemClass55/SynSemClass55.html?veclass=vec01159", "vec01159 / vyplatit (v41oonD)")</f>
        <v>vec01159 / vyplatit (v41oonD)</v>
      </c>
      <c r="AA581" s="0" t="n">
        <v>0.04807</v>
      </c>
      <c r="AB581" s="5" t="s">
        <v>30</v>
      </c>
      <c r="AE581" s="0" t="str">
        <f aca="false">HYPERLINK("https://lindat.mff.cuni.cz/services/SynSemClass55/SynSemClass55.html?veclass=vec01840", "vec01840 / proplácet (v41hkcA)")</f>
        <v>vec01840 / proplácet (v41hkcA)</v>
      </c>
      <c r="AF581" s="0" t="n">
        <v>0.03452</v>
      </c>
      <c r="AG581" s="5" t="s">
        <v>30</v>
      </c>
    </row>
    <row r="583" customFormat="false" ht="12.75" hidden="false" customHeight="false" outlineLevel="0" collapsed="false">
      <c r="A583" s="0" t="str">
        <f aca="false">HYPERLINK("https://lindat.mff.cuni.cz/services/PDT-Vallex4.5/PDT-Vallex4.5.html?verb=vyplísnit", "vyplísnit")</f>
        <v>vyplísnit</v>
      </c>
      <c r="B583" s="0" t="str">
        <f aca="false">HYPERLINK("https://lindat.mff.cuni.cz/services/PDT-Vallex4.5/PDT-Vallex4.5.html?verb=vyplísnit#v41oovA", "v41oovA")</f>
        <v>v41oovA</v>
      </c>
      <c r="E583" s="0" t="n">
        <v>27</v>
      </c>
      <c r="F583" s="0" t="n">
        <v>0.11164</v>
      </c>
      <c r="G583" s="1" t="s">
        <v>31</v>
      </c>
      <c r="K583" s="0" t="str">
        <f aca="false">HYPERLINK("https://lindat.mff.cuni.cz/services/SynSemClass55/SynSemClass55.html?veclass=vec00958", "vec00958 / vyčinit (v41nvxA)")</f>
        <v>vec00958 / vyčinit (v41nvxA)</v>
      </c>
      <c r="L583" s="0" t="n">
        <v>0.11164</v>
      </c>
      <c r="M583" s="5" t="s">
        <v>33</v>
      </c>
      <c r="P583" s="0" t="str">
        <f aca="false">HYPERLINK("https://lindat.mff.cuni.cz/services/SynSemClass55/SynSemClass55.html?veclass=vec00555", "vec00555 / vyhodit (v41oaaA)")</f>
        <v>vec00555 / vyhodit (v41oaaA)</v>
      </c>
      <c r="Q583" s="0" t="n">
        <v>0.06241</v>
      </c>
      <c r="R583" s="5" t="s">
        <v>30</v>
      </c>
      <c r="U583" s="0" t="str">
        <f aca="false">HYPERLINK("https://lindat.mff.cuni.cz/services/SynSemClass55/SynSemClass55.html?veclass=vec01192", "vec01192 / ztrapnit (v41rzaA)")</f>
        <v>vec01192 / ztrapnit (v41rzaA)</v>
      </c>
      <c r="V583" s="0" t="n">
        <v>0.06035</v>
      </c>
      <c r="W583" s="5" t="s">
        <v>30</v>
      </c>
      <c r="Z583" s="0" t="str">
        <f aca="false">HYPERLINK("https://lindat.mff.cuni.cz/services/SynSemClass55/SynSemClass55.html?veclass=vec00620", "vec00620 / kárat (v41bjqA)")</f>
        <v>vec00620 / kárat (v41bjqA)</v>
      </c>
      <c r="AA583" s="0" t="n">
        <v>0.05686</v>
      </c>
      <c r="AB583" s="5" t="s">
        <v>30</v>
      </c>
      <c r="AE583" s="0" t="str">
        <f aca="false">HYPERLINK("https://lindat.mff.cuni.cz/services/SynSemClass55/SynSemClass55.html?veclass=vec01699", "vec01699 / veslovat (v41njuA)")</f>
        <v>vec01699 / veslovat (v41njuA)</v>
      </c>
      <c r="AF583" s="0" t="n">
        <v>0.0499</v>
      </c>
      <c r="AG583" s="5" t="s">
        <v>30</v>
      </c>
    </row>
    <row r="585" customFormat="false" ht="12.75" hidden="false" customHeight="false" outlineLevel="0" collapsed="false">
      <c r="A585" s="0" t="str">
        <f aca="false">HYPERLINK("https://lindat.mff.cuni.cz/services/PDT-Vallex4.5/PDT-Vallex4.5.html?verb=vypodobňovat", "vypodobňovat")</f>
        <v>vypodobňovat</v>
      </c>
      <c r="B585" s="0" t="str">
        <f aca="false">HYPERLINK("https://lindat.mff.cuni.cz/services/PDT-Vallex4.5/PDT-Vallex4.5.html?verb=vypodobňovat#v41optA", "v41optA")</f>
        <v>v41optA</v>
      </c>
      <c r="E585" s="0" t="n">
        <v>1</v>
      </c>
      <c r="F585" s="0" t="n">
        <v>0.27953</v>
      </c>
      <c r="G585" s="1" t="s">
        <v>31</v>
      </c>
      <c r="K585" s="0" t="str">
        <f aca="false">HYPERLINK("https://lindat.mff.cuni.cz/services/SynSemClass55/SynSemClass55.html?veclass=vec00101", "vec00101 / přirovnat (v41ixjA)")</f>
        <v>vec00101 / přirovnat (v41ixjA)</v>
      </c>
      <c r="L585" s="0" t="n">
        <v>0.27953</v>
      </c>
      <c r="M585" s="5" t="s">
        <v>30</v>
      </c>
      <c r="P585" s="0" t="str">
        <f aca="false">HYPERLINK("https://lindat.mff.cuni.cz/services/SynSemClass55/SynSemClass55.html?veclass=vec01031", "vec01031 / karikovat (v41bjuA)")</f>
        <v>vec01031 / karikovat (v41bjuA)</v>
      </c>
      <c r="Q585" s="0" t="n">
        <v>0.10703</v>
      </c>
      <c r="R585" s="5" t="s">
        <v>30</v>
      </c>
      <c r="U585" s="0" t="str">
        <f aca="false">HYPERLINK("https://lindat.mff.cuni.cz/services/SynSemClass55/SynSemClass55.html?veclass=vec00417", "vec00417 / charakterizovat (v41barA)")</f>
        <v>vec00417 / charakterizovat (v41barA)</v>
      </c>
      <c r="V585" s="0" t="n">
        <v>0.06697</v>
      </c>
      <c r="W585" s="5" t="s">
        <v>33</v>
      </c>
      <c r="Z585" s="0" t="str">
        <f aca="false">HYPERLINK("https://lindat.mff.cuni.cz/services/SynSemClass55/SynSemClass55.html?veclass=vec01184", "vec01184 / zobecňovat (v41rqhA)")</f>
        <v>vec01184 / zobecňovat (v41rqhA)</v>
      </c>
      <c r="AA585" s="0" t="n">
        <v>0.03013</v>
      </c>
      <c r="AB585" s="5" t="s">
        <v>30</v>
      </c>
      <c r="AE585" s="0" t="str">
        <f aca="false">HYPERLINK("https://lindat.mff.cuni.cz/services/SynSemClass55/SynSemClass55.html?veclass=vec01342", "vec01342 / uzamknout (v41nefA)")</f>
        <v>vec01342 / uzamknout (v41nefA)</v>
      </c>
      <c r="AF585" s="0" t="n">
        <v>0.02564</v>
      </c>
      <c r="AG585" s="5" t="s">
        <v>30</v>
      </c>
    </row>
    <row r="587" customFormat="false" ht="12.75" hidden="false" customHeight="false" outlineLevel="0" collapsed="false">
      <c r="A587" s="0" t="str">
        <f aca="false">HYPERLINK("https://lindat.mff.cuni.cz/services/PDT-Vallex4.5/PDT-Vallex4.5.html?verb=vysypávat se", "vysypávat se")</f>
        <v>vysypávat se</v>
      </c>
      <c r="B587" s="0" t="str">
        <f aca="false">HYPERLINK("https://lindat.mff.cuni.cz/services/PDT-Vallex4.5/PDT-Vallex4.5.html?verb=vysypávat se#v41pagA", "v41pagA")</f>
        <v>v41pagA</v>
      </c>
      <c r="E587" s="0" t="n">
        <v>21</v>
      </c>
      <c r="F587" s="0" t="n">
        <v>0.39263</v>
      </c>
      <c r="G587" s="1" t="s">
        <v>205</v>
      </c>
      <c r="K587" s="0" t="str">
        <f aca="false">HYPERLINK("https://lindat.mff.cuni.cz/services/SynSemClass55/SynSemClass55.html?veclass=vec01358", "vec01358 / vysypávat (v41pafA)")</f>
        <v>vec01358 / vysypávat (v41pafA)</v>
      </c>
      <c r="L587" s="0" t="n">
        <v>0.39263</v>
      </c>
      <c r="M587" s="5" t="s">
        <v>30</v>
      </c>
      <c r="P587" s="0" t="str">
        <f aca="false">HYPERLINK("https://lindat.mff.cuni.cz/services/SynSemClass55/SynSemClass55.html?veclass=vec00380", "vec00380 / zbavit se (v41qvrA)")</f>
        <v>vec00380 / zbavit se (v41qvrA)</v>
      </c>
      <c r="Q587" s="0" t="n">
        <v>0.04679</v>
      </c>
      <c r="R587" s="5" t="s">
        <v>30</v>
      </c>
      <c r="U587" s="0" t="str">
        <f aca="false">HYPERLINK("https://lindat.mff.cuni.cz/services/SynSemClass55/SynSemClass55.html?veclass=vec01156", "vec01156 / vykládat (v41oeyG)")</f>
        <v>vec01156 / vykládat (v41oeyG)</v>
      </c>
      <c r="V587" s="0" t="n">
        <v>0.03739</v>
      </c>
      <c r="W587" s="5" t="s">
        <v>30</v>
      </c>
      <c r="Z587" s="0" t="str">
        <f aca="false">HYPERLINK("https://lindat.mff.cuni.cz/services/SynSemClass55/SynSemClass55.html?veclass=vec00819", "vec00819 / házet (v41aupC)")</f>
        <v>vec00819 / házet (v41aupC)</v>
      </c>
      <c r="AA587" s="0" t="n">
        <v>0.03316</v>
      </c>
      <c r="AB587" s="5" t="s">
        <v>30</v>
      </c>
      <c r="AE587" s="0" t="str">
        <f aca="false">HYPERLINK("https://lindat.mff.cuni.cz/services/SynSemClass55/SynSemClass55.html?veclass=vec00841", "vec00841 / nacpat (v41cmpB)")</f>
        <v>vec00841 / nacpat (v41cmpB)</v>
      </c>
      <c r="AF587" s="0" t="n">
        <v>0.02967</v>
      </c>
      <c r="AG587" s="5" t="s">
        <v>30</v>
      </c>
    </row>
    <row r="589" customFormat="false" ht="12.75" hidden="false" customHeight="false" outlineLevel="0" collapsed="false">
      <c r="A589" s="0" t="str">
        <f aca="false">HYPERLINK("https://lindat.mff.cuni.cz/services/PDT-Vallex4.5/PDT-Vallex4.5.html?verb=vytrpět", "vytrpět")</f>
        <v>vytrpět</v>
      </c>
      <c r="B589" s="0" t="str">
        <f aca="false">HYPERLINK("https://lindat.mff.cuni.cz/services/PDT-Vallex4.5/PDT-Vallex4.5.html?verb=vytrpět#v41pdtA", "v41pdtA")</f>
        <v>v41pdtA</v>
      </c>
      <c r="E589" s="0" t="n">
        <v>194</v>
      </c>
      <c r="F589" s="0" t="n">
        <v>0.13706</v>
      </c>
      <c r="G589" s="1" t="s">
        <v>206</v>
      </c>
      <c r="K589" s="0" t="str">
        <f aca="false">HYPERLINK("https://lindat.mff.cuni.cz/services/SynSemClass55/SynSemClass55.html?veclass=vec00740", "vec00740 / utrpět (v41nbkB)")</f>
        <v>vec00740 / utrpět (v41nbkB)</v>
      </c>
      <c r="L589" s="0" t="n">
        <v>0.13706</v>
      </c>
      <c r="M589" s="5" t="s">
        <v>30</v>
      </c>
      <c r="P589" s="0" t="str">
        <f aca="false">HYPERLINK("https://lindat.mff.cuni.cz/services/SynSemClass55/SynSemClass55.html?veclass=vec00340", "vec00340 / utrpět (v41nbkA)")</f>
        <v>vec00340 / utrpět (v41nbkA)</v>
      </c>
      <c r="Q589" s="0" t="n">
        <v>0.11186</v>
      </c>
      <c r="R589" s="5" t="s">
        <v>30</v>
      </c>
      <c r="U589" s="0" t="str">
        <f aca="false">HYPERLINK("https://lindat.mff.cuni.cz/services/SynSemClass55/SynSemClass55.html?veclass=vec01989", "vec01989 / zvládat (v41scaA)")</f>
        <v>vec01989 / zvládat (v41scaA)</v>
      </c>
      <c r="V589" s="0" t="n">
        <v>0.07687</v>
      </c>
      <c r="W589" s="5" t="s">
        <v>30</v>
      </c>
      <c r="Z589" s="0" t="str">
        <f aca="false">HYPERLINK("https://lindat.mff.cuni.cz/services/SynSemClass55/SynSemClass55.html?veclass=vec01800", "vec01800 / odskákat (v41ejcA)")</f>
        <v>vec01800 / odskákat (v41ejcA)</v>
      </c>
      <c r="AA589" s="0" t="n">
        <v>0.06848</v>
      </c>
      <c r="AB589" s="5" t="s">
        <v>30</v>
      </c>
      <c r="AE589" s="0" t="str">
        <f aca="false">HYPERLINK("https://lindat.mff.cuni.cz/services/SynSemClass55/SynSemClass55.html?veclass=vec00379", "vec00379 / zažít (v41qvdA)")</f>
        <v>vec00379 / zažít (v41qvdA)</v>
      </c>
      <c r="AF589" s="0" t="n">
        <v>0.05974</v>
      </c>
      <c r="AG589" s="5" t="s">
        <v>30</v>
      </c>
    </row>
    <row r="591" customFormat="false" ht="12.75" hidden="false" customHeight="false" outlineLevel="0" collapsed="false">
      <c r="A591" s="0" t="str">
        <f aca="false">HYPERLINK("https://lindat.mff.cuni.cz/services/PDT-Vallex4.5/PDT-Vallex4.5.html?verb=vytýkat", "vytýkat")</f>
        <v>vytýkat</v>
      </c>
      <c r="B591" s="0" t="str">
        <f aca="false">HYPERLINK("https://lindat.mff.cuni.cz/services/PDT-Vallex4.5/PDT-Vallex4.5.html?verb=vytýkat#v41pevA", "v41pevA")</f>
        <v>v41pevA</v>
      </c>
      <c r="E591" s="0" t="n">
        <v>208</v>
      </c>
      <c r="F591" s="0" t="n">
        <v>0.93795</v>
      </c>
      <c r="G591" s="1" t="n">
        <v>0</v>
      </c>
      <c r="I591" s="1" t="s">
        <v>207</v>
      </c>
      <c r="K591" s="0" t="str">
        <f aca="false">HYPERLINK("https://lindat.mff.cuni.cz/services/SynSemClass55/SynSemClass55.html?veclass=vec00620", "vec00620 / kárat (v41bjqA)")</f>
        <v>vec00620 / kárat (v41bjqA)</v>
      </c>
      <c r="L591" s="0" t="n">
        <v>0.93795</v>
      </c>
      <c r="M591" s="5" t="s">
        <v>30</v>
      </c>
      <c r="P591" s="0" t="str">
        <f aca="false">HYPERLINK("https://lindat.mff.cuni.cz/services/SynSemClass55/SynSemClass55.html?veclass=vec00347", "vec00347 / vinit (v41nllA)")</f>
        <v>vec00347 / vinit (v41nllA)</v>
      </c>
      <c r="Q591" s="0" t="n">
        <v>0.01746</v>
      </c>
      <c r="R591" s="5" t="s">
        <v>30</v>
      </c>
      <c r="U591" s="0" t="str">
        <f aca="false">HYPERLINK("https://lindat.mff.cuni.cz/services/SynSemClass55/SynSemClass55.html?veclass=vec01361", "vec01361 / vyvodit (v41pgzA)")</f>
        <v>vec01361 / vyvodit (v41pgzA)</v>
      </c>
      <c r="V591" s="0" t="n">
        <v>0.0165</v>
      </c>
      <c r="W591" s="5" t="s">
        <v>30</v>
      </c>
      <c r="Z591" s="0" t="str">
        <f aca="false">HYPERLINK("https://lindat.mff.cuni.cz/services/SynSemClass55/SynSemClass55.html?veclass=vec01489", "vec01489 / bručet (v41inA)")</f>
        <v>vec01489 / bručet (v41inA)</v>
      </c>
      <c r="AA591" s="0" t="n">
        <v>0.01618</v>
      </c>
      <c r="AB591" s="5" t="s">
        <v>30</v>
      </c>
      <c r="AE591" s="0" t="str">
        <f aca="false">HYPERLINK("https://lindat.mff.cuni.cz/services/SynSemClass55/SynSemClass55.html?veclass=vec00032", "vec00032 / myslet si (v41ckkA)")</f>
        <v>vec00032 / myslet si (v41ckkA)</v>
      </c>
      <c r="AF591" s="0" t="n">
        <v>0.01471</v>
      </c>
      <c r="AG591" s="5" t="s">
        <v>30</v>
      </c>
    </row>
    <row r="593" customFormat="false" ht="12.75" hidden="false" customHeight="false" outlineLevel="0" collapsed="false">
      <c r="A593" s="0" t="str">
        <f aca="false">HYPERLINK("https://lindat.mff.cuni.cz/services/PDT-Vallex4.5/PDT-Vallex4.5.html?verb=vyvařit", "vyvařit")</f>
        <v>vyvařit</v>
      </c>
      <c r="B593" s="0" t="str">
        <f aca="false">HYPERLINK("https://lindat.mff.cuni.cz/services/PDT-Vallex4.5/PDT-Vallex4.5.html?verb=vyvařit#v41pfwA", "v41pfwA")</f>
        <v>v41pfwA</v>
      </c>
      <c r="E593" s="0" t="n">
        <v>41</v>
      </c>
      <c r="F593" s="0" t="n">
        <v>0.15563</v>
      </c>
      <c r="G593" s="1" t="n">
        <v>0</v>
      </c>
      <c r="I593" s="1" t="s">
        <v>208</v>
      </c>
      <c r="K593" s="0" t="str">
        <f aca="false">HYPERLINK("https://lindat.mff.cuni.cz/services/SynSemClass55/SynSemClass55.html?veclass=vec01616", "vec01616 / vařit (v41ngvA)")</f>
        <v>vec01616 / vařit (v41ngvA)</v>
      </c>
      <c r="L593" s="0" t="n">
        <v>0.15563</v>
      </c>
      <c r="M593" s="5" t="s">
        <v>30</v>
      </c>
      <c r="P593" s="0" t="str">
        <f aca="false">HYPERLINK("https://lindat.mff.cuni.cz/services/SynSemClass55/SynSemClass55.html?veclass=vec01103", "vec01103 / roztavit se (v41jztA)")</f>
        <v>vec01103 / roztavit se (v41jztA)</v>
      </c>
      <c r="Q593" s="0" t="n">
        <v>0.10548</v>
      </c>
      <c r="R593" s="5" t="s">
        <v>30</v>
      </c>
      <c r="U593" s="0" t="str">
        <f aca="false">HYPERLINK("https://lindat.mff.cuni.cz/services/SynSemClass55/SynSemClass55.html?veclass=vec00911", "vec00911 / rozptýlit se (v41jxjB)")</f>
        <v>vec00911 / rozptýlit se (v41jxjB)</v>
      </c>
      <c r="V593" s="0" t="n">
        <v>0.0501</v>
      </c>
      <c r="W593" s="5" t="s">
        <v>30</v>
      </c>
      <c r="Z593" s="0" t="str">
        <f aca="false">HYPERLINK("https://lindat.mff.cuni.cz/services/SynSemClass55/SynSemClass55.html?veclass=vec00648", "vec00648 / odebrat (v41dygC)")</f>
        <v>vec00648 / odebrat (v41dygC)</v>
      </c>
      <c r="AA593" s="0" t="n">
        <v>0.04692</v>
      </c>
      <c r="AB593" s="5" t="s">
        <v>30</v>
      </c>
      <c r="AE593" s="0" t="str">
        <f aca="false">HYPERLINK("https://lindat.mff.cuni.cz/services/SynSemClass55/SynSemClass55.html?veclass=vec01617", "vec01617 / vařit (v41ngvC)")</f>
        <v>vec01617 / vařit (v41ngvC)</v>
      </c>
      <c r="AF593" s="0" t="n">
        <v>0.04602</v>
      </c>
      <c r="AG593" s="5" t="s">
        <v>30</v>
      </c>
    </row>
    <row r="595" customFormat="false" ht="12.75" hidden="false" customHeight="false" outlineLevel="0" collapsed="false">
      <c r="A595" s="0" t="str">
        <f aca="false">HYPERLINK("https://lindat.mff.cuni.cz/services/PDT-Vallex4.5/PDT-Vallex4.5.html?verb=vyzískat", "vyzískat")</f>
        <v>vyzískat</v>
      </c>
      <c r="B595" s="0" t="str">
        <f aca="false">HYPERLINK("https://lindat.mff.cuni.cz/services/PDT-Vallex4.5/PDT-Vallex4.5.html?verb=vyzískat#v41pikA", "v41pikA")</f>
        <v>v41pikA</v>
      </c>
      <c r="E595" s="0" t="n">
        <v>48</v>
      </c>
      <c r="F595" s="0" t="n">
        <v>0.19121</v>
      </c>
      <c r="G595" s="1" t="s">
        <v>31</v>
      </c>
      <c r="K595" s="0" t="str">
        <f aca="false">HYPERLINK("https://lindat.mff.cuni.cz/services/SynSemClass55/SynSemClass55.html?veclass=vec00648", "vec00648 / odebrat (v41dygC)")</f>
        <v>vec00648 / odebrat (v41dygC)</v>
      </c>
      <c r="L595" s="0" t="n">
        <v>0.19121</v>
      </c>
      <c r="M595" s="5" t="s">
        <v>30</v>
      </c>
      <c r="P595" s="0" t="str">
        <f aca="false">HYPERLINK("https://lindat.mff.cuni.cz/services/SynSemClass55/SynSemClass55.html?veclass=vec00169", "vec00169 / vytěžit (v41pcrA)")</f>
        <v>vec00169 / vytěžit (v41pcrA)</v>
      </c>
      <c r="Q595" s="0" t="n">
        <v>0.12472</v>
      </c>
      <c r="R595" s="5" t="s">
        <v>33</v>
      </c>
      <c r="U595" s="0" t="str">
        <f aca="false">HYPERLINK("https://lindat.mff.cuni.cz/services/SynSemClass55/SynSemClass55.html?veclass=vec00708", "vec00708 / shrábnout (v41kmvA)")</f>
        <v>vec00708 / shrábnout (v41kmvA)</v>
      </c>
      <c r="V595" s="0" t="n">
        <v>0.10042</v>
      </c>
      <c r="W595" s="5" t="s">
        <v>30</v>
      </c>
      <c r="Z595" s="0" t="str">
        <f aca="false">HYPERLINK("https://lindat.mff.cuni.cz/services/SynSemClass55/SynSemClass55.html?veclass=vec00189", "vec00189 / získat (v41reiA)")</f>
        <v>vec00189 / získat (v41reiA)</v>
      </c>
      <c r="AA595" s="0" t="n">
        <v>0.08951</v>
      </c>
      <c r="AB595" s="5" t="s">
        <v>33</v>
      </c>
      <c r="AE595" s="0" t="str">
        <f aca="false">HYPERLINK("https://lindat.mff.cuni.cz/services/SynSemClass55/SynSemClass55.html?veclass=vec01491", "vec01491 / fasovat (v41appA)")</f>
        <v>vec01491 / fasovat (v41appA)</v>
      </c>
      <c r="AF595" s="0" t="n">
        <v>0.04716</v>
      </c>
      <c r="AG595" s="5" t="s">
        <v>30</v>
      </c>
    </row>
    <row r="597" customFormat="false" ht="12.75" hidden="false" customHeight="false" outlineLevel="0" collapsed="false">
      <c r="A597" s="0" t="str">
        <f aca="false">HYPERLINK("https://lindat.mff.cuni.cz/services/PDT-Vallex4.5/PDT-Vallex4.5.html?verb=vyžebrávat", "vyžebrávat")</f>
        <v>vyžebrávat</v>
      </c>
      <c r="B597" s="0" t="str">
        <f aca="false">HYPERLINK("https://lindat.mff.cuni.cz/services/PDT-Vallex4.5/PDT-Vallex4.5.html?verb=vyžebrávat#v41pklA", "v41pklA")</f>
        <v>v41pklA</v>
      </c>
      <c r="E597" s="0" t="n">
        <v>6</v>
      </c>
      <c r="F597" s="0" t="n">
        <v>0.06963</v>
      </c>
      <c r="G597" s="1" t="s">
        <v>209</v>
      </c>
      <c r="I597" s="1" t="s">
        <v>210</v>
      </c>
      <c r="K597" s="0" t="str">
        <f aca="false">HYPERLINK("https://lindat.mff.cuni.cz/services/SynSemClass55/SynSemClass55.html?veclass=vec01491", "vec01491 / fasovat (v41appA)")</f>
        <v>vec01491 / fasovat (v41appA)</v>
      </c>
      <c r="L597" s="0" t="n">
        <v>0.06963</v>
      </c>
      <c r="M597" s="5" t="s">
        <v>30</v>
      </c>
      <c r="P597" s="0" t="str">
        <f aca="false">HYPERLINK("https://lindat.mff.cuni.cz/services/SynSemClass55/SynSemClass55.html?veclass=vec01105", "vec01105 / rýžovat (v41kdgB)")</f>
        <v>vec01105 / rýžovat (v41kdgB)</v>
      </c>
      <c r="Q597" s="0" t="n">
        <v>0.06069</v>
      </c>
      <c r="R597" s="5" t="s">
        <v>30</v>
      </c>
      <c r="U597" s="0" t="str">
        <f aca="false">HYPERLINK("https://lindat.mff.cuni.cz/services/SynSemClass55/SynSemClass55.html?veclass=vec00800", "vec00800 / žvýkat (v41sexA)")</f>
        <v>vec00800 / žvýkat (v41sexA)</v>
      </c>
      <c r="V597" s="0" t="n">
        <v>0.058</v>
      </c>
      <c r="W597" s="5" t="s">
        <v>30</v>
      </c>
      <c r="Z597" s="0" t="str">
        <f aca="false">HYPERLINK("https://lindat.mff.cuni.cz/services/SynSemClass55/SynSemClass55.html?veclass=vec01727", "vec01727 / clít (v41lnA)")</f>
        <v>vec01727 / clít (v41lnA)</v>
      </c>
      <c r="AA597" s="0" t="n">
        <v>0.04934</v>
      </c>
      <c r="AB597" s="5" t="s">
        <v>30</v>
      </c>
      <c r="AE597" s="0" t="str">
        <f aca="false">HYPERLINK("https://lindat.mff.cuni.cz/services/SynSemClass55/SynSemClass55.html?veclass=vec00866", "vec00866 / pít (v41fluA)")</f>
        <v>vec00866 / pít (v41fluA)</v>
      </c>
      <c r="AF597" s="0" t="n">
        <v>0.04888</v>
      </c>
      <c r="AG597" s="5" t="s">
        <v>30</v>
      </c>
    </row>
    <row r="599" customFormat="false" ht="12.75" hidden="false" customHeight="false" outlineLevel="0" collapsed="false">
      <c r="A599" s="0" t="str">
        <f aca="false">HYPERLINK("https://lindat.mff.cuni.cz/services/PDT-Vallex4.5/PDT-Vallex4.5.html?verb=vyžívat", "vyžívat")</f>
        <v>vyžívat</v>
      </c>
      <c r="B599" s="0" t="str">
        <f aca="false">HYPERLINK("https://lindat.mff.cuni.cz/services/PDT-Vallex4.5/PDT-Vallex4.5.html?verb=vyžívat#v41pkpA", "v41pkpA")</f>
        <v>v41pkpA</v>
      </c>
      <c r="E599" s="0" t="n">
        <v>114</v>
      </c>
      <c r="F599" s="0" t="n">
        <v>0.30834</v>
      </c>
      <c r="I599" s="1" t="s">
        <v>211</v>
      </c>
      <c r="K599" s="0" t="str">
        <f aca="false">HYPERLINK("https://lindat.mff.cuni.cz/services/SynSemClass55/SynSemClass55.html?veclass=vec00742", "vec00742 / užívat si (v41nfrA)")</f>
        <v>vec00742 / užívat si (v41nfrA)</v>
      </c>
      <c r="L599" s="0" t="n">
        <v>0.30834</v>
      </c>
      <c r="M599" s="5"/>
      <c r="P599" s="0" t="str">
        <f aca="false">HYPERLINK("https://lindat.mff.cuni.cz/services/SynSemClass55/SynSemClass55.html?veclass=vec01458", "vec01458 / věnovat se (v41njfA)")</f>
        <v>vec01458 / věnovat se (v41njfA)</v>
      </c>
      <c r="Q599" s="0" t="n">
        <v>0.08849</v>
      </c>
      <c r="R599" s="5"/>
      <c r="U599" s="0" t="str">
        <f aca="false">HYPERLINK("https://lindat.mff.cuni.cz/services/SynSemClass55/SynSemClass55.html?veclass=vec01631", "vec01631 / zažít se (v41qvfA)")</f>
        <v>vec01631 / zažít se (v41qvfA)</v>
      </c>
      <c r="V599" s="0" t="n">
        <v>0.06937</v>
      </c>
      <c r="W599" s="5"/>
      <c r="Z599" s="0" t="str">
        <f aca="false">HYPERLINK("https://lindat.mff.cuni.cz/services/SynSemClass55/SynSemClass55.html?veclass=vec01591", "vec01591 / pobavit se (v41fokA)")</f>
        <v>vec01591 / pobavit se (v41fokA)</v>
      </c>
      <c r="AA599" s="0" t="n">
        <v>0.05844</v>
      </c>
      <c r="AB599" s="5"/>
      <c r="AE599" s="0" t="str">
        <f aca="false">HYPERLINK("https://lindat.mff.cuni.cz/services/SynSemClass55/SynSemClass55.html?veclass=vec00169", "vec00169 / vytěžit (v41pcrA)")</f>
        <v>vec00169 / vytěžit (v41pcrA)</v>
      </c>
      <c r="AF599" s="0" t="n">
        <v>0.03486</v>
      </c>
      <c r="AG599" s="5"/>
    </row>
    <row r="601" customFormat="false" ht="12.75" hidden="false" customHeight="false" outlineLevel="0" collapsed="false">
      <c r="A601" s="0" t="str">
        <f aca="false">HYPERLINK("https://lindat.mff.cuni.cz/services/PDT-Vallex4.5/PDT-Vallex4.5.html?verb=vzburcovat", "vzburcovat")</f>
        <v>vzburcovat</v>
      </c>
      <c r="B601" s="0" t="str">
        <f aca="false">HYPERLINK("https://lindat.mff.cuni.cz/services/PDT-Vallex4.5/PDT-Vallex4.5.html?verb=vzburcovat#v41pkxA", "v41pkxA")</f>
        <v>v41pkxA</v>
      </c>
      <c r="E601" s="0" t="n">
        <v>23</v>
      </c>
      <c r="F601" s="0" t="n">
        <v>0.0711</v>
      </c>
      <c r="G601" s="1" t="s">
        <v>212</v>
      </c>
      <c r="K601" s="0" t="str">
        <f aca="false">HYPERLINK("https://lindat.mff.cuni.cz/services/SynSemClass55/SynSemClass55.html?veclass=vec00091", "vec00091 / přebít (v41hueA)")</f>
        <v>vec00091 / přebít (v41hueA)</v>
      </c>
      <c r="L601" s="0" t="n">
        <v>0.0711</v>
      </c>
      <c r="M601" s="5" t="s">
        <v>30</v>
      </c>
      <c r="P601" s="0" t="str">
        <f aca="false">HYPERLINK("https://lindat.mff.cuni.cz/services/SynSemClass55/SynSemClass55.html?veclass=vec01792", "vec01792 / obměkčit (v41dqyA)")</f>
        <v>vec01792 / obměkčit (v41dqyA)</v>
      </c>
      <c r="Q601" s="0" t="n">
        <v>0.05582</v>
      </c>
      <c r="R601" s="5" t="s">
        <v>30</v>
      </c>
      <c r="U601" s="0" t="str">
        <f aca="false">HYPERLINK("https://lindat.mff.cuni.cz/services/SynSemClass55/SynSemClass55.html?veclass=vec00667", "vec00667 / pobouřit (v41foxA)")</f>
        <v>vec00667 / pobouřit (v41foxA)</v>
      </c>
      <c r="V601" s="0" t="n">
        <v>0.04998</v>
      </c>
      <c r="W601" s="5" t="s">
        <v>30</v>
      </c>
      <c r="Z601" s="0" t="str">
        <f aca="false">HYPERLINK("https://lindat.mff.cuni.cz/services/SynSemClass55/SynSemClass55.html?veclass=vec01874", "vec01874 / rozkřičet (v41jsfA)")</f>
        <v>vec01874 / rozkřičet (v41jsfA)</v>
      </c>
      <c r="AA601" s="0" t="n">
        <v>0.04014</v>
      </c>
      <c r="AB601" s="5" t="s">
        <v>30</v>
      </c>
      <c r="AE601" s="0" t="str">
        <f aca="false">HYPERLINK("https://lindat.mff.cuni.cz/services/SynSemClass55/SynSemClass55.html?veclass=vec01823", "vec01823 / postrkovat (v41gnyB)")</f>
        <v>vec01823 / postrkovat (v41gnyB)</v>
      </c>
      <c r="AF601" s="0" t="n">
        <v>0.03547</v>
      </c>
      <c r="AG601" s="5" t="s">
        <v>30</v>
      </c>
    </row>
    <row r="603" customFormat="false" ht="12.75" hidden="false" customHeight="false" outlineLevel="0" collapsed="false">
      <c r="A603" s="0" t="str">
        <f aca="false">HYPERLINK("https://lindat.mff.cuni.cz/services/PDT-Vallex4.5/PDT-Vallex4.5.html?verb=vzhlížet", "vzhlížet")</f>
        <v>vzhlížet</v>
      </c>
      <c r="B603" s="0" t="str">
        <f aca="false">HYPERLINK("https://lindat.mff.cuni.cz/services/PDT-Vallex4.5/PDT-Vallex4.5.html?verb=vzhlížet#v41plyB", "v41plyB")</f>
        <v>v41plyB</v>
      </c>
      <c r="E603" s="0" t="n">
        <v>347</v>
      </c>
      <c r="F603" s="0" t="n">
        <v>0.76444</v>
      </c>
      <c r="G603" s="1" t="s">
        <v>31</v>
      </c>
      <c r="K603" s="0" t="str">
        <f aca="false">HYPERLINK("https://lindat.mff.cuni.cz/services/SynSemClass55/SynSemClass55.html?veclass=vec00869", "vec00869 / podívat se (v41fsdH)")</f>
        <v>vec00869 / podívat se (v41fsdH)</v>
      </c>
      <c r="L603" s="0" t="n">
        <v>0.76444</v>
      </c>
      <c r="M603" s="5" t="s">
        <v>33</v>
      </c>
      <c r="P603" s="0" t="str">
        <f aca="false">HYPERLINK("https://lindat.mff.cuni.cz/services/SynSemClass55/SynSemClass55.html?veclass=vec01048", "vec01048 / obdivovat (v41dngA)")</f>
        <v>vec01048 / obdivovat (v41dngA)</v>
      </c>
      <c r="Q603" s="0" t="n">
        <v>0.06987</v>
      </c>
      <c r="R603" s="5" t="s">
        <v>30</v>
      </c>
      <c r="U603" s="0" t="str">
        <f aca="false">HYPERLINK("https://lindat.mff.cuni.cz/services/SynSemClass55/SynSemClass55.html?veclass=vec00402", "vec00402 / brát (v41hsE)")</f>
        <v>vec00402 / brát (v41hsE)</v>
      </c>
      <c r="V603" s="0" t="n">
        <v>0.04964</v>
      </c>
      <c r="W603" s="5" t="s">
        <v>30</v>
      </c>
      <c r="Z603" s="0" t="str">
        <f aca="false">HYPERLINK("https://lindat.mff.cuni.cz/services/SynSemClass55/SynSemClass55.html?veclass=vec01263", "vec01263 / porozhlédnout se (v41gjlB)")</f>
        <v>vec01263 / porozhlédnout se (v41gjlB)</v>
      </c>
      <c r="AA603" s="0" t="n">
        <v>0.04181</v>
      </c>
      <c r="AB603" s="5" t="s">
        <v>30</v>
      </c>
      <c r="AE603" s="0" t="str">
        <f aca="false">HYPERLINK("https://lindat.mff.cuni.cz/services/SynSemClass55/SynSemClass55.html?veclass=vec00838", "vec00838 / mrknout (v41cjrA)")</f>
        <v>vec00838 / mrknout (v41cjrA)</v>
      </c>
      <c r="AF603" s="0" t="n">
        <v>0.04061</v>
      </c>
      <c r="AG603" s="5" t="s">
        <v>30</v>
      </c>
    </row>
    <row r="605" customFormat="false" ht="12.75" hidden="false" customHeight="false" outlineLevel="0" collapsed="false">
      <c r="A605" s="0" t="str">
        <f aca="false">HYPERLINK("https://lindat.mff.cuni.cz/services/PDT-Vallex4.5/PDT-Vallex4.5.html?verb=vzlétnout", "vzlétnout")</f>
        <v>vzlétnout</v>
      </c>
      <c r="B605" s="0" t="str">
        <f aca="false">HYPERLINK("https://lindat.mff.cuni.cz/services/PDT-Vallex4.5/PDT-Vallex4.5.html?verb=vzlétnout#v41pmjA", "v41pmjA")</f>
        <v>v41pmjA</v>
      </c>
      <c r="E605" s="0" t="n">
        <v>383</v>
      </c>
      <c r="F605" s="0" t="n">
        <v>0.23979</v>
      </c>
      <c r="G605" s="1" t="s">
        <v>31</v>
      </c>
      <c r="K605" s="0" t="str">
        <f aca="false">HYPERLINK("https://lindat.mff.cuni.cz/services/SynSemClass55/SynSemClass55.html?veclass=vec00427", "vec00427 / létat (v41bzwD)")</f>
        <v>vec00427 / létat (v41bzwD)</v>
      </c>
      <c r="L605" s="0" t="n">
        <v>0.23979</v>
      </c>
      <c r="M605" s="5" t="s">
        <v>32</v>
      </c>
      <c r="P605" s="0" t="str">
        <f aca="false">HYPERLINK("https://lindat.mff.cuni.cz/services/SynSemClass55/SynSemClass55.html?veclass=vec01113", "vec01113 / skákat (v41kpoB)")</f>
        <v>vec01113 / skákat (v41kpoB)</v>
      </c>
      <c r="Q605" s="0" t="n">
        <v>0.0945</v>
      </c>
      <c r="R605" s="5" t="s">
        <v>30</v>
      </c>
      <c r="U605" s="0" t="str">
        <f aca="false">HYPERLINK("https://lindat.mff.cuni.cz/services/SynSemClass55/SynSemClass55.html?veclass=vec00811", "vec00811 / dostat se (v41afyG)")</f>
        <v>vec00811 / dostat se (v41afyG)</v>
      </c>
      <c r="V605" s="0" t="n">
        <v>0.08123</v>
      </c>
      <c r="W605" s="5" t="s">
        <v>30</v>
      </c>
      <c r="Z605" s="0" t="str">
        <f aca="false">HYPERLINK("https://lindat.mff.cuni.cz/services/SynSemClass55/SynSemClass55.html?veclass=vec01367", "vec01367 / vznášet se (v41pmmB)")</f>
        <v>vec01367 / vznášet se (v41pmmB)</v>
      </c>
      <c r="AA605" s="0" t="n">
        <v>0.05991</v>
      </c>
      <c r="AB605" s="5" t="s">
        <v>30</v>
      </c>
      <c r="AE605" s="0" t="str">
        <f aca="false">HYPERLINK("https://lindat.mff.cuni.cz/services/SynSemClass55/SynSemClass55.html?veclass=vec00901", "vec00901 / přistát (v41iyzA)")</f>
        <v>vec00901 / přistát (v41iyzA)</v>
      </c>
      <c r="AF605" s="0" t="n">
        <v>0.04296</v>
      </c>
      <c r="AG605" s="5" t="s">
        <v>34</v>
      </c>
      <c r="AH605" s="0" t="s">
        <v>38</v>
      </c>
    </row>
    <row r="607" customFormat="false" ht="12.75" hidden="false" customHeight="false" outlineLevel="0" collapsed="false">
      <c r="A607" s="0" t="str">
        <f aca="false">HYPERLINK("https://lindat.mff.cuni.cz/services/PDT-Vallex4.5/PDT-Vallex4.5.html?verb=věstit", "věstit")</f>
        <v>věstit</v>
      </c>
      <c r="B607" s="0" t="str">
        <f aca="false">HYPERLINK("https://lindat.mff.cuni.cz/services/PDT-Vallex4.5/PDT-Vallex4.5.html?verb=věstit#v41njxA", "v41njxA")</f>
        <v>v41njxA</v>
      </c>
      <c r="E607" s="0" t="n">
        <v>82</v>
      </c>
      <c r="F607" s="0" t="n">
        <v>0.31988</v>
      </c>
      <c r="G607" s="1" t="s">
        <v>31</v>
      </c>
      <c r="K607" s="0" t="str">
        <f aca="false">HYPERLINK("https://lindat.mff.cuni.cz/services/SynSemClass55/SynSemClass55.html?veclass=vec00093", "vec00093 / předpovídat (v41hxtA)")</f>
        <v>vec00093 / předpovídat (v41hxtA)</v>
      </c>
      <c r="L607" s="0" t="n">
        <v>0.31988</v>
      </c>
      <c r="M607" s="5" t="s">
        <v>33</v>
      </c>
      <c r="P607" s="0" t="str">
        <f aca="false">HYPERLINK("https://lindat.mff.cuni.cz/services/SynSemClass55/SynSemClass55.html?veclass=vec01234", "vec01234 / naznačovat (v41dhzB)")</f>
        <v>vec01234 / naznačovat (v41dhzB)</v>
      </c>
      <c r="Q607" s="0" t="n">
        <v>0.06168</v>
      </c>
      <c r="R607" s="5" t="s">
        <v>30</v>
      </c>
      <c r="U607" s="0" t="str">
        <f aca="false">HYPERLINK("https://lindat.mff.cuni.cz/services/SynSemClass55/SynSemClass55.html?veclass=vec00060", "vec00060 / oznámit (v41fgeD)")</f>
        <v>vec00060 / oznámit (v41fgeD)</v>
      </c>
      <c r="V607" s="0" t="n">
        <v>0.04749</v>
      </c>
      <c r="W607" s="5" t="s">
        <v>30</v>
      </c>
      <c r="Z607" s="0" t="str">
        <f aca="false">HYPERLINK("https://lindat.mff.cuni.cz/services/SynSemClass55/SynSemClass55.html?veclass=vec00196", "vec00196 / způsobit (v41rvuB)")</f>
        <v>vec00196 / způsobit (v41rvuB)</v>
      </c>
      <c r="AA607" s="0" t="n">
        <v>0.03691</v>
      </c>
      <c r="AB607" s="5" t="s">
        <v>30</v>
      </c>
      <c r="AE607" s="0" t="str">
        <f aca="false">HYPERLINK("https://lindat.mff.cuni.cz/services/SynSemClass55/SynSemClass55.html?veclass=vec00194", "vec00194 / znamenat (v41rmoB)")</f>
        <v>vec00194 / znamenat (v41rmoB)</v>
      </c>
      <c r="AF607" s="0" t="n">
        <v>0.03356</v>
      </c>
      <c r="AG607" s="5" t="s">
        <v>30</v>
      </c>
    </row>
    <row r="609" customFormat="false" ht="12.75" hidden="false" customHeight="false" outlineLevel="0" collapsed="false">
      <c r="A609" s="0" t="str">
        <f aca="false">HYPERLINK("https://lindat.mff.cuni.cz/services/PDT-Vallex4.5/PDT-Vallex4.5.html?verb=zabezpečovat", "zabezpečovat")</f>
        <v>zabezpečovat</v>
      </c>
      <c r="B609" s="0" t="str">
        <f aca="false">HYPERLINK("https://lindat.mff.cuni.cz/services/PDT-Vallex4.5/PDT-Vallex4.5.html?verb=zabezpečovat#v41pouA", "v41pouA")</f>
        <v>v41pouA</v>
      </c>
      <c r="E609" s="0" t="n">
        <v>22</v>
      </c>
      <c r="F609" s="0" t="n">
        <v>0.67957</v>
      </c>
      <c r="G609" s="1" t="s">
        <v>31</v>
      </c>
      <c r="K609" s="0" t="str">
        <f aca="false">HYPERLINK("https://lindat.mff.cuni.cz/services/SynSemClass55/SynSemClass55.html?veclass=vec00178", "vec00178 / zajistit (v41pvyA)")</f>
        <v>vec00178 / zajistit (v41pvyA)</v>
      </c>
      <c r="L609" s="0" t="n">
        <v>0.67957</v>
      </c>
      <c r="M609" s="5" t="s">
        <v>33</v>
      </c>
      <c r="P609" s="0" t="str">
        <f aca="false">HYPERLINK("https://lindat.mff.cuni.cz/services/SynSemClass55/SynSemClass55.html?veclass=vec00024", "vec00024 / chránit (v41bbwA)")</f>
        <v>vec00024 / chránit (v41bbwA)</v>
      </c>
      <c r="Q609" s="0" t="n">
        <v>0.17811</v>
      </c>
      <c r="R609" s="5" t="s">
        <v>34</v>
      </c>
      <c r="U609" s="0" t="str">
        <f aca="false">HYPERLINK("https://lindat.mff.cuni.cz/services/SynSemClass55/SynSemClass55.html?veclass=vec00752", "vec00752 / vybavit (v41ntgA)")</f>
        <v>vec00752 / vybavit (v41ntgA)</v>
      </c>
      <c r="V609" s="0" t="n">
        <v>0.05967</v>
      </c>
      <c r="W609" s="5" t="s">
        <v>30</v>
      </c>
      <c r="Z609" s="0" t="str">
        <f aca="false">HYPERLINK("https://lindat.mff.cuni.cz/services/SynSemClass55/SynSemClass55.html?veclass=vec00820", "vec00820 / hlídat (v41avsA)")</f>
        <v>vec00820 / hlídat (v41avsA)</v>
      </c>
      <c r="AA609" s="0" t="n">
        <v>0.05292</v>
      </c>
      <c r="AB609" s="5" t="s">
        <v>30</v>
      </c>
      <c r="AE609" s="0" t="str">
        <f aca="false">HYPERLINK("https://lindat.mff.cuni.cz/services/SynSemClass55/SynSemClass55.html?veclass=vec01503", "vec01503 / odstínit (v41ekaA)")</f>
        <v>vec01503 / odstínit (v41ekaA)</v>
      </c>
      <c r="AF609" s="0" t="n">
        <v>0.04204</v>
      </c>
      <c r="AG609" s="5" t="s">
        <v>30</v>
      </c>
    </row>
    <row r="611" customFormat="false" ht="12.75" hidden="false" customHeight="false" outlineLevel="0" collapsed="false">
      <c r="A611" s="0" t="str">
        <f aca="false">HYPERLINK("https://lindat.mff.cuni.cz/services/PDT-Vallex4.5/PDT-Vallex4.5.html?verb=začínat si", "začínat si")</f>
        <v>začínat si</v>
      </c>
      <c r="B611" s="0" t="str">
        <f aca="false">HYPERLINK("https://lindat.mff.cuni.cz/services/PDT-Vallex4.5/PDT-Vallex4.5.html?verb=začínat si#v41pqzA", "v41pqzA")</f>
        <v>v41pqzA</v>
      </c>
      <c r="E611" s="0" t="n">
        <v>5000</v>
      </c>
      <c r="F611" s="0" t="n">
        <v>0.44388</v>
      </c>
      <c r="G611" s="1" t="n">
        <v>0</v>
      </c>
      <c r="I611" s="1" t="s">
        <v>213</v>
      </c>
      <c r="K611" s="0" t="str">
        <f aca="false">HYPERLINK("https://lindat.mff.cuni.cz/services/SynSemClass55/SynSemClass55.html?veclass=vec01555", "vec01555 / jmout se (v41bisA)")</f>
        <v>vec01555 / jmout se (v41bisA)</v>
      </c>
      <c r="L611" s="0" t="n">
        <v>0.44388</v>
      </c>
      <c r="M611" s="5" t="s">
        <v>30</v>
      </c>
      <c r="P611" s="0" t="str">
        <f aca="false">HYPERLINK("https://lindat.mff.cuni.cz/services/SynSemClass55/SynSemClass55.html?veclass=vec00097", "vec00097 / přicházet (v41irqL)")</f>
        <v>vec00097 / přicházet (v41irqL)</v>
      </c>
      <c r="Q611" s="0" t="n">
        <v>0.18738</v>
      </c>
      <c r="R611" s="5" t="s">
        <v>30</v>
      </c>
      <c r="U611" s="0" t="str">
        <f aca="false">HYPERLINK("https://lindat.mff.cuni.cz/services/SynSemClass55/SynSemClass55.html?veclass=vec01876", "vec01876 / rozpracovávat (v41jwrA)")</f>
        <v>vec01876 / rozpracovávat (v41jwrA)</v>
      </c>
      <c r="V611" s="0" t="n">
        <v>0.05353</v>
      </c>
      <c r="W611" s="5" t="s">
        <v>30</v>
      </c>
      <c r="Z611" s="0" t="str">
        <f aca="false">HYPERLINK("https://lindat.mff.cuni.cz/services/SynSemClass55/SynSemClass55.html?veclass=vec00500", "vec00500 / přikročit (v41itcA)")</f>
        <v>vec00500 / přikročit (v41itcA)</v>
      </c>
      <c r="AA611" s="0" t="n">
        <v>0.01895</v>
      </c>
      <c r="AB611" s="5" t="s">
        <v>30</v>
      </c>
      <c r="AE611" s="0" t="str">
        <f aca="false">HYPERLINK("https://lindat.mff.cuni.cz/services/SynSemClass55/SynSemClass55.html?veclass=vec00038", "vec00038 / nastartovat (v41dcfA)")</f>
        <v>vec00038 / nastartovat (v41dcfA)</v>
      </c>
      <c r="AF611" s="0" t="n">
        <v>0.01811</v>
      </c>
      <c r="AG611" s="5" t="s">
        <v>30</v>
      </c>
    </row>
    <row r="613" customFormat="false" ht="12.75" hidden="false" customHeight="false" outlineLevel="0" collapsed="false">
      <c r="A613" s="0" t="str">
        <f aca="false">HYPERLINK("https://lindat.mff.cuni.cz/services/PDT-Vallex4.5/PDT-Vallex4.5.html?verb=začít si", "začít si")</f>
        <v>začít si</v>
      </c>
      <c r="B613" s="0" t="str">
        <f aca="false">HYPERLINK("https://lindat.mff.cuni.cz/services/PDT-Vallex4.5/PDT-Vallex4.5.html?verb=začít si#v41prcA", "v41prcA")</f>
        <v>v41prcA</v>
      </c>
      <c r="E613" s="0" t="n">
        <v>5000</v>
      </c>
      <c r="F613" s="0" t="n">
        <v>0.35186</v>
      </c>
      <c r="G613" s="1" t="n">
        <v>0</v>
      </c>
      <c r="I613" s="1" t="s">
        <v>213</v>
      </c>
      <c r="K613" s="0" t="str">
        <f aca="false">HYPERLINK("https://lindat.mff.cuni.cz/services/SynSemClass55/SynSemClass55.html?veclass=vec01555", "vec01555 / jmout se (v41bisA)")</f>
        <v>vec01555 / jmout se (v41bisA)</v>
      </c>
      <c r="L613" s="0" t="n">
        <v>0.35186</v>
      </c>
      <c r="M613" s="5" t="s">
        <v>30</v>
      </c>
      <c r="P613" s="0" t="str">
        <f aca="false">HYPERLINK("https://lindat.mff.cuni.cz/services/SynSemClass55/SynSemClass55.html?veclass=vec00097", "vec00097 / přicházet (v41irqL)")</f>
        <v>vec00097 / přicházet (v41irqL)</v>
      </c>
      <c r="Q613" s="0" t="n">
        <v>0.07736</v>
      </c>
      <c r="R613" s="5" t="s">
        <v>30</v>
      </c>
      <c r="U613" s="0" t="str">
        <f aca="false">HYPERLINK("https://lindat.mff.cuni.cz/services/SynSemClass55/SynSemClass55.html?veclass=vec01876", "vec01876 / rozpracovávat (v41jwrA)")</f>
        <v>vec01876 / rozpracovávat (v41jwrA)</v>
      </c>
      <c r="V613" s="0" t="n">
        <v>0.05425</v>
      </c>
      <c r="W613" s="5" t="s">
        <v>30</v>
      </c>
      <c r="Z613" s="0" t="str">
        <f aca="false">HYPERLINK("https://lindat.mff.cuni.cz/services/SynSemClass55/SynSemClass55.html?veclass=vec00500", "vec00500 / přikročit (v41itcA)")</f>
        <v>vec00500 / přikročit (v41itcA)</v>
      </c>
      <c r="AA613" s="0" t="n">
        <v>0.0369</v>
      </c>
      <c r="AB613" s="5" t="s">
        <v>30</v>
      </c>
      <c r="AE613" s="0" t="str">
        <f aca="false">HYPERLINK("https://lindat.mff.cuni.cz/services/SynSemClass55/SynSemClass55.html?veclass=vec00038", "vec00038 / nastartovat (v41dcfA)")</f>
        <v>vec00038 / nastartovat (v41dcfA)</v>
      </c>
      <c r="AF613" s="0" t="n">
        <v>0.01987</v>
      </c>
      <c r="AG613" s="5" t="s">
        <v>30</v>
      </c>
    </row>
    <row r="615" customFormat="false" ht="12.75" hidden="false" customHeight="false" outlineLevel="0" collapsed="false">
      <c r="A615" s="0" t="str">
        <f aca="false">HYPERLINK("https://lindat.mff.cuni.cz/services/PDT-Vallex4.5/PDT-Vallex4.5.html?verb=zadusit", "zadusit")</f>
        <v>zadusit</v>
      </c>
      <c r="B615" s="0" t="str">
        <f aca="false">HYPERLINK("https://lindat.mff.cuni.cz/services/PDT-Vallex4.5/PDT-Vallex4.5.html?verb=zadusit#v41pshA", "v41pshA")</f>
        <v>v41pshA</v>
      </c>
      <c r="E615" s="0" t="n">
        <v>213</v>
      </c>
      <c r="F615" s="0" t="n">
        <v>0.13077</v>
      </c>
      <c r="G615" s="1" t="s">
        <v>77</v>
      </c>
      <c r="K615" s="0" t="str">
        <f aca="false">HYPERLINK("https://lindat.mff.cuni.cz/services/SynSemClass55/SynSemClass55.html?veclass=vec01549", "vec01549 / dusit se (v41alzA)")</f>
        <v>vec01549 / dusit se (v41alzA)</v>
      </c>
      <c r="L615" s="0" t="n">
        <v>0.13077</v>
      </c>
      <c r="M615" s="5" t="s">
        <v>30</v>
      </c>
      <c r="P615" s="0" t="str">
        <f aca="false">HYPERLINK("https://lindat.mff.cuni.cz/services/SynSemClass55/SynSemClass55.html?veclass=vec01514", "vec01514 / předávkovat (v41hvjA)")</f>
        <v>vec01514 / předávkovat (v41hvjA)</v>
      </c>
      <c r="Q615" s="0" t="n">
        <v>0.0928</v>
      </c>
      <c r="R615" s="5" t="s">
        <v>30</v>
      </c>
      <c r="U615" s="0" t="str">
        <f aca="false">HYPERLINK("https://lindat.mff.cuni.cz/services/SynSemClass55/SynSemClass55.html?veclass=vec00091", "vec00091 / přebít (v41hueA)")</f>
        <v>vec00091 / přebít (v41hueA)</v>
      </c>
      <c r="V615" s="0" t="n">
        <v>0.08142</v>
      </c>
      <c r="W615" s="5" t="s">
        <v>30</v>
      </c>
      <c r="Z615" s="0" t="str">
        <f aca="false">HYPERLINK("https://lindat.mff.cuni.cz/services/SynSemClass55/SynSemClass55.html?veclass=vec01940", "vec01940 / vylekat se (v41ohtA)")</f>
        <v>vec01940 / vylekat se (v41ohtA)</v>
      </c>
      <c r="AA615" s="0" t="n">
        <v>0.0423</v>
      </c>
      <c r="AB615" s="5" t="s">
        <v>30</v>
      </c>
      <c r="AE615" s="0" t="str">
        <f aca="false">HYPERLINK("https://lindat.mff.cuni.cz/services/SynSemClass55/SynSemClass55.html?veclass=vec00576", "vec00576 / zaplavit (v41qflC)")</f>
        <v>vec00576 / zaplavit (v41qflC)</v>
      </c>
      <c r="AF615" s="0" t="n">
        <v>0.04013</v>
      </c>
      <c r="AG615" s="5" t="s">
        <v>30</v>
      </c>
    </row>
    <row r="617" customFormat="false" ht="12.75" hidden="false" customHeight="false" outlineLevel="0" collapsed="false">
      <c r="A617" s="0" t="str">
        <f aca="false">HYPERLINK("https://lindat.mff.cuni.cz/services/PDT-Vallex4.5/PDT-Vallex4.5.html?verb=zadělat", "zadělat")</f>
        <v>zadělat</v>
      </c>
      <c r="B617" s="0" t="str">
        <f aca="false">HYPERLINK("https://lindat.mff.cuni.cz/services/PDT-Vallex4.5/PDT-Vallex4.5.html?verb=zadělat#v41prrA", "v41prrA")</f>
        <v>v41prrA</v>
      </c>
      <c r="E617" s="0" t="n">
        <v>45</v>
      </c>
      <c r="F617" s="0" t="n">
        <v>0.0615</v>
      </c>
      <c r="G617" s="1" t="s">
        <v>31</v>
      </c>
      <c r="K617" s="0" t="str">
        <f aca="false">HYPERLINK("https://lindat.mff.cuni.cz/services/SynSemClass55/SynSemClass55.html?veclass=vec00169", "vec00169 / vytěžit (v41pcrA)")</f>
        <v>vec00169 / vytěžit (v41pcrA)</v>
      </c>
      <c r="L617" s="0" t="n">
        <v>0.0615</v>
      </c>
      <c r="M617" s="5" t="s">
        <v>30</v>
      </c>
      <c r="P617" s="0" t="str">
        <f aca="false">HYPERLINK("https://lindat.mff.cuni.cz/services/SynSemClass55/SynSemClass55.html?veclass=vec00196", "vec00196 / způsobit (v41rvuB)")</f>
        <v>vec00196 / způsobit (v41rvuB)</v>
      </c>
      <c r="Q617" s="0" t="n">
        <v>0.04361</v>
      </c>
      <c r="R617" s="5" t="s">
        <v>33</v>
      </c>
      <c r="U617" s="0" t="str">
        <f aca="false">HYPERLINK("https://lindat.mff.cuni.cz/services/SynSemClass55/SynSemClass55.html?veclass=vec00104", "vec00104 / riskovat (v41jkvA)")</f>
        <v>vec00104 / riskovat (v41jkvA)</v>
      </c>
      <c r="V617" s="0" t="n">
        <v>0.04296</v>
      </c>
      <c r="W617" s="5" t="s">
        <v>30</v>
      </c>
      <c r="Z617" s="0" t="str">
        <f aca="false">HYPERLINK("https://lindat.mff.cuni.cz/services/SynSemClass55/SynSemClass55.html?veclass=vec00589", "vec00589 / zmást (v41rjtA)")</f>
        <v>vec00589 / zmást (v41rjtA)</v>
      </c>
      <c r="AA617" s="0" t="n">
        <v>0.03936</v>
      </c>
      <c r="AB617" s="5" t="s">
        <v>30</v>
      </c>
      <c r="AE617" s="0" t="str">
        <f aca="false">HYPERLINK("https://lindat.mff.cuni.cz/services/SynSemClass55/SynSemClass55.html?veclass=vec00884", "vec00884 / proklestit (v41hfxA)")</f>
        <v>vec00884 / proklestit (v41hfxA)</v>
      </c>
      <c r="AF617" s="0" t="n">
        <v>0.03602</v>
      </c>
      <c r="AG617" s="5" t="s">
        <v>30</v>
      </c>
    </row>
    <row r="619" customFormat="false" ht="12.75" hidden="false" customHeight="false" outlineLevel="0" collapsed="false">
      <c r="A619" s="0" t="str">
        <f aca="false">HYPERLINK("https://lindat.mff.cuni.cz/services/PDT-Vallex4.5/PDT-Vallex4.5.html?verb=zachytávat", "zachytávat")</f>
        <v>zachytávat</v>
      </c>
      <c r="B619" s="0" t="str">
        <f aca="false">HYPERLINK("https://lindat.mff.cuni.cz/services/PDT-Vallex4.5/PDT-Vallex4.5.html?verb=zachytávat#v41pvdA", "v41pvdA")</f>
        <v>v41pvdA</v>
      </c>
      <c r="E619" s="0" t="n">
        <v>59</v>
      </c>
      <c r="F619" s="0" t="n">
        <v>0.11815</v>
      </c>
      <c r="G619" s="1" t="s">
        <v>31</v>
      </c>
      <c r="K619" s="0" t="str">
        <f aca="false">HYPERLINK("https://lindat.mff.cuni.cz/services/SynSemClass55/SynSemClass55.html?veclass=vec00615", "vec00615 / chytit (v41bczB)")</f>
        <v>vec00615 / chytit (v41bczB)</v>
      </c>
      <c r="L619" s="0" t="n">
        <v>0.11815</v>
      </c>
      <c r="M619" s="5" t="s">
        <v>30</v>
      </c>
      <c r="P619" s="0" t="str">
        <f aca="false">HYPERLINK("https://lindat.mff.cuni.cz/services/SynSemClass55/SynSemClass55.html?veclass=vec01478", "vec01478 / zachytit (v41pveC)")</f>
        <v>vec01478 / zachytit (v41pveC)</v>
      </c>
      <c r="Q619" s="0" t="n">
        <v>0.07728</v>
      </c>
      <c r="R619" s="5" t="s">
        <v>34</v>
      </c>
      <c r="U619" s="0" t="str">
        <f aca="false">HYPERLINK("https://lindat.mff.cuni.cz/services/SynSemClass55/SynSemClass55.html?veclass=vec01169", "vec01169 / zachytit (v41pveE)")</f>
        <v>vec01169 / zachytit (v41pveE)</v>
      </c>
      <c r="V619" s="0" t="n">
        <v>0.07415</v>
      </c>
      <c r="W619" s="5" t="s">
        <v>30</v>
      </c>
      <c r="Z619" s="0" t="str">
        <f aca="false">HYPERLINK("https://lindat.mff.cuni.cz/services/SynSemClass55/SynSemClass55.html?veclass=vec01369", "vec01369 / zadrhnout se (v41pscA)")</f>
        <v>vec01369 / zadrhnout se (v41pscA)</v>
      </c>
      <c r="AA619" s="0" t="n">
        <v>0.06076</v>
      </c>
      <c r="AB619" s="5" t="s">
        <v>30</v>
      </c>
      <c r="AE619" s="0" t="str">
        <f aca="false">HYPERLINK("https://lindat.mff.cuni.cz/services/SynSemClass55/SynSemClass55.html?veclass=vec01168", "vec01168 / zachytit (v41pveA)")</f>
        <v>vec01168 / zachytit (v41pveA)</v>
      </c>
      <c r="AF619" s="0" t="n">
        <v>0.05382</v>
      </c>
      <c r="AG619" s="5" t="s">
        <v>30</v>
      </c>
    </row>
    <row r="621" customFormat="false" ht="12.75" hidden="false" customHeight="false" outlineLevel="0" collapsed="false">
      <c r="A621" s="0" t="str">
        <f aca="false">HYPERLINK("https://lindat.mff.cuni.cz/services/PDT-Vallex4.5/PDT-Vallex4.5.html?verb=zaklínit", "zaklínit")</f>
        <v>zaklínit</v>
      </c>
      <c r="B621" s="0" t="str">
        <f aca="false">HYPERLINK("https://lindat.mff.cuni.cz/services/PDT-Vallex4.5/PDT-Vallex4.5.html?verb=zaklínit#v41pxcB", "v41pxcB")</f>
        <v>v41pxcB</v>
      </c>
      <c r="E621" s="0" t="n">
        <v>80</v>
      </c>
      <c r="F621" s="0" t="n">
        <v>0.08299</v>
      </c>
      <c r="G621" s="1" t="s">
        <v>31</v>
      </c>
      <c r="K621" s="0" t="str">
        <f aca="false">HYPERLINK("https://lindat.mff.cuni.cz/services/SynSemClass55/SynSemClass55.html?veclass=vec00833", "vec00833 / mačkat se (v41cdaA)")</f>
        <v>vec00833 / mačkat se (v41cdaA)</v>
      </c>
      <c r="L621" s="0" t="n">
        <v>0.08299</v>
      </c>
      <c r="M621" s="5" t="s">
        <v>30</v>
      </c>
      <c r="P621" s="0" t="str">
        <f aca="false">HYPERLINK("https://lindat.mff.cuni.cz/services/SynSemClass55/SynSemClass55.html?veclass=vec00735", "vec00735 / umístit (v41motA)")</f>
        <v>vec00735 / umístit (v41motA)</v>
      </c>
      <c r="Q621" s="0" t="n">
        <v>0.06147</v>
      </c>
      <c r="R621" s="5" t="s">
        <v>33</v>
      </c>
      <c r="U621" s="0" t="str">
        <f aca="false">HYPERLINK("https://lindat.mff.cuni.cz/services/SynSemClass55/SynSemClass55.html?veclass=vec01342", "vec01342 / uzamknout (v41nefA)")</f>
        <v>vec01342 / uzamknout (v41nefA)</v>
      </c>
      <c r="V621" s="0" t="n">
        <v>0.05637</v>
      </c>
      <c r="W621" s="5" t="s">
        <v>30</v>
      </c>
      <c r="Z621" s="0" t="str">
        <f aca="false">HYPERLINK("https://lindat.mff.cuni.cz/services/SynSemClass55/SynSemClass55.html?veclass=vec01500", "vec01500 / obouvat (v41drsA)")</f>
        <v>vec01500 / obouvat (v41drsA)</v>
      </c>
      <c r="AA621" s="0" t="n">
        <v>0.05488</v>
      </c>
      <c r="AB621" s="5" t="s">
        <v>30</v>
      </c>
      <c r="AE621" s="0" t="str">
        <f aca="false">HYPERLINK("https://lindat.mff.cuni.cz/services/SynSemClass55/SynSemClass55.html?veclass=vec00899", "vec00899 / připevnit (v41ivdA)")</f>
        <v>vec00899 / připevnit (v41ivdA)</v>
      </c>
      <c r="AF621" s="0" t="n">
        <v>0.04871</v>
      </c>
      <c r="AG621" s="5" t="s">
        <v>30</v>
      </c>
    </row>
    <row r="623" customFormat="false" ht="12.75" hidden="false" customHeight="false" outlineLevel="0" collapsed="false">
      <c r="A623" s="0" t="str">
        <f aca="false">HYPERLINK("https://lindat.mff.cuni.cz/services/PDT-Vallex4.5/PDT-Vallex4.5.html?verb=zanalyzovat", "zanalyzovat")</f>
        <v>zanalyzovat</v>
      </c>
      <c r="B623" s="0" t="str">
        <f aca="false">HYPERLINK("https://lindat.mff.cuni.cz/services/PDT-Vallex4.5/PDT-Vallex4.5.html?verb=zanalyzovat#v41qcyA", "v41qcyA")</f>
        <v>v41qcyA</v>
      </c>
      <c r="E623" s="0" t="n">
        <v>5</v>
      </c>
      <c r="F623" s="0" t="n">
        <v>0.37613</v>
      </c>
      <c r="G623" s="1" t="s">
        <v>31</v>
      </c>
      <c r="K623" s="0" t="str">
        <f aca="false">HYPERLINK("https://lindat.mff.cuni.cz/services/SynSemClass55/SynSemClass55.html?veclass=vec00090", "vec00090 / prozkoumat (v41hsgA)")</f>
        <v>vec00090 / prozkoumat (v41hsgA)</v>
      </c>
      <c r="L623" s="0" t="n">
        <v>0.37613</v>
      </c>
      <c r="M623" s="5" t="s">
        <v>33</v>
      </c>
      <c r="P623" s="0" t="str">
        <f aca="false">HYPERLINK("https://lindat.mff.cuni.cz/services/SynSemClass55/SynSemClass55.html?veclass=vec01304", "vec01304 / revidovat (v41jjxA)")</f>
        <v>vec01304 / revidovat (v41jjxA)</v>
      </c>
      <c r="Q623" s="0" t="n">
        <v>0.25902</v>
      </c>
      <c r="R623" s="5" t="s">
        <v>30</v>
      </c>
      <c r="U623" s="0" t="str">
        <f aca="false">HYPERLINK("https://lindat.mff.cuni.cz/services/SynSemClass55/SynSemClass55.html?veclass=vec01515", "vec01515 / přeměřovat (v41iegA)")</f>
        <v>vec01515 / přeměřovat (v41iegA)</v>
      </c>
      <c r="V623" s="0" t="n">
        <v>0.05299</v>
      </c>
      <c r="W623" s="5" t="s">
        <v>30</v>
      </c>
      <c r="Z623" s="0" t="str">
        <f aca="false">HYPERLINK("https://lindat.mff.cuni.cz/services/SynSemClass55/SynSemClass55.html?veclass=vec00879", "vec00879 / probrat se (v41hapB)")</f>
        <v>vec00879 / probrat se (v41hapB)</v>
      </c>
      <c r="AA623" s="0" t="n">
        <v>0.03168</v>
      </c>
      <c r="AB623" s="5" t="s">
        <v>30</v>
      </c>
      <c r="AE623" s="0" t="str">
        <f aca="false">HYPERLINK("https://lindat.mff.cuni.cz/services/SynSemClass55/SynSemClass55.html?veclass=vec01353", "vec01353 / vyprávět (v41orhA)")</f>
        <v>vec01353 / vyprávět (v41orhA)</v>
      </c>
      <c r="AF623" s="0" t="n">
        <v>0.02467</v>
      </c>
      <c r="AG623" s="5" t="s">
        <v>30</v>
      </c>
    </row>
    <row r="625" customFormat="false" ht="12.75" hidden="false" customHeight="false" outlineLevel="0" collapsed="false">
      <c r="A625" s="0" t="str">
        <f aca="false">HYPERLINK("https://lindat.mff.cuni.cz/services/PDT-Vallex4.5/PDT-Vallex4.5.html?verb=zaplombovat", "zaplombovat")</f>
        <v>zaplombovat</v>
      </c>
      <c r="B625" s="0" t="str">
        <f aca="false">HYPERLINK("https://lindat.mff.cuni.cz/services/PDT-Vallex4.5/PDT-Vallex4.5.html?verb=zaplombovat#v41qfvA", "v41qfvA")</f>
        <v>v41qfvA</v>
      </c>
      <c r="E625" s="0" t="n">
        <v>10</v>
      </c>
      <c r="F625" s="0" t="n">
        <v>0.0653</v>
      </c>
      <c r="G625" s="1" t="s">
        <v>31</v>
      </c>
      <c r="K625" s="0" t="str">
        <f aca="false">HYPERLINK("https://lindat.mff.cuni.cz/services/SynSemClass55/SynSemClass55.html?veclass=vec01216", "vec01216 / hrabat se (v41aygA)")</f>
        <v>vec01216 / hrabat se (v41aygA)</v>
      </c>
      <c r="L625" s="0" t="n">
        <v>0.0653</v>
      </c>
      <c r="M625" s="5" t="s">
        <v>30</v>
      </c>
      <c r="P625" s="0" t="str">
        <f aca="false">HYPERLINK("https://lindat.mff.cuni.cz/services/SynSemClass55/SynSemClass55.html?veclass=vec01250", "vec01250 / opracovávat (v41ewzA)")</f>
        <v>vec01250 / opracovávat (v41ewzA)</v>
      </c>
      <c r="Q625" s="0" t="n">
        <v>0.05809</v>
      </c>
      <c r="R625" s="5" t="s">
        <v>30</v>
      </c>
      <c r="U625" s="0" t="str">
        <f aca="false">HYPERLINK("https://lindat.mff.cuni.cz/services/SynSemClass55/SynSemClass55.html?veclass=vec00943", "vec00943 / utáhnout (v41mzjC)")</f>
        <v>vec00943 / utáhnout (v41mzjC)</v>
      </c>
      <c r="V625" s="0" t="n">
        <v>0.05381</v>
      </c>
      <c r="W625" s="5" t="s">
        <v>30</v>
      </c>
      <c r="Z625" s="0" t="str">
        <f aca="false">HYPERLINK("https://lindat.mff.cuni.cz/services/SynSemClass55/SynSemClass55.html?veclass=vec00932", "vec00932 / strčit (v41lmaE)")</f>
        <v>vec00932 / strčit (v41lmaE)</v>
      </c>
      <c r="AA625" s="0" t="n">
        <v>0.05378</v>
      </c>
      <c r="AB625" s="5" t="s">
        <v>30</v>
      </c>
      <c r="AE625" s="0" t="str">
        <f aca="false">HYPERLINK("https://lindat.mff.cuni.cz/services/SynSemClass55/SynSemClass55.html?veclass=vec01342", "vec01342 / uzamknout (v41nefA)")</f>
        <v>vec01342 / uzamknout (v41nefA)</v>
      </c>
      <c r="AF625" s="0" t="n">
        <v>0.04583</v>
      </c>
      <c r="AG625" s="5" t="s">
        <v>34</v>
      </c>
    </row>
    <row r="627" customFormat="false" ht="12.75" hidden="false" customHeight="false" outlineLevel="0" collapsed="false">
      <c r="A627" s="0" t="str">
        <f aca="false">HYPERLINK("https://lindat.mff.cuni.cz/services/PDT-Vallex4.5/PDT-Vallex4.5.html?verb=zapraskat", "zapraskat")</f>
        <v>zapraskat</v>
      </c>
      <c r="B627" s="0" t="str">
        <f aca="false">HYPERLINK("https://lindat.mff.cuni.cz/services/PDT-Vallex4.5/PDT-Vallex4.5.html?verb=zapraskat#v41qhbA", "v41qhbA")</f>
        <v>v41qhbA</v>
      </c>
      <c r="E627" s="0" t="n">
        <v>276</v>
      </c>
      <c r="F627" s="0" t="n">
        <v>0.32513</v>
      </c>
      <c r="G627" s="1" t="s">
        <v>31</v>
      </c>
      <c r="K627" s="0" t="str">
        <f aca="false">HYPERLINK("https://lindat.mff.cuni.cz/services/SynSemClass55/SynSemClass55.html?veclass=vec00681", "vec00681 / prasknout (v41gykA)")</f>
        <v>vec00681 / prasknout (v41gykA)</v>
      </c>
      <c r="L627" s="0" t="n">
        <v>0.32513</v>
      </c>
      <c r="M627" s="5" t="s">
        <v>33</v>
      </c>
      <c r="P627" s="0" t="str">
        <f aca="false">HYPERLINK("https://lindat.mff.cuni.cz/services/SynSemClass55/SynSemClass55.html?veclass=vec01348", "vec01348 / vrčet (v41nqjC)")</f>
        <v>vec01348 / vrčet (v41nqjC)</v>
      </c>
      <c r="Q627" s="0" t="n">
        <v>0.06554</v>
      </c>
      <c r="R627" s="5" t="s">
        <v>30</v>
      </c>
      <c r="U627" s="0" t="str">
        <f aca="false">HYPERLINK("https://lindat.mff.cuni.cz/services/SynSemClass55/SynSemClass55.html?veclass=vec01517", "vec01517 / rozhořet se (v41jquA)")</f>
        <v>vec01517 / rozhořet se (v41jquA)</v>
      </c>
      <c r="V627" s="0" t="n">
        <v>0.03445</v>
      </c>
      <c r="W627" s="5" t="s">
        <v>30</v>
      </c>
      <c r="Z627" s="0" t="str">
        <f aca="false">HYPERLINK("https://lindat.mff.cuni.cz/services/SynSemClass55/SynSemClass55.html?veclass=vec01587", "vec01587 / omdlít (v41etaA)")</f>
        <v>vec01587 / omdlít (v41etaA)</v>
      </c>
      <c r="AA627" s="0" t="n">
        <v>0.03338</v>
      </c>
      <c r="AB627" s="5" t="s">
        <v>30</v>
      </c>
      <c r="AE627" s="0" t="str">
        <f aca="false">HYPERLINK("https://lindat.mff.cuni.cz/services/SynSemClass55/SynSemClass55.html?veclass=vec01254", "vec01254 / ozvat se (v41fgkC)")</f>
        <v>vec01254 / ozvat se (v41fgkC)</v>
      </c>
      <c r="AF627" s="0" t="n">
        <v>0.0303</v>
      </c>
      <c r="AG627" s="5" t="s">
        <v>30</v>
      </c>
    </row>
    <row r="628" customFormat="false" ht="12.75" hidden="false" customHeight="false" outlineLevel="0" collapsed="false">
      <c r="A628" s="0" t="str">
        <f aca="false">HYPERLINK("https://lindat.mff.cuni.cz/services/PDT-Vallex4.5/PDT-Vallex4.5.html?verb=zapraskat", "zapraskat")</f>
        <v>zapraskat</v>
      </c>
      <c r="B628" s="0" t="str">
        <f aca="false">HYPERLINK("https://lindat.mff.cuni.cz/services/PDT-Vallex4.5/PDT-Vallex4.5.html?verb=zapraskat#v41qhbB", "v41qhbB")</f>
        <v>v41qhbB</v>
      </c>
      <c r="E628" s="0" t="n">
        <v>276</v>
      </c>
      <c r="F628" s="0" t="n">
        <v>0.32513</v>
      </c>
      <c r="G628" s="1" t="s">
        <v>31</v>
      </c>
      <c r="K628" s="0" t="str">
        <f aca="false">HYPERLINK("https://lindat.mff.cuni.cz/services/SynSemClass55/SynSemClass55.html?veclass=vec00681", "vec00681 / prasknout (v41gykA)")</f>
        <v>vec00681 / prasknout (v41gykA)</v>
      </c>
      <c r="L628" s="0" t="n">
        <v>0.32513</v>
      </c>
      <c r="M628" s="5" t="s">
        <v>30</v>
      </c>
      <c r="P628" s="0" t="str">
        <f aca="false">HYPERLINK("https://lindat.mff.cuni.cz/services/SynSemClass55/SynSemClass55.html?veclass=vec01348", "vec01348 / vrčet (v41nqjC)")</f>
        <v>vec01348 / vrčet (v41nqjC)</v>
      </c>
      <c r="Q628" s="0" t="n">
        <v>0.06554</v>
      </c>
      <c r="R628" s="5" t="s">
        <v>30</v>
      </c>
      <c r="U628" s="0" t="str">
        <f aca="false">HYPERLINK("https://lindat.mff.cuni.cz/services/SynSemClass55/SynSemClass55.html?veclass=vec01517", "vec01517 / rozhořet se (v41jquA)")</f>
        <v>vec01517 / rozhořet se (v41jquA)</v>
      </c>
      <c r="V628" s="0" t="n">
        <v>0.03445</v>
      </c>
      <c r="W628" s="5" t="s">
        <v>30</v>
      </c>
      <c r="Z628" s="0" t="str">
        <f aca="false">HYPERLINK("https://lindat.mff.cuni.cz/services/SynSemClass55/SynSemClass55.html?veclass=vec01587", "vec01587 / omdlít (v41etaA)")</f>
        <v>vec01587 / omdlít (v41etaA)</v>
      </c>
      <c r="AA628" s="0" t="n">
        <v>0.03338</v>
      </c>
      <c r="AB628" s="5" t="s">
        <v>30</v>
      </c>
      <c r="AE628" s="0" t="str">
        <f aca="false">HYPERLINK("https://lindat.mff.cuni.cz/services/SynSemClass55/SynSemClass55.html?veclass=vec01254", "vec01254 / ozvat se (v41fgkC)")</f>
        <v>vec01254 / ozvat se (v41fgkC)</v>
      </c>
      <c r="AF628" s="0" t="n">
        <v>0.0303</v>
      </c>
      <c r="AG628" s="5" t="s">
        <v>34</v>
      </c>
    </row>
    <row r="630" customFormat="false" ht="12.75" hidden="false" customHeight="false" outlineLevel="0" collapsed="false">
      <c r="A630" s="0" t="str">
        <f aca="false">HYPERLINK("https://lindat.mff.cuni.cz/services/PDT-Vallex4.5/PDT-Vallex4.5.html?verb=zapsat se", "zapsat se")</f>
        <v>zapsat se</v>
      </c>
      <c r="B630" s="0" t="str">
        <f aca="false">HYPERLINK("https://lindat.mff.cuni.cz/services/PDT-Vallex4.5/PDT-Vallex4.5.html?verb=zapsat se#v41qhtA", "v41qhtA")</f>
        <v>v41qhtA</v>
      </c>
      <c r="E630" s="0" t="n">
        <v>1138</v>
      </c>
      <c r="F630" s="0" t="n">
        <v>0.36962</v>
      </c>
      <c r="G630" s="1" t="n">
        <v>0</v>
      </c>
      <c r="I630" s="1" t="s">
        <v>214</v>
      </c>
      <c r="K630" s="0" t="str">
        <f aca="false">HYPERLINK("https://lindat.mff.cuni.cz/services/SynSemClass55/SynSemClass55.html?veclass=vec01345", "vec01345 / vepsat (v41njiA)")</f>
        <v>vec01345 / vepsat (v41njiA)</v>
      </c>
      <c r="L630" s="0" t="n">
        <v>0.36962</v>
      </c>
      <c r="M630" s="5" t="s">
        <v>30</v>
      </c>
      <c r="P630" s="0" t="str">
        <f aca="false">HYPERLINK("https://lindat.mff.cuni.cz/services/SynSemClass55/SynSemClass55.html?veclass=vec00507", "vec00507 / registrovat (v41jheB)")</f>
        <v>vec00507 / registrovat (v41jheB)</v>
      </c>
      <c r="Q630" s="0" t="n">
        <v>0.21068</v>
      </c>
      <c r="R630" s="5" t="s">
        <v>30</v>
      </c>
      <c r="U630" s="0" t="str">
        <f aca="false">HYPERLINK("https://lindat.mff.cuni.cz/services/SynSemClass55/SynSemClass55.html?veclass=vec00037", "vec00037 / napsat (v41cyqJ)")</f>
        <v>vec00037 / napsat (v41cyqJ)</v>
      </c>
      <c r="V630" s="0" t="n">
        <v>0.08021</v>
      </c>
      <c r="W630" s="5" t="s">
        <v>30</v>
      </c>
      <c r="Z630" s="0" t="str">
        <f aca="false">HYPERLINK("https://lindat.mff.cuni.cz/services/SynSemClass55/SynSemClass55.html?veclass=vec00239", "vec00239 / nastoupit (v41dcwD)")</f>
        <v>vec00239 / nastoupit (v41dcwD)</v>
      </c>
      <c r="AA630" s="0" t="n">
        <v>0.04561</v>
      </c>
      <c r="AB630" s="5" t="s">
        <v>30</v>
      </c>
      <c r="AE630" s="0" t="str">
        <f aca="false">HYPERLINK("https://lindat.mff.cuni.cz/services/SynSemClass55/SynSemClass55.html?veclass=vec01249", "vec01249 / opisovat (v41evuA)")</f>
        <v>vec01249 / opisovat (v41evuA)</v>
      </c>
      <c r="AF630" s="0" t="n">
        <v>0.02113</v>
      </c>
      <c r="AG630" s="5" t="s">
        <v>30</v>
      </c>
    </row>
    <row r="632" customFormat="false" ht="12.75" hidden="false" customHeight="false" outlineLevel="0" collapsed="false">
      <c r="A632" s="0" t="str">
        <f aca="false">HYPERLINK("https://lindat.mff.cuni.cz/services/PDT-Vallex4.5/PDT-Vallex4.5.html?verb=zastírat", "zastírat")</f>
        <v>zastírat</v>
      </c>
      <c r="B632" s="0" t="str">
        <f aca="false">HYPERLINK("https://lindat.mff.cuni.cz/services/PDT-Vallex4.5/PDT-Vallex4.5.html?verb=zastírat#v41qmoA", "v41qmoA")</f>
        <v>v41qmoA</v>
      </c>
      <c r="E632" s="0" t="n">
        <v>164</v>
      </c>
      <c r="F632" s="0" t="n">
        <v>0.68519</v>
      </c>
      <c r="G632" s="1" t="s">
        <v>31</v>
      </c>
      <c r="K632" s="0" t="str">
        <f aca="false">HYPERLINK("https://lindat.mff.cuni.cz/services/SynSemClass55/SynSemClass55.html?veclass=vec00514", "vec00514 / skrýt (v41krqB)")</f>
        <v>vec00514 / skrýt (v41krqB)</v>
      </c>
      <c r="L632" s="0" t="n">
        <v>0.68519</v>
      </c>
      <c r="M632" s="5" t="s">
        <v>33</v>
      </c>
      <c r="P632" s="0" t="str">
        <f aca="false">HYPERLINK("https://lindat.mff.cuni.cz/services/SynSemClass55/SynSemClass55.html?veclass=vec00770", "vec00770 / zamlžit (v41qcdA)")</f>
        <v>vec00770 / zamlžit (v41qcdA)</v>
      </c>
      <c r="Q632" s="0" t="n">
        <v>0.11604</v>
      </c>
      <c r="R632" s="5" t="s">
        <v>30</v>
      </c>
      <c r="U632" s="0" t="str">
        <f aca="false">HYPERLINK("https://lindat.mff.cuni.cz/services/SynSemClass55/SynSemClass55.html?veclass=vec00693", "vec00693 / předstírat (v41hysA)")</f>
        <v>vec00693 / předstírat (v41hysA)</v>
      </c>
      <c r="V632" s="0" t="n">
        <v>0.02155</v>
      </c>
      <c r="W632" s="5" t="s">
        <v>30</v>
      </c>
      <c r="Z632" s="0" t="str">
        <f aca="false">HYPERLINK("https://lindat.mff.cuni.cz/services/SynSemClass55/SynSemClass55.html?veclass=vec00872", "vec00872 / pokrýt (v41gbrC)")</f>
        <v>vec00872 / pokrýt (v41gbrC)</v>
      </c>
      <c r="AA632" s="0" t="n">
        <v>0.02084</v>
      </c>
      <c r="AB632" s="5" t="s">
        <v>30</v>
      </c>
      <c r="AE632" s="0" t="str">
        <f aca="false">HYPERLINK("https://lindat.mff.cuni.cz/services/SynSemClass55/SynSemClass55.html?veclass=vec01234", "vec01234 / naznačovat (v41dhzB)")</f>
        <v>vec01234 / naznačovat (v41dhzB)</v>
      </c>
      <c r="AF632" s="0" t="n">
        <v>0.02039</v>
      </c>
      <c r="AG632" s="5" t="s">
        <v>30</v>
      </c>
    </row>
    <row r="634" customFormat="false" ht="12.75" hidden="false" customHeight="false" outlineLevel="0" collapsed="false">
      <c r="A634" s="0" t="str">
        <f aca="false">HYPERLINK("https://lindat.mff.cuni.cz/services/PDT-Vallex4.5/PDT-Vallex4.5.html?verb=zastrkovat", "zastrkovat")</f>
        <v>zastrkovat</v>
      </c>
      <c r="B634" s="0" t="str">
        <f aca="false">HYPERLINK("https://lindat.mff.cuni.cz/services/PDT-Vallex4.5/PDT-Vallex4.5.html?verb=zastrkovat#v41qmxA", "v41qmxA")</f>
        <v>v41qmxA</v>
      </c>
      <c r="E634" s="0" t="n">
        <v>55</v>
      </c>
      <c r="F634" s="0" t="n">
        <v>0.14973</v>
      </c>
      <c r="G634" s="1" t="s">
        <v>180</v>
      </c>
      <c r="K634" s="0" t="str">
        <f aca="false">HYPERLINK("https://lindat.mff.cuni.cz/services/SynSemClass55/SynSemClass55.html?veclass=vec00932", "vec00932 / strčit (v41lmaE)")</f>
        <v>vec00932 / strčit (v41lmaE)</v>
      </c>
      <c r="L634" s="0" t="n">
        <v>0.14973</v>
      </c>
      <c r="M634" s="5" t="s">
        <v>30</v>
      </c>
      <c r="P634" s="0" t="str">
        <f aca="false">HYPERLINK("https://lindat.mff.cuni.cz/services/SynSemClass55/SynSemClass55.html?veclass=vec00899", "vec00899 / připevnit (v41ivdA)")</f>
        <v>vec00899 / připevnit (v41ivdA)</v>
      </c>
      <c r="Q634" s="0" t="n">
        <v>0.08817</v>
      </c>
      <c r="R634" s="5" t="s">
        <v>30</v>
      </c>
      <c r="U634" s="0" t="str">
        <f aca="false">HYPERLINK("https://lindat.mff.cuni.cz/services/SynSemClass55/SynSemClass55.html?veclass=vec00735", "vec00735 / umístit (v41motA)")</f>
        <v>vec00735 / umístit (v41motA)</v>
      </c>
      <c r="V634" s="0" t="n">
        <v>0.0806</v>
      </c>
      <c r="W634" s="5" t="s">
        <v>30</v>
      </c>
      <c r="Z634" s="0" t="str">
        <f aca="false">HYPERLINK("https://lindat.mff.cuni.cz/services/SynSemClass55/SynSemClass55.html?veclass=vec01966", "vec01966 / zapustit (v41qiaB)")</f>
        <v>vec01966 / zapustit (v41qiaB)</v>
      </c>
      <c r="AA634" s="0" t="n">
        <v>0.06367</v>
      </c>
      <c r="AB634" s="5" t="s">
        <v>30</v>
      </c>
      <c r="AE634" s="0" t="str">
        <f aca="false">HYPERLINK("https://lindat.mff.cuni.cz/services/SynSemClass55/SynSemClass55.html?veclass=vec00943", "vec00943 / utáhnout (v41mzjC)")</f>
        <v>vec00943 / utáhnout (v41mzjC)</v>
      </c>
      <c r="AF634" s="0" t="n">
        <v>0.06248</v>
      </c>
      <c r="AG634" s="5" t="s">
        <v>30</v>
      </c>
    </row>
    <row r="636" customFormat="false" ht="12.75" hidden="false" customHeight="false" outlineLevel="0" collapsed="false">
      <c r="A636" s="0" t="str">
        <f aca="false">HYPERLINK("https://lindat.mff.cuni.cz/services/PDT-Vallex4.5/PDT-Vallex4.5.html?verb=zasunout", "zasunout")</f>
        <v>zasunout</v>
      </c>
      <c r="B636" s="0" t="str">
        <f aca="false">HYPERLINK("https://lindat.mff.cuni.cz/services/PDT-Vallex4.5/PDT-Vallex4.5.html?verb=zasunout#v41qnpA", "v41qnpA")</f>
        <v>v41qnpA</v>
      </c>
      <c r="E636" s="0" t="n">
        <v>828</v>
      </c>
      <c r="F636" s="0" t="n">
        <v>0.42472</v>
      </c>
      <c r="G636" s="1" t="s">
        <v>31</v>
      </c>
      <c r="K636" s="0" t="str">
        <f aca="false">HYPERLINK("https://lindat.mff.cuni.cz/services/SynSemClass55/SynSemClass55.html?veclass=vec00932", "vec00932 / strčit (v41lmaE)")</f>
        <v>vec00932 / strčit (v41lmaE)</v>
      </c>
      <c r="L636" s="0" t="n">
        <v>0.42472</v>
      </c>
      <c r="M636" s="5" t="s">
        <v>30</v>
      </c>
      <c r="P636" s="0" t="str">
        <f aca="false">HYPERLINK("https://lindat.mff.cuni.cz/services/SynSemClass55/SynSemClass55.html?veclass=vec00735", "vec00735 / umístit (v41motA)")</f>
        <v>vec00735 / umístit (v41motA)</v>
      </c>
      <c r="Q636" s="0" t="n">
        <v>0.19156</v>
      </c>
      <c r="R636" s="5" t="s">
        <v>33</v>
      </c>
      <c r="U636" s="0" t="str">
        <f aca="false">HYPERLINK("https://lindat.mff.cuni.cz/services/SynSemClass55/SynSemClass55.html?veclass=vec01966", "vec01966 / zapustit (v41qiaB)")</f>
        <v>vec01966 / zapustit (v41qiaB)</v>
      </c>
      <c r="V636" s="0" t="n">
        <v>0.12871</v>
      </c>
      <c r="W636" s="5" t="s">
        <v>30</v>
      </c>
      <c r="Z636" s="0" t="str">
        <f aca="false">HYPERLINK("https://lindat.mff.cuni.cz/services/SynSemClass55/SynSemClass55.html?veclass=vec00841", "vec00841 / nacpat (v41cmpB)")</f>
        <v>vec00841 / nacpat (v41cmpB)</v>
      </c>
      <c r="AA636" s="0" t="n">
        <v>0.04089</v>
      </c>
      <c r="AB636" s="5" t="s">
        <v>30</v>
      </c>
      <c r="AE636" s="0" t="str">
        <f aca="false">HYPERLINK("https://lindat.mff.cuni.cz/services/SynSemClass55/SynSemClass55.html?veclass=vec01034", "vec01034 / klást (v41bkwE)")</f>
        <v>vec01034 / klást (v41bkwE)</v>
      </c>
      <c r="AF636" s="0" t="n">
        <v>0.02627</v>
      </c>
      <c r="AG636" s="5" t="s">
        <v>30</v>
      </c>
    </row>
    <row r="638" customFormat="false" ht="12.75" hidden="false" customHeight="false" outlineLevel="0" collapsed="false">
      <c r="A638" s="0" t="str">
        <f aca="false">HYPERLINK("https://lindat.mff.cuni.cz/services/PDT-Vallex4.5/PDT-Vallex4.5.html?verb=zasvítit", "zasvítit")</f>
        <v>zasvítit</v>
      </c>
      <c r="B638" s="0" t="str">
        <f aca="false">HYPERLINK("https://lindat.mff.cuni.cz/services/PDT-Vallex4.5/PDT-Vallex4.5.html?verb=zasvítit#v41qnsA", "v41qnsA")</f>
        <v>v41qnsA</v>
      </c>
      <c r="E638" s="0" t="n">
        <v>274</v>
      </c>
      <c r="F638" s="0" t="n">
        <v>0.71977</v>
      </c>
      <c r="G638" s="1" t="n">
        <v>0</v>
      </c>
      <c r="I638" s="1" t="s">
        <v>215</v>
      </c>
      <c r="K638" s="0" t="str">
        <f aca="false">HYPERLINK("https://lindat.mff.cuni.cz/services/SynSemClass55/SynSemClass55.html?veclass=vec01173", "vec01173 / zářit (v41qjnB)")</f>
        <v>vec01173 / zářit (v41qjnB)</v>
      </c>
      <c r="L638" s="0" t="n">
        <v>0.71977</v>
      </c>
      <c r="M638" s="5" t="s">
        <v>30</v>
      </c>
      <c r="P638" s="0" t="str">
        <f aca="false">HYPERLINK("https://lindat.mff.cuni.cz/services/SynSemClass55/SynSemClass55.html?veclass=vec01561", "vec01561 / lesknout se (v41bzsA)")</f>
        <v>vec01561 / lesknout se (v41bzsA)</v>
      </c>
      <c r="Q638" s="0" t="n">
        <v>0.10524</v>
      </c>
      <c r="R638" s="5" t="s">
        <v>30</v>
      </c>
      <c r="U638" s="0" t="str">
        <f aca="false">HYPERLINK("https://lindat.mff.cuni.cz/services/SynSemClass55/SynSemClass55.html?veclass=vec01417", "vec01417 / osvětlit (v41fbeB)")</f>
        <v>vec01417 / osvětlit (v41fbeB)</v>
      </c>
      <c r="V638" s="0" t="n">
        <v>0.10293</v>
      </c>
      <c r="W638" s="5" t="s">
        <v>30</v>
      </c>
      <c r="Z638" s="0" t="str">
        <f aca="false">HYPERLINK("https://lindat.mff.cuni.cz/services/SynSemClass55/SynSemClass55.html?veclass=vec00986", "vec00986 / zapálit (v41qecA)")</f>
        <v>vec00986 / zapálit (v41qecA)</v>
      </c>
      <c r="AA638" s="0" t="n">
        <v>0.06554</v>
      </c>
      <c r="AB638" s="5" t="s">
        <v>30</v>
      </c>
      <c r="AE638" s="0" t="str">
        <f aca="false">HYPERLINK("https://lindat.mff.cuni.cz/services/SynSemClass55/SynSemClass55.html?veclass=vec01215", "vec01215 / hořet (v41axjA)")</f>
        <v>vec01215 / hořet (v41axjA)</v>
      </c>
      <c r="AF638" s="0" t="n">
        <v>0.03321</v>
      </c>
      <c r="AG638" s="5" t="s">
        <v>30</v>
      </c>
    </row>
    <row r="639" customFormat="false" ht="12.75" hidden="false" customHeight="false" outlineLevel="0" collapsed="false">
      <c r="A639" s="0" t="str">
        <f aca="false">HYPERLINK("https://lindat.mff.cuni.cz/services/PDT-Vallex4.5/PDT-Vallex4.5.html?verb=zasvítit", "zasvítit")</f>
        <v>zasvítit</v>
      </c>
      <c r="B639" s="0" t="str">
        <f aca="false">HYPERLINK("https://lindat.mff.cuni.cz/services/PDT-Vallex4.5/PDT-Vallex4.5.html?verb=zasvítit#v41qnsB", "v41qnsB")</f>
        <v>v41qnsB</v>
      </c>
      <c r="E639" s="0" t="n">
        <v>274</v>
      </c>
      <c r="F639" s="0" t="n">
        <v>0.71977</v>
      </c>
      <c r="G639" s="1" t="s">
        <v>31</v>
      </c>
      <c r="K639" s="0" t="str">
        <f aca="false">HYPERLINK("https://lindat.mff.cuni.cz/services/SynSemClass55/SynSemClass55.html?veclass=vec01173", "vec01173 / zářit (v41qjnB)")</f>
        <v>vec01173 / zářit (v41qjnB)</v>
      </c>
      <c r="L639" s="0" t="n">
        <v>0.71977</v>
      </c>
      <c r="M639" s="5" t="s">
        <v>33</v>
      </c>
      <c r="P639" s="0" t="str">
        <f aca="false">HYPERLINK("https://lindat.mff.cuni.cz/services/SynSemClass55/SynSemClass55.html?veclass=vec01561", "vec01561 / lesknout se (v41bzsA)")</f>
        <v>vec01561 / lesknout se (v41bzsA)</v>
      </c>
      <c r="Q639" s="0" t="n">
        <v>0.10524</v>
      </c>
      <c r="R639" s="5" t="s">
        <v>34</v>
      </c>
      <c r="U639" s="0" t="str">
        <f aca="false">HYPERLINK("https://lindat.mff.cuni.cz/services/SynSemClass55/SynSemClass55.html?veclass=vec01417", "vec01417 / osvětlit (v41fbeB)")</f>
        <v>vec01417 / osvětlit (v41fbeB)</v>
      </c>
      <c r="V639" s="0" t="n">
        <v>0.10293</v>
      </c>
      <c r="W639" s="5" t="s">
        <v>30</v>
      </c>
      <c r="Z639" s="0" t="str">
        <f aca="false">HYPERLINK("https://lindat.mff.cuni.cz/services/SynSemClass55/SynSemClass55.html?veclass=vec00986", "vec00986 / zapálit (v41qecA)")</f>
        <v>vec00986 / zapálit (v41qecA)</v>
      </c>
      <c r="AA639" s="0" t="n">
        <v>0.06554</v>
      </c>
      <c r="AB639" s="5" t="s">
        <v>30</v>
      </c>
      <c r="AE639" s="0" t="str">
        <f aca="false">HYPERLINK("https://lindat.mff.cuni.cz/services/SynSemClass55/SynSemClass55.html?veclass=vec01215", "vec01215 / hořet (v41axjA)")</f>
        <v>vec01215 / hořet (v41axjA)</v>
      </c>
      <c r="AF639" s="0" t="n">
        <v>0.03321</v>
      </c>
      <c r="AG639" s="5" t="s">
        <v>30</v>
      </c>
    </row>
    <row r="641" customFormat="false" ht="12.75" hidden="false" customHeight="false" outlineLevel="0" collapsed="false">
      <c r="A641" s="0" t="str">
        <f aca="false">HYPERLINK("https://lindat.mff.cuni.cz/services/PDT-Vallex4.5/PDT-Vallex4.5.html?verb=zaštukovat", "zaštukovat")</f>
        <v>zaštukovat</v>
      </c>
      <c r="B641" s="0" t="str">
        <f aca="false">HYPERLINK("https://lindat.mff.cuni.cz/services/PDT-Vallex4.5/PDT-Vallex4.5.html?verb=zaštukovat#v41qonA", "v41qonA")</f>
        <v>v41qonA</v>
      </c>
      <c r="E641" s="0" t="n">
        <v>1</v>
      </c>
      <c r="F641" s="0" t="n">
        <v>0.10711</v>
      </c>
      <c r="G641" s="1" t="n">
        <v>0</v>
      </c>
      <c r="I641" s="1" t="s">
        <v>216</v>
      </c>
      <c r="K641" s="0" t="str">
        <f aca="false">HYPERLINK("https://lindat.mff.cuni.cz/services/SynSemClass55/SynSemClass55.html?veclass=vec01479", "vec01479 / zalepit (v41pziB)")</f>
        <v>vec01479 / zalepit (v41pziB)</v>
      </c>
      <c r="L641" s="0" t="n">
        <v>0.10711</v>
      </c>
      <c r="M641" s="5" t="s">
        <v>30</v>
      </c>
      <c r="P641" s="0" t="str">
        <f aca="false">HYPERLINK("https://lindat.mff.cuni.cz/services/SynSemClass55/SynSemClass55.html?veclass=vec00684", "vec00684 / pročesávat (v41hbdA)")</f>
        <v>vec00684 / pročesávat (v41hbdA)</v>
      </c>
      <c r="Q641" s="0" t="n">
        <v>0.06555</v>
      </c>
      <c r="R641" s="5" t="s">
        <v>30</v>
      </c>
      <c r="U641" s="0" t="str">
        <f aca="false">HYPERLINK("https://lindat.mff.cuni.cz/services/SynSemClass55/SynSemClass55.html?veclass=vec00739", "vec00739 / ustoupit (v41myhB)")</f>
        <v>vec00739 / ustoupit (v41myhB)</v>
      </c>
      <c r="V641" s="0" t="n">
        <v>0.06232</v>
      </c>
      <c r="W641" s="5" t="s">
        <v>30</v>
      </c>
      <c r="Z641" s="0" t="str">
        <f aca="false">HYPERLINK("https://lindat.mff.cuni.cz/services/SynSemClass55/SynSemClass55.html?veclass=vec00924", "vec00924 / smést (v41kvgB)")</f>
        <v>vec00924 / smést (v41kvgB)</v>
      </c>
      <c r="AA641" s="0" t="n">
        <v>0.05631</v>
      </c>
      <c r="AB641" s="5" t="s">
        <v>30</v>
      </c>
      <c r="AE641" s="0" t="str">
        <f aca="false">HYPERLINK("https://lindat.mff.cuni.cz/services/SynSemClass55/SynSemClass55.html?veclass=vec01877", "vec01877 / rozrýt (v41jxxA)")</f>
        <v>vec01877 / rozrýt (v41jxxA)</v>
      </c>
      <c r="AF641" s="0" t="n">
        <v>0.05254</v>
      </c>
      <c r="AG641" s="5" t="s">
        <v>30</v>
      </c>
    </row>
    <row r="643" customFormat="false" ht="12.75" hidden="false" customHeight="false" outlineLevel="0" collapsed="false">
      <c r="A643" s="0" t="str">
        <f aca="false">HYPERLINK("https://lindat.mff.cuni.cz/services/PDT-Vallex4.5/PDT-Vallex4.5.html?verb=zatajovat", "zatajovat")</f>
        <v>zatajovat</v>
      </c>
      <c r="B643" s="0" t="str">
        <f aca="false">HYPERLINK("https://lindat.mff.cuni.cz/services/PDT-Vallex4.5/PDT-Vallex4.5.html?verb=zatajovat#v41qowA", "v41qowA")</f>
        <v>v41qowA</v>
      </c>
      <c r="E643" s="0" t="n">
        <v>103</v>
      </c>
      <c r="F643" s="0" t="n">
        <v>0.77663</v>
      </c>
      <c r="G643" s="1" t="s">
        <v>31</v>
      </c>
      <c r="K643" s="0" t="str">
        <f aca="false">HYPERLINK("https://lindat.mff.cuni.cz/services/SynSemClass55/SynSemClass55.html?veclass=vec00514", "vec00514 / skrýt (v41krqB)")</f>
        <v>vec00514 / skrýt (v41krqB)</v>
      </c>
      <c r="L643" s="0" t="n">
        <v>0.77663</v>
      </c>
      <c r="M643" s="5" t="s">
        <v>33</v>
      </c>
      <c r="P643" s="0" t="str">
        <f aca="false">HYPERLINK("https://lindat.mff.cuni.cz/services/SynSemClass55/SynSemClass55.html?veclass=vec01711", "vec01711 / zatajit se (v41qovA)")</f>
        <v>vec01711 / zatajit se (v41qovA)</v>
      </c>
      <c r="Q643" s="0" t="n">
        <v>0.03867</v>
      </c>
      <c r="R643" s="5" t="s">
        <v>30</v>
      </c>
      <c r="U643" s="0" t="str">
        <f aca="false">HYPERLINK("https://lindat.mff.cuni.cz/services/SynSemClass55/SynSemClass55.html?veclass=vec01545", "vec01545 / zavětřit (v41qsrA)")</f>
        <v>vec01545 / zavětřit (v41qsrA)</v>
      </c>
      <c r="V643" s="0" t="n">
        <v>0.01894</v>
      </c>
      <c r="W643" s="5" t="s">
        <v>30</v>
      </c>
      <c r="Z643" s="0" t="str">
        <f aca="false">HYPERLINK("https://lindat.mff.cuni.cz/services/SynSemClass55/SynSemClass55.html?veclass=vec00981", "vec00981 / zadržovat (v41psgA)")</f>
        <v>vec00981 / zadržovat (v41psgA)</v>
      </c>
      <c r="AA643" s="0" t="n">
        <v>0.01889</v>
      </c>
      <c r="AB643" s="5" t="s">
        <v>30</v>
      </c>
      <c r="AE643" s="0" t="str">
        <f aca="false">HYPERLINK("https://lindat.mff.cuni.cz/services/SynSemClass55/SynSemClass55.html?veclass=vec01338", "vec01338 / ulít (v41mnvA)")</f>
        <v>vec01338 / ulít (v41mnvA)</v>
      </c>
      <c r="AF643" s="0" t="n">
        <v>0.01867</v>
      </c>
      <c r="AG643" s="5" t="s">
        <v>30</v>
      </c>
    </row>
    <row r="645" customFormat="false" ht="12.75" hidden="false" customHeight="false" outlineLevel="0" collapsed="false">
      <c r="A645" s="0" t="str">
        <f aca="false">HYPERLINK("https://lindat.mff.cuni.cz/services/PDT-Vallex4.5/PDT-Vallex4.5.html?verb=zatancovat", "zatancovat")</f>
        <v>zatancovat</v>
      </c>
      <c r="B645" s="0" t="str">
        <f aca="false">HYPERLINK("https://lindat.mff.cuni.cz/services/PDT-Vallex4.5/PDT-Vallex4.5.html?verb=zatancovat#v41qoxA", "v41qoxA")</f>
        <v>v41qoxA</v>
      </c>
      <c r="E645" s="0" t="n">
        <v>112</v>
      </c>
      <c r="F645" s="0" t="n">
        <v>0.3035</v>
      </c>
      <c r="G645" s="1" t="s">
        <v>31</v>
      </c>
      <c r="I645" s="1" t="s">
        <v>217</v>
      </c>
      <c r="K645" s="0" t="str">
        <f aca="false">HYPERLINK("https://lindat.mff.cuni.cz/services/SynSemClass55/SynSemClass55.html?veclass=vec00934", "vec00934 / tančit (v41lwnA)")</f>
        <v>vec00934 / tančit (v41lwnA)</v>
      </c>
      <c r="L645" s="0" t="n">
        <v>0.3035</v>
      </c>
      <c r="M645" s="5" t="s">
        <v>33</v>
      </c>
      <c r="P645" s="0" t="str">
        <f aca="false">HYPERLINK("https://lindat.mff.cuni.cz/services/SynSemClass55/SynSemClass55.html?veclass=vec00823", "vec00823 / hrát (v41aypE)")</f>
        <v>vec00823 / hrát (v41aypE)</v>
      </c>
      <c r="Q645" s="0" t="n">
        <v>0.05482</v>
      </c>
      <c r="R645" s="5" t="s">
        <v>30</v>
      </c>
      <c r="U645" s="0" t="str">
        <f aca="false">HYPERLINK("https://lindat.mff.cuni.cz/services/SynSemClass55/SynSemClass55.html?veclass=vec00922", "vec00922 / skotačit (v41kriA)")</f>
        <v>vec00922 / skotačit (v41kriA)</v>
      </c>
      <c r="V645" s="0" t="n">
        <v>0.05128</v>
      </c>
      <c r="W645" s="5" t="s">
        <v>30</v>
      </c>
      <c r="Z645" s="0" t="str">
        <f aca="false">HYPERLINK("https://lindat.mff.cuni.cz/services/SynSemClass55/SynSemClass55.html?veclass=vec01196", "vec01196 / zvonit (v41sclA)")</f>
        <v>vec01196 / zvonit (v41sclA)</v>
      </c>
      <c r="AA645" s="0" t="n">
        <v>0.04461</v>
      </c>
      <c r="AB645" s="5" t="s">
        <v>30</v>
      </c>
      <c r="AE645" s="0" t="str">
        <f aca="false">HYPERLINK("https://lindat.mff.cuni.cz/services/SynSemClass55/SynSemClass55.html?veclass=vec00794", "vec00794 / zpívat (v41rsnB)")</f>
        <v>vec00794 / zpívat (v41rsnB)</v>
      </c>
      <c r="AF645" s="0" t="n">
        <v>0.03583</v>
      </c>
      <c r="AG645" s="5" t="s">
        <v>30</v>
      </c>
    </row>
    <row r="647" customFormat="false" ht="12.75" hidden="false" customHeight="false" outlineLevel="0" collapsed="false">
      <c r="A647" s="0" t="str">
        <f aca="false">HYPERLINK("https://lindat.mff.cuni.cz/services/PDT-Vallex4.5/PDT-Vallex4.5.html?verb=zavánět", "zavánět")</f>
        <v>zavánět</v>
      </c>
      <c r="B647" s="0" t="str">
        <f aca="false">HYPERLINK("https://lindat.mff.cuni.cz/services/PDT-Vallex4.5/PDT-Vallex4.5.html?verb=zavánět#v41qrsB", "v41qrsB")</f>
        <v>v41qrsB</v>
      </c>
      <c r="E647" s="0" t="n">
        <v>140</v>
      </c>
      <c r="F647" s="0" t="n">
        <v>0.1162</v>
      </c>
      <c r="G647" s="1" t="s">
        <v>31</v>
      </c>
      <c r="K647" s="0" t="str">
        <f aca="false">HYPERLINK("https://lindat.mff.cuni.cz/services/SynSemClass55/SynSemClass55.html?veclass=vec00592", "vec00592 / znít (v41rppD)")</f>
        <v>vec00592 / znít (v41rppD)</v>
      </c>
      <c r="L647" s="0" t="n">
        <v>0.1162</v>
      </c>
      <c r="M647" s="5" t="s">
        <v>30</v>
      </c>
      <c r="P647" s="0" t="str">
        <f aca="false">HYPERLINK("https://lindat.mff.cuni.cz/services/SynSemClass55/SynSemClass55.html?veclass=vec00926", "vec00926 / smrdět (v41kvzA)")</f>
        <v>vec00926 / smrdět (v41kvzA)</v>
      </c>
      <c r="Q647" s="0" t="n">
        <v>0.06648</v>
      </c>
      <c r="R647" s="5" t="s">
        <v>33</v>
      </c>
      <c r="U647" s="0" t="str">
        <f aca="false">HYPERLINK("https://lindat.mff.cuni.cz/services/SynSemClass55/SynSemClass55.html?veclass=vec00164", "vec00164 / vypadat (v41oniD)")</f>
        <v>vec00164 / vypadat (v41oniD)</v>
      </c>
      <c r="V647" s="0" t="n">
        <v>0.0605</v>
      </c>
      <c r="W647" s="5" t="s">
        <v>30</v>
      </c>
      <c r="Z647" s="0" t="str">
        <f aca="false">HYPERLINK("https://lindat.mff.cuni.cz/services/SynSemClass55/SynSemClass55.html?veclass=vec01147", "vec01147 / vlnit se (v41nnjA)")</f>
        <v>vec01147 / vlnit se (v41nnjA)</v>
      </c>
      <c r="AA647" s="0" t="n">
        <v>0.0486</v>
      </c>
      <c r="AB647" s="5" t="s">
        <v>30</v>
      </c>
      <c r="AE647" s="0" t="str">
        <f aca="false">HYPERLINK("https://lindat.mff.cuni.cz/services/SynSemClass55/SynSemClass55.html?veclass=vec01234", "vec01234 / naznačovat (v41dhzB)")</f>
        <v>vec01234 / naznačovat (v41dhzB)</v>
      </c>
      <c r="AF647" s="0" t="n">
        <v>0.02948</v>
      </c>
      <c r="AG647" s="5" t="s">
        <v>30</v>
      </c>
    </row>
    <row r="649" customFormat="false" ht="12.75" hidden="false" customHeight="false" outlineLevel="0" collapsed="false">
      <c r="A649" s="0" t="str">
        <f aca="false">HYPERLINK("https://lindat.mff.cuni.cz/services/PDT-Vallex4.5/PDT-Vallex4.5.html?verb=zavěšovat", "zavěšovat")</f>
        <v>zavěšovat</v>
      </c>
      <c r="B649" s="0" t="str">
        <f aca="false">HYPERLINK("https://lindat.mff.cuni.cz/services/PDT-Vallex4.5/PDT-Vallex4.5.html?verb=zavěšovat#v41qsqA", "v41qsqA")</f>
        <v>v41qsqA</v>
      </c>
      <c r="E649" s="0" t="n">
        <v>116</v>
      </c>
      <c r="F649" s="0" t="n">
        <v>0.37863</v>
      </c>
      <c r="G649" s="1" t="s">
        <v>31</v>
      </c>
      <c r="K649" s="0" t="str">
        <f aca="false">HYPERLINK("https://lindat.mff.cuni.cz/services/SynSemClass55/SynSemClass55.html?veclass=vec00899", "vec00899 / připevnit (v41ivdA)")</f>
        <v>vec00899 / připevnit (v41ivdA)</v>
      </c>
      <c r="L649" s="0" t="n">
        <v>0.37863</v>
      </c>
      <c r="M649" s="5" t="s">
        <v>33</v>
      </c>
      <c r="P649" s="0" t="str">
        <f aca="false">HYPERLINK("https://lindat.mff.cuni.cz/services/SynSemClass55/SynSemClass55.html?veclass=vec00735", "vec00735 / umístit (v41motA)")</f>
        <v>vec00735 / umístit (v41motA)</v>
      </c>
      <c r="Q649" s="0" t="n">
        <v>0.06737</v>
      </c>
      <c r="R649" s="5" t="s">
        <v>30</v>
      </c>
      <c r="U649" s="0" t="str">
        <f aca="false">HYPERLINK("https://lindat.mff.cuni.cz/services/SynSemClass55/SynSemClass55.html?veclass=vec01500", "vec01500 / obouvat (v41drsA)")</f>
        <v>vec01500 / obouvat (v41drsA)</v>
      </c>
      <c r="V649" s="0" t="n">
        <v>0.04497</v>
      </c>
      <c r="W649" s="5" t="s">
        <v>30</v>
      </c>
      <c r="Z649" s="0" t="str">
        <f aca="false">HYPERLINK("https://lindat.mff.cuni.cz/services/SynSemClass55/SynSemClass55.html?veclass=vec00943", "vec00943 / utáhnout (v41mzjC)")</f>
        <v>vec00943 / utáhnout (v41mzjC)</v>
      </c>
      <c r="AA649" s="0" t="n">
        <v>0.03884</v>
      </c>
      <c r="AB649" s="5" t="s">
        <v>30</v>
      </c>
      <c r="AE649" s="0" t="str">
        <f aca="false">HYPERLINK("https://lindat.mff.cuni.cz/services/SynSemClass55/SynSemClass55.html?veclass=vec01668", "vec01668 / přisunout (v41izrA)")</f>
        <v>vec01668 / přisunout (v41izrA)</v>
      </c>
      <c r="AF649" s="0" t="n">
        <v>0.02391</v>
      </c>
      <c r="AG649" s="5" t="s">
        <v>30</v>
      </c>
    </row>
    <row r="651" customFormat="false" ht="12.75" hidden="false" customHeight="false" outlineLevel="0" collapsed="false">
      <c r="A651" s="0" t="str">
        <f aca="false">HYPERLINK("https://lindat.mff.cuni.cz/services/PDT-Vallex4.5/PDT-Vallex4.5.html?verb=zazářit", "zazářit")</f>
        <v>zazářit</v>
      </c>
      <c r="B651" s="0" t="str">
        <f aca="false">HYPERLINK("https://lindat.mff.cuni.cz/services/PDT-Vallex4.5/PDT-Vallex4.5.html?verb=zazářit#v41qujA", "v41qujA")</f>
        <v>v41qujA</v>
      </c>
      <c r="E651" s="0" t="n">
        <v>501</v>
      </c>
      <c r="F651" s="0" t="n">
        <v>0.60661</v>
      </c>
      <c r="G651" s="1" t="n">
        <v>0</v>
      </c>
      <c r="I651" s="1" t="s">
        <v>215</v>
      </c>
      <c r="K651" s="0" t="str">
        <f aca="false">HYPERLINK("https://lindat.mff.cuni.cz/services/SynSemClass55/SynSemClass55.html?veclass=vec01173", "vec01173 / zářit (v41qjnB)")</f>
        <v>vec01173 / zářit (v41qjnB)</v>
      </c>
      <c r="L651" s="0" t="n">
        <v>0.60661</v>
      </c>
      <c r="M651" s="5" t="s">
        <v>30</v>
      </c>
      <c r="P651" s="0" t="str">
        <f aca="false">HYPERLINK("https://lindat.mff.cuni.cz/services/SynSemClass55/SynSemClass55.html?veclass=vec01561", "vec01561 / lesknout se (v41bzsA)")</f>
        <v>vec01561 / lesknout se (v41bzsA)</v>
      </c>
      <c r="Q651" s="0" t="n">
        <v>0.25178</v>
      </c>
      <c r="R651" s="5" t="s">
        <v>30</v>
      </c>
      <c r="U651" s="0" t="str">
        <f aca="false">HYPERLINK("https://lindat.mff.cuni.cz/services/SynSemClass55/SynSemClass55.html?veclass=vec00964", "vec00964 / vynikat (v41omqA)")</f>
        <v>vec00964 / vynikat (v41omqA)</v>
      </c>
      <c r="V651" s="0" t="n">
        <v>0.04163</v>
      </c>
      <c r="W651" s="5" t="s">
        <v>30</v>
      </c>
      <c r="Z651" s="0" t="str">
        <f aca="false">HYPERLINK("https://lindat.mff.cuni.cz/services/SynSemClass55/SynSemClass55.html?veclass=vec01215", "vec01215 / hořet (v41axjA)")</f>
        <v>vec01215 / hořet (v41axjA)</v>
      </c>
      <c r="AA651" s="0" t="n">
        <v>0.02922</v>
      </c>
      <c r="AB651" s="5" t="s">
        <v>30</v>
      </c>
      <c r="AE651" s="0" t="str">
        <f aca="false">HYPERLINK("https://lindat.mff.cuni.cz/services/SynSemClass55/SynSemClass55.html?veclass=vec01417", "vec01417 / osvětlit (v41fbeB)")</f>
        <v>vec01417 / osvětlit (v41fbeB)</v>
      </c>
      <c r="AF651" s="0" t="n">
        <v>0.01633</v>
      </c>
      <c r="AG651" s="5" t="s">
        <v>30</v>
      </c>
    </row>
    <row r="653" customFormat="false" ht="12.75" hidden="false" customHeight="false" outlineLevel="0" collapsed="false">
      <c r="A653" s="0" t="str">
        <f aca="false">HYPERLINK("https://lindat.mff.cuni.cz/services/PDT-Vallex4.5/PDT-Vallex4.5.html?verb=zbrojit", "zbrojit")</f>
        <v>zbrojit</v>
      </c>
      <c r="B653" s="0" t="str">
        <f aca="false">HYPERLINK("https://lindat.mff.cuni.cz/services/PDT-Vallex4.5/PDT-Vallex4.5.html?verb=zbrojit#v41qwmA", "v41qwmA")</f>
        <v>v41qwmA</v>
      </c>
      <c r="E653" s="0" t="n">
        <v>7</v>
      </c>
      <c r="F653" s="0" t="n">
        <v>0.17668</v>
      </c>
      <c r="G653" s="1" t="s">
        <v>218</v>
      </c>
      <c r="K653" s="0" t="str">
        <f aca="false">HYPERLINK("https://lindat.mff.cuni.cz/services/SynSemClass55/SynSemClass55.html?veclass=vec01415", "vec01415 / odzbrojit (v41eobB)")</f>
        <v>vec01415 / odzbrojit (v41eobB)</v>
      </c>
      <c r="L653" s="0" t="n">
        <v>0.17668</v>
      </c>
      <c r="M653" s="5" t="s">
        <v>30</v>
      </c>
      <c r="P653" s="0" t="str">
        <f aca="false">HYPERLINK("https://lindat.mff.cuni.cz/services/SynSemClass55/SynSemClass55.html?veclass=vec00752", "vec00752 / vybavit (v41ntgA)")</f>
        <v>vec00752 / vybavit (v41ntgA)</v>
      </c>
      <c r="Q653" s="0" t="n">
        <v>0.16229</v>
      </c>
      <c r="R653" s="5" t="s">
        <v>30</v>
      </c>
      <c r="U653" s="0" t="str">
        <f aca="false">HYPERLINK("https://lindat.mff.cuni.cz/services/SynSemClass55/SynSemClass55.html?veclass=vec01296", "vec01296 / připojit se (v41iwfA)")</f>
        <v>vec01296 / připojit se (v41iwfA)</v>
      </c>
      <c r="V653" s="0" t="n">
        <v>0.04407</v>
      </c>
      <c r="W653" s="5" t="s">
        <v>30</v>
      </c>
      <c r="Z653" s="0" t="str">
        <f aca="false">HYPERLINK("https://lindat.mff.cuni.cz/services/SynSemClass55/SynSemClass55.html?veclass=vec00443", "vec00443 / nashromáždit (v41dbbA)")</f>
        <v>vec00443 / nashromáždit (v41dbbA)</v>
      </c>
      <c r="AA653" s="0" t="n">
        <v>0.04281</v>
      </c>
      <c r="AB653" s="5" t="s">
        <v>30</v>
      </c>
      <c r="AE653" s="0" t="str">
        <f aca="false">HYPERLINK("https://lindat.mff.cuni.cz/services/SynSemClass55/SynSemClass55.html?veclass=vec00318", "vec00318 / spojit se (v41lcwA)")</f>
        <v>vec00318 / spojit se (v41lcwA)</v>
      </c>
      <c r="AF653" s="0" t="n">
        <v>0.02951</v>
      </c>
      <c r="AG653" s="5" t="s">
        <v>30</v>
      </c>
    </row>
    <row r="655" customFormat="false" ht="12.75" hidden="false" customHeight="false" outlineLevel="0" collapsed="false">
      <c r="A655" s="0" t="str">
        <f aca="false">HYPERLINK("https://lindat.mff.cuni.cz/services/PDT-Vallex4.5/PDT-Vallex4.5.html?verb=zdesetinásobit", "zdesetinásobit")</f>
        <v>zdesetinásobit</v>
      </c>
      <c r="B655" s="0" t="str">
        <f aca="false">HYPERLINK("https://lindat.mff.cuni.cz/services/PDT-Vallex4.5/PDT-Vallex4.5.html?verb=zdesetinásobit#v41qxwA", "v41qxwA")</f>
        <v>v41qxwA</v>
      </c>
      <c r="E655" s="0" t="n">
        <v>2</v>
      </c>
      <c r="F655" s="0" t="n">
        <v>0.53124</v>
      </c>
      <c r="G655" s="1" t="s">
        <v>31</v>
      </c>
      <c r="I655" s="1" t="s">
        <v>219</v>
      </c>
      <c r="K655" s="0" t="str">
        <f aca="false">HYPERLINK("https://lindat.mff.cuni.cz/services/SynSemClass55/SynSemClass55.html?veclass=vec01181", "vec01181 / znásobit se (v41rncA)")</f>
        <v>vec01181 / znásobit se (v41rncA)</v>
      </c>
      <c r="L655" s="0" t="n">
        <v>0.53124</v>
      </c>
      <c r="M655" s="5" t="s">
        <v>30</v>
      </c>
      <c r="P655" s="0" t="str">
        <f aca="false">HYPERLINK("https://lindat.mff.cuni.cz/services/SynSemClass55/SynSemClass55.html?veclass=vec00187", "vec00187 / násobit (v41dcbB)")</f>
        <v>vec00187 / násobit (v41dcbB)</v>
      </c>
      <c r="Q655" s="0" t="n">
        <v>0.2518</v>
      </c>
      <c r="R655" s="5" t="s">
        <v>34</v>
      </c>
      <c r="U655" s="0" t="str">
        <f aca="false">HYPERLINK("https://lindat.mff.cuni.cz/services/SynSemClass55/SynSemClass55.html?veclass=vec00298", "vec00298 / rozšířit (v41jyxA)")</f>
        <v>vec00298 / rozšířit (v41jyxA)</v>
      </c>
      <c r="V655" s="0" t="n">
        <v>0.03704</v>
      </c>
      <c r="W655" s="5" t="s">
        <v>30</v>
      </c>
      <c r="Z655" s="0" t="str">
        <f aca="false">HYPERLINK("https://lindat.mff.cuni.cz/services/SynSemClass55/SynSemClass55.html?veclass=vec00919", "vec00919 / sčítat (v41kggA)")</f>
        <v>vec00919 / sčítat (v41kggA)</v>
      </c>
      <c r="AA655" s="0" t="n">
        <v>0.02193</v>
      </c>
      <c r="AB655" s="5" t="s">
        <v>30</v>
      </c>
      <c r="AE655" s="0" t="str">
        <f aca="false">HYPERLINK("https://lindat.mff.cuni.cz/services/SynSemClass55/SynSemClass55.html?veclass=vec00206", "vec00206 / činit (v41noG)")</f>
        <v>vec00206 / činit (v41noG)</v>
      </c>
      <c r="AF655" s="0" t="n">
        <v>0.02119</v>
      </c>
      <c r="AG655" s="5" t="s">
        <v>30</v>
      </c>
    </row>
    <row r="657" customFormat="false" ht="12.75" hidden="false" customHeight="false" outlineLevel="0" collapsed="false">
      <c r="A657" s="0" t="str">
        <f aca="false">HYPERLINK("https://lindat.mff.cuni.cz/services/PDT-Vallex4.5/PDT-Vallex4.5.html?verb=zhasínat", "zhasínat")</f>
        <v>zhasínat</v>
      </c>
      <c r="B657" s="0" t="str">
        <f aca="false">HYPERLINK("https://lindat.mff.cuni.cz/services/PDT-Vallex4.5/PDT-Vallex4.5.html?verb=zhasínat#v41rcaA", "v41rcaA")</f>
        <v>v41rcaA</v>
      </c>
      <c r="E657" s="0" t="n">
        <v>216</v>
      </c>
      <c r="F657" s="0" t="n">
        <v>0.18226</v>
      </c>
      <c r="G657" s="1" t="s">
        <v>31</v>
      </c>
      <c r="I657" s="1" t="s">
        <v>220</v>
      </c>
      <c r="K657" s="0" t="str">
        <f aca="false">HYPERLINK("https://lindat.mff.cuni.cz/services/SynSemClass55/SynSemClass55.html?veclass=vec00986", "vec00986 / zapálit (v41qecA)")</f>
        <v>vec00986 / zapálit (v41qecA)</v>
      </c>
      <c r="L657" s="0" t="n">
        <v>0.18226</v>
      </c>
      <c r="M657" s="5" t="s">
        <v>30</v>
      </c>
      <c r="P657" s="0" t="str">
        <f aca="false">HYPERLINK("https://lindat.mff.cuni.cz/services/SynSemClass55/SynSemClass55.html?veclass=vec00182", "vec00182 / zapínat (v41qepA)")</f>
        <v>vec00182 / zapínat (v41qepA)</v>
      </c>
      <c r="Q657" s="0" t="n">
        <v>0.12969</v>
      </c>
      <c r="R657" s="5" t="s">
        <v>34</v>
      </c>
      <c r="U657" s="0" t="str">
        <f aca="false">HYPERLINK("https://lindat.mff.cuni.cz/services/SynSemClass55/SynSemClass55.html?veclass=vec01173", "vec01173 / zářit (v41qjnB)")</f>
        <v>vec01173 / zářit (v41qjnB)</v>
      </c>
      <c r="V657" s="0" t="n">
        <v>0.08469</v>
      </c>
      <c r="W657" s="5" t="s">
        <v>30</v>
      </c>
      <c r="Z657" s="0" t="str">
        <f aca="false">HYPERLINK("https://lindat.mff.cuni.cz/services/SynSemClass55/SynSemClass55.html?veclass=vec00113", "vec00113 / skončit (v41krfH)")</f>
        <v>vec00113 / skončit (v41krfH)</v>
      </c>
      <c r="AA657" s="0" t="n">
        <v>0.08126</v>
      </c>
      <c r="AB657" s="5" t="s">
        <v>30</v>
      </c>
      <c r="AE657" s="0" t="str">
        <f aca="false">HYPERLINK("https://lindat.mff.cuni.cz/services/SynSemClass55/SynSemClass55.html?veclass=vec01215", "vec01215 / hořet (v41axjA)")</f>
        <v>vec01215 / hořet (v41axjA)</v>
      </c>
      <c r="AF657" s="0" t="n">
        <v>0.04139</v>
      </c>
      <c r="AG657" s="5" t="s">
        <v>30</v>
      </c>
    </row>
    <row r="659" customFormat="false" ht="12.75" hidden="false" customHeight="false" outlineLevel="0" collapsed="false">
      <c r="A659" s="0" t="str">
        <f aca="false">HYPERLINK("https://lindat.mff.cuni.cz/services/PDT-Vallex4.5/PDT-Vallex4.5.html?verb=zhlédnout", "zhlédnout")</f>
        <v>zhlédnout</v>
      </c>
      <c r="B659" s="0" t="str">
        <f aca="false">HYPERLINK("https://lindat.mff.cuni.cz/services/PDT-Vallex4.5/PDT-Vallex4.5.html?verb=zhlédnout#v41rcfB", "v41rcfB")</f>
        <v>v41rcfB</v>
      </c>
      <c r="E659" s="0" t="n">
        <v>152</v>
      </c>
      <c r="F659" s="0" t="n">
        <v>0.4325</v>
      </c>
      <c r="G659" s="1" t="s">
        <v>31</v>
      </c>
      <c r="K659" s="0" t="str">
        <f aca="false">HYPERLINK("https://lindat.mff.cuni.cz/services/SynSemClass55/SynSemClass55.html?veclass=vec00154", "vec00154 / vidět (v41nlfH)")</f>
        <v>vec00154 / vidět (v41nlfH)</v>
      </c>
      <c r="L659" s="0" t="n">
        <v>0.4325</v>
      </c>
      <c r="M659" s="5" t="s">
        <v>33</v>
      </c>
      <c r="P659" s="0" t="str">
        <f aca="false">HYPERLINK("https://lindat.mff.cuni.cz/services/SynSemClass55/SynSemClass55.html?veclass=vec01515", "vec01515 / přeměřovat (v41iegA)")</f>
        <v>vec01515 / přeměřovat (v41iegA)</v>
      </c>
      <c r="Q659" s="0" t="n">
        <v>0.15575</v>
      </c>
      <c r="R659" s="5" t="s">
        <v>30</v>
      </c>
      <c r="U659" s="0" t="str">
        <f aca="false">HYPERLINK("https://lindat.mff.cuni.cz/services/SynSemClass55/SynSemClass55.html?veclass=vec00869", "vec00869 / podívat se (v41fsdH)")</f>
        <v>vec00869 / podívat se (v41fsdH)</v>
      </c>
      <c r="V659" s="0" t="n">
        <v>0.15574</v>
      </c>
      <c r="W659" s="5" t="s">
        <v>30</v>
      </c>
      <c r="Z659" s="0" t="str">
        <f aca="false">HYPERLINK("https://lindat.mff.cuni.cz/services/SynSemClass55/SynSemClass55.html?veclass=vec00310", "vec00310 / sledovat (v41kslE)")</f>
        <v>vec00310 / sledovat (v41kslE)</v>
      </c>
      <c r="AA659" s="0" t="n">
        <v>0.05422</v>
      </c>
      <c r="AB659" s="5" t="s">
        <v>30</v>
      </c>
      <c r="AE659" s="0" t="str">
        <f aca="false">HYPERLINK("https://lindat.mff.cuni.cz/services/SynSemClass55/SynSemClass55.html?veclass=vec01619", "vec01619 / vidět se (v41nlgA)")</f>
        <v>vec01619 / vidět se (v41nlgA)</v>
      </c>
      <c r="AF659" s="0" t="n">
        <v>0.044</v>
      </c>
      <c r="AG659" s="5" t="s">
        <v>30</v>
      </c>
    </row>
    <row r="661" customFormat="false" ht="12.75" hidden="false" customHeight="false" outlineLevel="0" collapsed="false">
      <c r="A661" s="0" t="str">
        <f aca="false">HYPERLINK("https://lindat.mff.cuni.cz/services/PDT-Vallex4.5/PDT-Vallex4.5.html?verb=zjitřovat", "zjitřovat")</f>
        <v>zjitřovat</v>
      </c>
      <c r="B661" s="0" t="str">
        <f aca="false">HYPERLINK("https://lindat.mff.cuni.cz/services/PDT-Vallex4.5/PDT-Vallex4.5.html?verb=zjitřovat#v41rfeA", "v41rfeA")</f>
        <v>v41rfeA</v>
      </c>
      <c r="E661" s="0" t="n">
        <v>5</v>
      </c>
      <c r="F661" s="0" t="n">
        <v>0.08617</v>
      </c>
      <c r="G661" s="1" t="n">
        <v>0</v>
      </c>
      <c r="I661" s="1" t="s">
        <v>221</v>
      </c>
      <c r="K661" s="0" t="str">
        <f aca="false">HYPERLINK("https://lindat.mff.cuni.cz/services/SynSemClass55/SynSemClass55.html?veclass=vec00770", "vec00770 / zamlžit (v41qcdA)")</f>
        <v>vec00770 / zamlžit (v41qcdA)</v>
      </c>
      <c r="L661" s="0" t="n">
        <v>0.08617</v>
      </c>
      <c r="M661" s="5" t="s">
        <v>30</v>
      </c>
      <c r="P661" s="0" t="str">
        <f aca="false">HYPERLINK("https://lindat.mff.cuni.cz/services/SynSemClass55/SynSemClass55.html?veclass=vec00055", "vec00055 / oslabit (v41ezlC)")</f>
        <v>vec00055 / oslabit (v41ezlC)</v>
      </c>
      <c r="Q661" s="0" t="n">
        <v>0.07817</v>
      </c>
      <c r="R661" s="5" t="s">
        <v>30</v>
      </c>
      <c r="U661" s="0" t="str">
        <f aca="false">HYPERLINK("https://lindat.mff.cuni.cz/services/SynSemClass55/SynSemClass55.html?veclass=vec00791", "vec00791 / zkreslovat (v41rhfA)")</f>
        <v>vec00791 / zkreslovat (v41rhfA)</v>
      </c>
      <c r="V661" s="0" t="n">
        <v>0.06617</v>
      </c>
      <c r="W661" s="5" t="s">
        <v>30</v>
      </c>
      <c r="Z661" s="0" t="str">
        <f aca="false">HYPERLINK("https://lindat.mff.cuni.cz/services/SynSemClass55/SynSemClass55.html?veclass=vec01834", "vec01834 / prolnout (v41hgxA)")</f>
        <v>vec01834 / prolnout (v41hgxA)</v>
      </c>
      <c r="AA661" s="0" t="n">
        <v>0.06206</v>
      </c>
      <c r="AB661" s="5" t="s">
        <v>30</v>
      </c>
      <c r="AE661" s="0" t="str">
        <f aca="false">HYPERLINK("https://lindat.mff.cuni.cz/services/SynSemClass55/SynSemClass55.html?veclass=vec00608", "vec00608 / dráždit (v41akkB)")</f>
        <v>vec00608 / dráždit (v41akkB)</v>
      </c>
      <c r="AF661" s="0" t="n">
        <v>0.04285</v>
      </c>
      <c r="AG661" s="5" t="s">
        <v>30</v>
      </c>
    </row>
    <row r="663" customFormat="false" ht="12.75" hidden="false" customHeight="false" outlineLevel="0" collapsed="false">
      <c r="A663" s="0" t="str">
        <f aca="false">HYPERLINK("https://lindat.mff.cuni.cz/services/PDT-Vallex4.5/PDT-Vallex4.5.html?verb=zkalit", "zkalit")</f>
        <v>zkalit</v>
      </c>
      <c r="B663" s="0" t="str">
        <f aca="false">HYPERLINK("https://lindat.mff.cuni.cz/services/PDT-Vallex4.5/PDT-Vallex4.5.html?verb=zkalit#v41rfgA", "v41rfgA")</f>
        <v>v41rfgA</v>
      </c>
      <c r="E663" s="0" t="n">
        <v>69</v>
      </c>
      <c r="F663" s="0" t="n">
        <v>0.10932</v>
      </c>
      <c r="G663" s="1" t="s">
        <v>31</v>
      </c>
      <c r="K663" s="0" t="str">
        <f aca="false">HYPERLINK("https://lindat.mff.cuni.cz/services/SynSemClass55/SynSemClass55.html?veclass=vec01510", "vec01510 / podlomit (v41fsrA)")</f>
        <v>vec01510 / podlomit (v41fsrA)</v>
      </c>
      <c r="L663" s="0" t="n">
        <v>0.10932</v>
      </c>
      <c r="M663" s="5" t="s">
        <v>32</v>
      </c>
      <c r="P663" s="0" t="str">
        <f aca="false">HYPERLINK("https://lindat.mff.cuni.cz/services/SynSemClass55/SynSemClass55.html?veclass=vec00789", "vec00789 / zkazit (v41rfjA)")</f>
        <v>vec00789 / zkazit (v41rfjA)</v>
      </c>
      <c r="Q663" s="0" t="n">
        <v>0.1057</v>
      </c>
      <c r="R663" s="5" t="s">
        <v>34</v>
      </c>
      <c r="U663" s="0" t="str">
        <f aca="false">HYPERLINK("https://lindat.mff.cuni.cz/services/SynSemClass55/SynSemClass55.html?veclass=vec01752", "vec01752 / kalit (v41biwA)")</f>
        <v>vec01752 / kalit (v41biwA)</v>
      </c>
      <c r="V663" s="0" t="n">
        <v>0.0954</v>
      </c>
      <c r="W663" s="5" t="s">
        <v>33</v>
      </c>
      <c r="Z663" s="0" t="str">
        <f aca="false">HYPERLINK("https://lindat.mff.cuni.cz/services/SynSemClass55/SynSemClass55.html?veclass=vec00372", "vec00372 / zasáhnout (v41qjyA)")</f>
        <v>vec00372 / zasáhnout (v41qjyA)</v>
      </c>
      <c r="AA663" s="0" t="n">
        <v>0.04117</v>
      </c>
      <c r="AB663" s="5" t="s">
        <v>30</v>
      </c>
      <c r="AE663" s="0" t="str">
        <f aca="false">HYPERLINK("https://lindat.mff.cuni.cz/services/SynSemClass55/SynSemClass55.html?veclass=vec00589", "vec00589 / zmást (v41rjtA)")</f>
        <v>vec00589 / zmást (v41rjtA)</v>
      </c>
      <c r="AF663" s="0" t="n">
        <v>0.04072</v>
      </c>
      <c r="AG663" s="5" t="s">
        <v>30</v>
      </c>
    </row>
    <row r="665" customFormat="false" ht="12.75" hidden="false" customHeight="false" outlineLevel="0" collapsed="false">
      <c r="A665" s="0" t="str">
        <f aca="false">HYPERLINK("https://lindat.mff.cuni.cz/services/PDT-Vallex4.5/PDT-Vallex4.5.html?verb=zkontaktovat", "zkontaktovat")</f>
        <v>zkontaktovat</v>
      </c>
      <c r="B665" s="0" t="str">
        <f aca="false">HYPERLINK("https://lindat.mff.cuni.cz/services/PDT-Vallex4.5/PDT-Vallex4.5.html?verb=zkontaktovat#v41rgfA", "v41rgfA")</f>
        <v>v41rgfA</v>
      </c>
      <c r="E665" s="0" t="n">
        <v>30</v>
      </c>
      <c r="F665" s="0" t="n">
        <v>0.31038</v>
      </c>
      <c r="G665" s="1" t="s">
        <v>31</v>
      </c>
      <c r="K665" s="0" t="str">
        <f aca="false">HYPERLINK("https://lindat.mff.cuni.cz/services/SynSemClass55/SynSemClass55.html?veclass=vec00057", "vec00057 / oslovit (v41ezyB)")</f>
        <v>vec00057 / oslovit (v41ezyB)</v>
      </c>
      <c r="L665" s="0" t="n">
        <v>0.31038</v>
      </c>
      <c r="M665" s="5" t="s">
        <v>33</v>
      </c>
      <c r="P665" s="0" t="str">
        <f aca="false">HYPERLINK("https://lindat.mff.cuni.cz/services/SynSemClass55/SynSemClass55.html?veclass=vec00307", "vec00307 / setkat se (v41klgB)")</f>
        <v>vec00307 / setkat se (v41klgB)</v>
      </c>
      <c r="Q665" s="0" t="n">
        <v>0.22505</v>
      </c>
      <c r="R665" s="5" t="s">
        <v>30</v>
      </c>
      <c r="U665" s="0" t="str">
        <f aca="false">HYPERLINK("https://lindat.mff.cuni.cz/services/SynSemClass55/SynSemClass55.html?veclass=vec00374", "vec00374 / zastihnout (v41qmkB)")</f>
        <v>vec00374 / zastihnout (v41qmkB)</v>
      </c>
      <c r="V665" s="0" t="n">
        <v>0.05499</v>
      </c>
      <c r="W665" s="5" t="s">
        <v>30</v>
      </c>
      <c r="Z665" s="0" t="str">
        <f aca="false">HYPERLINK("https://lindat.mff.cuni.cz/services/SynSemClass55/SynSemClass55.html?veclass=vec01191", "vec01191 / ztotožňovat se (v41rywA)")</f>
        <v>vec01191 / ztotožňovat se (v41rywA)</v>
      </c>
      <c r="AA665" s="0" t="n">
        <v>0.0504</v>
      </c>
      <c r="AB665" s="5" t="s">
        <v>30</v>
      </c>
      <c r="AE665" s="0" t="str">
        <f aca="false">HYPERLINK("https://lindat.mff.cuni.cz/services/SynSemClass55/SynSemClass55.html?veclass=vec00876", "vec00876 / poznat (v41gwqC)")</f>
        <v>vec00876 / poznat (v41gwqC)</v>
      </c>
      <c r="AF665" s="0" t="n">
        <v>0.04121</v>
      </c>
      <c r="AG665" s="5" t="s">
        <v>30</v>
      </c>
    </row>
    <row r="667" customFormat="false" ht="12.75" hidden="false" customHeight="false" outlineLevel="0" collapsed="false">
      <c r="A667" s="0" t="str">
        <f aca="false">HYPERLINK("https://lindat.mff.cuni.cz/services/PDT-Vallex4.5/PDT-Vallex4.5.html?verb=zkrvavit", "zkrvavit")</f>
        <v>zkrvavit</v>
      </c>
      <c r="B667" s="0" t="str">
        <f aca="false">HYPERLINK("https://lindat.mff.cuni.cz/services/PDT-Vallex4.5/PDT-Vallex4.5.html?verb=zkrvavit#v41rhkA", "v41rhkA")</f>
        <v>v41rhkA</v>
      </c>
      <c r="E667" s="0" t="n">
        <v>15</v>
      </c>
      <c r="F667" s="0" t="n">
        <v>0.07274</v>
      </c>
      <c r="G667" s="1" t="s">
        <v>222</v>
      </c>
      <c r="K667" s="0" t="str">
        <f aca="false">HYPERLINK("https://lindat.mff.cuni.cz/services/SynSemClass55/SynSemClass55.html?veclass=vec00365", "vec00365 / zabít (v41ppaA)")</f>
        <v>vec00365 / zabít (v41ppaA)</v>
      </c>
      <c r="L667" s="0" t="n">
        <v>0.07274</v>
      </c>
      <c r="M667" s="5" t="s">
        <v>30</v>
      </c>
      <c r="P667" s="0" t="str">
        <f aca="false">HYPERLINK("https://lindat.mff.cuni.cz/services/SynSemClass55/SynSemClass55.html?veclass=vec00389", "vec00389 / zničit (v41rpnA)")</f>
        <v>vec00389 / zničit (v41rpnA)</v>
      </c>
      <c r="Q667" s="0" t="n">
        <v>0.05534</v>
      </c>
      <c r="R667" s="5" t="s">
        <v>30</v>
      </c>
      <c r="U667" s="0" t="str">
        <f aca="false">HYPERLINK("https://lindat.mff.cuni.cz/services/SynSemClass55/SynSemClass55.html?veclass=vec00992", "vec00992 / zbít (v41qvwA)")</f>
        <v>vec00992 / zbít (v41qvwA)</v>
      </c>
      <c r="V667" s="0" t="n">
        <v>0.0366</v>
      </c>
      <c r="W667" s="5" t="s">
        <v>32</v>
      </c>
      <c r="Z667" s="0" t="str">
        <f aca="false">HYPERLINK("https://lindat.mff.cuni.cz/services/SynSemClass55/SynSemClass55.html?veclass=vec01699", "vec01699 / veslovat (v41njuA)")</f>
        <v>vec01699 / veslovat (v41njuA)</v>
      </c>
      <c r="AA667" s="0" t="n">
        <v>0.03079</v>
      </c>
      <c r="AB667" s="5" t="s">
        <v>30</v>
      </c>
      <c r="AE667" s="0" t="str">
        <f aca="false">HYPERLINK("https://lindat.mff.cuni.cz/services/SynSemClass55/SynSemClass55.html?veclass=vec01403", "vec01403 / kopat (v41bsgD)")</f>
        <v>vec01403 / kopat (v41bsgD)</v>
      </c>
      <c r="AF667" s="0" t="n">
        <v>0.02918</v>
      </c>
      <c r="AG667" s="5" t="s">
        <v>30</v>
      </c>
    </row>
    <row r="669" customFormat="false" ht="12.75" hidden="false" customHeight="false" outlineLevel="0" collapsed="false">
      <c r="A669" s="0" t="str">
        <f aca="false">HYPERLINK("https://lindat.mff.cuni.cz/services/PDT-Vallex4.5/PDT-Vallex4.5.html?verb=zlepšovat se", "zlepšovat se")</f>
        <v>zlepšovat se</v>
      </c>
      <c r="B669" s="0" t="str">
        <f aca="false">HYPERLINK("https://lindat.mff.cuni.cz/services/PDT-Vallex4.5/PDT-Vallex4.5.html?verb=zlepšovat se#v41rilA", "v41rilA")</f>
        <v>v41rilA</v>
      </c>
      <c r="E669" s="0" t="n">
        <v>88</v>
      </c>
      <c r="F669" s="0" t="n">
        <v>0.28978</v>
      </c>
      <c r="G669" s="1" t="n">
        <v>0</v>
      </c>
      <c r="I669" s="1" t="s">
        <v>223</v>
      </c>
      <c r="K669" s="0" t="str">
        <f aca="false">HYPERLINK("https://lindat.mff.cuni.cz/services/SynSemClass55/SynSemClass55.html?veclass=vec00386", "vec00386 / zlepšit (v41rihA)")</f>
        <v>vec00386 / zlepšit (v41rihA)</v>
      </c>
      <c r="L669" s="0" t="n">
        <v>0.28978</v>
      </c>
      <c r="M669" s="5" t="s">
        <v>30</v>
      </c>
      <c r="P669" s="0" t="str">
        <f aca="false">HYPERLINK("https://lindat.mff.cuni.cz/services/SynSemClass55/SynSemClass55.html?veclass=vec00786", "vec00786 / zhoršit se (v41rcsA)")</f>
        <v>vec00786 / zhoršit se (v41rcsA)</v>
      </c>
      <c r="Q669" s="0" t="n">
        <v>0.17601</v>
      </c>
      <c r="R669" s="5" t="s">
        <v>32</v>
      </c>
      <c r="U669" s="0" t="str">
        <f aca="false">HYPERLINK("https://lindat.mff.cuni.cz/services/SynSemClass55/SynSemClass55.html?veclass=vec01261", "vec01261 / polepšit si (v41gcuA)")</f>
        <v>vec01261 / polepšit si (v41gcuA)</v>
      </c>
      <c r="V669" s="0" t="n">
        <v>0.13203</v>
      </c>
      <c r="W669" s="5" t="s">
        <v>30</v>
      </c>
      <c r="Z669" s="0" t="str">
        <f aca="false">HYPERLINK("https://lindat.mff.cuni.cz/services/SynSemClass55/SynSemClass55.html?veclass=vec00510", "vec00510 / rozvíjet se (v41kbjB)")</f>
        <v>vec00510 / rozvíjet se (v41kbjB)</v>
      </c>
      <c r="AA669" s="0" t="n">
        <v>0.10317</v>
      </c>
      <c r="AB669" s="5" t="s">
        <v>30</v>
      </c>
      <c r="AE669" s="0" t="str">
        <f aca="false">HYPERLINK("https://lindat.mff.cuni.cz/services/SynSemClass55/SynSemClass55.html?veclass=vec00109", "vec00109 / růst (v41kcmB)")</f>
        <v>vec00109 / růst (v41kcmB)</v>
      </c>
      <c r="AF669" s="0" t="n">
        <v>0.07782</v>
      </c>
      <c r="AG669" s="5" t="s">
        <v>30</v>
      </c>
    </row>
    <row r="671" customFormat="false" ht="12.75" hidden="false" customHeight="false" outlineLevel="0" collapsed="false">
      <c r="A671" s="0" t="str">
        <f aca="false">HYPERLINK("https://lindat.mff.cuni.cz/services/PDT-Vallex4.5/PDT-Vallex4.5.html?verb=zmocňovat se", "zmocňovat se")</f>
        <v>zmocňovat se</v>
      </c>
      <c r="B671" s="0" t="str">
        <f aca="false">HYPERLINK("https://lindat.mff.cuni.cz/services/PDT-Vallex4.5/PDT-Vallex4.5.html?verb=zmocňovat se#v41rlsA", "v41rlsA")</f>
        <v>v41rlsA</v>
      </c>
      <c r="E671" s="0" t="n">
        <v>548</v>
      </c>
      <c r="F671" s="0" t="n">
        <v>0.11869</v>
      </c>
      <c r="G671" s="1" t="s">
        <v>31</v>
      </c>
      <c r="K671" s="0" t="str">
        <f aca="false">HYPERLINK("https://lindat.mff.cuni.cz/services/SynSemClass55/SynSemClass55.html?veclass=vec00677", "vec00677 / popadnout (v41gggA)")</f>
        <v>vec00677 / popadnout (v41gggA)</v>
      </c>
      <c r="L671" s="0" t="n">
        <v>0.11869</v>
      </c>
      <c r="M671" s="5" t="s">
        <v>32</v>
      </c>
      <c r="P671" s="0" t="str">
        <f aca="false">HYPERLINK("https://lindat.mff.cuni.cz/services/SynSemClass55/SynSemClass55.html?veclass=vec00613", "vec00613 / chopit se (v41bblA)")</f>
        <v>vec00613 / chopit se (v41bblA)</v>
      </c>
      <c r="Q671" s="0" t="n">
        <v>0.06326</v>
      </c>
      <c r="R671" s="5" t="s">
        <v>33</v>
      </c>
      <c r="U671" s="0" t="str">
        <f aca="false">HYPERLINK("https://lindat.mff.cuni.cz/services/SynSemClass55/SynSemClass55.html?veclass=vec00096", "vec00096 / převzít (v41inuB)")</f>
        <v>vec00096 / převzít (v41inuB)</v>
      </c>
      <c r="V671" s="0" t="n">
        <v>0.05766</v>
      </c>
      <c r="W671" s="5" t="s">
        <v>30</v>
      </c>
      <c r="Z671" s="0" t="str">
        <f aca="false">HYPERLINK("https://lindat.mff.cuni.cz/services/SynSemClass55/SynSemClass55.html?veclass=vec01206", "vec01206 / dát (v41plY)")</f>
        <v>vec01206 / dát (v41plY)</v>
      </c>
      <c r="AA671" s="0" t="n">
        <v>0.04192</v>
      </c>
      <c r="AB671" s="5" t="s">
        <v>30</v>
      </c>
      <c r="AE671" s="0" t="str">
        <f aca="false">HYPERLINK("https://lindat.mff.cuni.cz/services/SynSemClass55/SynSemClass55.html?veclass=vec00646", "vec00646 / obsadit (v41dsrB)")</f>
        <v>vec00646 / obsadit (v41dsrB)</v>
      </c>
      <c r="AF671" s="0" t="n">
        <v>0.04092</v>
      </c>
      <c r="AG671" s="5" t="s">
        <v>30</v>
      </c>
    </row>
    <row r="673" customFormat="false" ht="12.75" hidden="false" customHeight="false" outlineLevel="0" collapsed="false">
      <c r="A673" s="0" t="str">
        <f aca="false">HYPERLINK("https://lindat.mff.cuni.cz/services/PDT-Vallex4.5/PDT-Vallex4.5.html?verb=znamenat", "znamenat")</f>
        <v>znamenat</v>
      </c>
      <c r="B673" s="0" t="str">
        <f aca="false">HYPERLINK("https://lindat.mff.cuni.cz/services/PDT-Vallex4.5/PDT-Vallex4.5.html?verb=znamenat#v41rmoA", "v41rmoA")</f>
        <v>v41rmoA</v>
      </c>
      <c r="E673" s="0" t="n">
        <v>5000</v>
      </c>
      <c r="F673" s="0" t="n">
        <v>0.93084</v>
      </c>
      <c r="G673" s="1" t="s">
        <v>224</v>
      </c>
      <c r="K673" s="0" t="str">
        <f aca="false">HYPERLINK("https://lindat.mff.cuni.cz/services/SynSemClass55/SynSemClass55.html?veclass=vec00194", "vec00194 / znamenat (v41rmoB)")</f>
        <v>vec00194 / znamenat (v41rmoB)</v>
      </c>
      <c r="L673" s="0" t="n">
        <v>0.93084</v>
      </c>
      <c r="M673" s="5" t="s">
        <v>30</v>
      </c>
      <c r="P673" s="0" t="str">
        <f aca="false">HYPERLINK("https://lindat.mff.cuni.cz/services/SynSemClass55/SynSemClass55.html?veclass=vec00796", "vec00796 / ztělesňovat (v41rygA)")</f>
        <v>vec00796 / ztělesňovat (v41rygA)</v>
      </c>
      <c r="Q673" s="0" t="n">
        <v>0.01297</v>
      </c>
      <c r="R673" s="5" t="s">
        <v>30</v>
      </c>
      <c r="U673" s="0" t="str">
        <f aca="false">HYPERLINK("https://lindat.mff.cuni.cz/services/SynSemClass55/SynSemClass55.html?veclass=vec00309", "vec00309 / skončit (v41krfG)")</f>
        <v>vec00309 / skončit (v41krfG)</v>
      </c>
      <c r="V673" s="0" t="n">
        <v>0.00921</v>
      </c>
      <c r="W673" s="5" t="s">
        <v>30</v>
      </c>
      <c r="Z673" s="0" t="str">
        <f aca="false">HYPERLINK("https://lindat.mff.cuni.cz/services/SynSemClass55/SynSemClass55.html?veclass=vec00003", "vec00003 / čekat (v41mtF)")</f>
        <v>vec00003 / čekat (v41mtF)</v>
      </c>
      <c r="AA673" s="0" t="n">
        <v>0.0089</v>
      </c>
      <c r="AB673" s="5" t="s">
        <v>30</v>
      </c>
      <c r="AE673" s="0" t="str">
        <f aca="false">HYPERLINK("https://lindat.mff.cuni.cz/services/SynSemClass55/SynSemClass55.html?veclass=vec00141", "vec00141 / ukazovat (v41mlqF)")</f>
        <v>vec00141 / ukazovat (v41mlqF)</v>
      </c>
      <c r="AF673" s="0" t="n">
        <v>0.00828</v>
      </c>
      <c r="AG673" s="5" t="s">
        <v>30</v>
      </c>
    </row>
    <row r="675" customFormat="false" ht="12.75" hidden="false" customHeight="false" outlineLevel="0" collapsed="false">
      <c r="A675" s="0" t="str">
        <f aca="false">HYPERLINK("https://lindat.mff.cuni.cz/services/PDT-Vallex4.5/PDT-Vallex4.5.html?verb=znovuobnovit", "znovuobnovit")</f>
        <v>znovuobnovit</v>
      </c>
      <c r="B675" s="0" t="str">
        <f aca="false">HYPERLINK("https://lindat.mff.cuni.cz/services/PDT-Vallex4.5/PDT-Vallex4.5.html?verb=znovuobnovit#v41rpxA", "v41rpxA")</f>
        <v>v41rpxA</v>
      </c>
      <c r="E675" s="0" t="n">
        <v>1</v>
      </c>
      <c r="F675" s="0" t="n">
        <v>0.9685</v>
      </c>
      <c r="G675" s="1" t="s">
        <v>31</v>
      </c>
      <c r="I675" s="1" t="s">
        <v>225</v>
      </c>
      <c r="K675" s="0" t="str">
        <f aca="false">HYPERLINK("https://lindat.mff.cuni.cz/services/SynSemClass55/SynSemClass55.html?veclass=vec00246", "vec00246 / obnovit (v41driA)")</f>
        <v>vec00246 / obnovit (v41driA)</v>
      </c>
      <c r="L675" s="0" t="n">
        <v>0.9685</v>
      </c>
      <c r="M675" s="5" t="s">
        <v>33</v>
      </c>
      <c r="P675" s="0" t="str">
        <f aca="false">HYPERLINK("https://lindat.mff.cuni.cz/services/SynSemClass55/SynSemClass55.html?veclass=vec00744", "vec00744 / vracet se (v41npvA)")</f>
        <v>vec00744 / vracet se (v41npvA)</v>
      </c>
      <c r="Q675" s="0" t="n">
        <v>0.02147</v>
      </c>
      <c r="R675" s="5" t="s">
        <v>30</v>
      </c>
      <c r="U675" s="0" t="str">
        <f aca="false">HYPERLINK("https://lindat.mff.cuni.cz/services/SynSemClass55/SynSemClass55.html?veclass=vec01189", "vec01189 / zrekonstruovat (v41rwrB)")</f>
        <v>vec01189 / zrekonstruovat (v41rwrB)</v>
      </c>
      <c r="V675" s="0" t="n">
        <v>0.01832</v>
      </c>
      <c r="W675" s="5" t="s">
        <v>30</v>
      </c>
      <c r="Z675" s="0" t="str">
        <f aca="false">HYPERLINK("https://lindat.mff.cuni.cz/services/SynSemClass55/SynSemClass55.html?veclass=vec01876", "vec01876 / rozpracovávat (v41jwrA)")</f>
        <v>vec01876 / rozpracovávat (v41jwrA)</v>
      </c>
      <c r="AA675" s="0" t="n">
        <v>0.01503</v>
      </c>
      <c r="AB675" s="5" t="s">
        <v>30</v>
      </c>
      <c r="AE675" s="0" t="str">
        <f aca="false">HYPERLINK("https://lindat.mff.cuni.cz/services/SynSemClass55/SynSemClass55.html?veclass=vec01167", "vec01167 / zabudovat (v41pqdB)")</f>
        <v>vec01167 / zabudovat (v41pqdB)</v>
      </c>
      <c r="AF675" s="0" t="n">
        <v>0.01255</v>
      </c>
      <c r="AG675" s="5" t="s">
        <v>30</v>
      </c>
    </row>
    <row r="677" customFormat="false" ht="12.75" hidden="false" customHeight="false" outlineLevel="0" collapsed="false">
      <c r="A677" s="0" t="str">
        <f aca="false">HYPERLINK("https://lindat.mff.cuni.cz/services/PDT-Vallex4.5/PDT-Vallex4.5.html?verb=znovuzvolit", "znovuzvolit")</f>
        <v>znovuzvolit</v>
      </c>
      <c r="B677" s="0" t="str">
        <f aca="false">HYPERLINK("https://lindat.mff.cuni.cz/services/PDT-Vallex4.5/PDT-Vallex4.5.html?verb=znovuzvolit#v41rqfA", "v41rqfA")</f>
        <v>v41rqfA</v>
      </c>
      <c r="E677" s="0" t="n">
        <v>1</v>
      </c>
      <c r="F677" s="0" t="n">
        <v>0.8929</v>
      </c>
      <c r="G677" s="1" t="s">
        <v>226</v>
      </c>
      <c r="I677" s="1" t="s">
        <v>225</v>
      </c>
      <c r="K677" s="0" t="str">
        <f aca="false">HYPERLINK("https://lindat.mff.cuni.cz/services/SynSemClass55/SynSemClass55.html?veclass=vec00228", "vec00228 / jmenovat (v41biqB)")</f>
        <v>vec00228 / jmenovat (v41biqB)</v>
      </c>
      <c r="L677" s="0" t="n">
        <v>0.8929</v>
      </c>
      <c r="M677" s="5" t="s">
        <v>30</v>
      </c>
      <c r="P677" s="0" t="str">
        <f aca="false">HYPERLINK("https://lindat.mff.cuni.cz/services/SynSemClass55/SynSemClass55.html?veclass=vec01076", "vec01076 / potvrdit (v41grtB)")</f>
        <v>vec01076 / potvrdit (v41grtB)</v>
      </c>
      <c r="Q677" s="0" t="n">
        <v>0.0447</v>
      </c>
      <c r="R677" s="5" t="s">
        <v>30</v>
      </c>
      <c r="U677" s="0" t="str">
        <f aca="false">HYPERLINK("https://lindat.mff.cuni.cz/services/SynSemClass55/SynSemClass55.html?veclass=vec00020", "vec00020 / hlasovat (v41avjB)")</f>
        <v>vec00020 / hlasovat (v41avjB)</v>
      </c>
      <c r="V677" s="0" t="n">
        <v>0.01966</v>
      </c>
      <c r="W677" s="5" t="s">
        <v>30</v>
      </c>
      <c r="Z677" s="0" t="str">
        <f aca="false">HYPERLINK("https://lindat.mff.cuni.cz/services/SynSemClass55/SynSemClass55.html?veclass=vec00423", "vec00423 / kandidovat (v41bjgB)")</f>
        <v>vec00423 / kandidovat (v41bjgB)</v>
      </c>
      <c r="AA677" s="0" t="n">
        <v>0.01901</v>
      </c>
      <c r="AB677" s="5" t="s">
        <v>30</v>
      </c>
      <c r="AE677" s="0" t="str">
        <f aca="false">HYPERLINK("https://lindat.mff.cuni.cz/services/SynSemClass55/SynSemClass55.html?veclass=vec01047", "vec01047 / navrhnout (v41dgxC)")</f>
        <v>vec01047 / navrhnout (v41dgxC)</v>
      </c>
      <c r="AF677" s="0" t="n">
        <v>0.01673</v>
      </c>
      <c r="AG677" s="5" t="s">
        <v>30</v>
      </c>
    </row>
    <row r="679" customFormat="false" ht="12.75" hidden="false" customHeight="false" outlineLevel="0" collapsed="false">
      <c r="A679" s="0" t="str">
        <f aca="false">HYPERLINK("https://lindat.mff.cuni.cz/services/PDT-Vallex4.5/PDT-Vallex4.5.html?verb=zocelit", "zocelit")</f>
        <v>zocelit</v>
      </c>
      <c r="B679" s="0" t="str">
        <f aca="false">HYPERLINK("https://lindat.mff.cuni.cz/services/PDT-Vallex4.5/PDT-Vallex4.5.html?verb=zocelit#v41rqqA", "v41rqqA")</f>
        <v>v41rqqA</v>
      </c>
      <c r="E679" s="0" t="n">
        <v>23</v>
      </c>
      <c r="F679" s="0" t="n">
        <v>0.05857</v>
      </c>
      <c r="G679" s="1" t="s">
        <v>227</v>
      </c>
      <c r="K679" s="0" t="str">
        <f aca="false">HYPERLINK("https://lindat.mff.cuni.cz/services/SynSemClass55/SynSemClass55.html?veclass=vec00390", "vec00390 / zotavit se (v41rrtA)")</f>
        <v>vec00390 / zotavit se (v41rrtA)</v>
      </c>
      <c r="L679" s="0" t="n">
        <v>0.05857</v>
      </c>
      <c r="M679" s="5" t="s">
        <v>30</v>
      </c>
      <c r="P679" s="0" t="str">
        <f aca="false">HYPERLINK("https://lindat.mff.cuni.cz/services/SynSemClass55/SynSemClass55.html?veclass=vec00958", "vec00958 / vyčinit (v41nvxA)")</f>
        <v>vec00958 / vyčinit (v41nvxA)</v>
      </c>
      <c r="Q679" s="0" t="n">
        <v>0.05273</v>
      </c>
      <c r="R679" s="5" t="s">
        <v>30</v>
      </c>
      <c r="U679" s="0" t="str">
        <f aca="false">HYPERLINK("https://lindat.mff.cuni.cz/services/SynSemClass55/SynSemClass55.html?veclass=vec00246", "vec00246 / obnovit (v41driA)")</f>
        <v>vec00246 / obnovit (v41driA)</v>
      </c>
      <c r="V679" s="0" t="n">
        <v>0.05223</v>
      </c>
      <c r="W679" s="5" t="s">
        <v>30</v>
      </c>
      <c r="Z679" s="0" t="str">
        <f aca="false">HYPERLINK("https://lindat.mff.cuni.cz/services/SynSemClass55/SynSemClass55.html?veclass=vec01792", "vec01792 / obměkčit (v41dqyA)")</f>
        <v>vec01792 / obměkčit (v41dqyA)</v>
      </c>
      <c r="AA679" s="0" t="n">
        <v>0.04421</v>
      </c>
      <c r="AB679" s="5" t="s">
        <v>30</v>
      </c>
      <c r="AE679" s="0" t="str">
        <f aca="false">HYPERLINK("https://lindat.mff.cuni.cz/services/SynSemClass55/SynSemClass55.html?veclass=vec00372", "vec00372 / zasáhnout (v41qjyA)")</f>
        <v>vec00372 / zasáhnout (v41qjyA)</v>
      </c>
      <c r="AF679" s="0" t="n">
        <v>0.04122</v>
      </c>
      <c r="AG679" s="5" t="s">
        <v>30</v>
      </c>
    </row>
    <row r="681" customFormat="false" ht="12.75" hidden="false" customHeight="false" outlineLevel="0" collapsed="false">
      <c r="A681" s="0" t="str">
        <f aca="false">HYPERLINK("https://lindat.mff.cuni.cz/services/PDT-Vallex4.5/PDT-Vallex4.5.html?verb=zplodit", "zplodit")</f>
        <v>zplodit</v>
      </c>
      <c r="B681" s="0" t="str">
        <f aca="false">HYPERLINK("https://lindat.mff.cuni.cz/services/PDT-Vallex4.5/PDT-Vallex4.5.html?verb=zplodit#v41rsuB", "v41rsuB")</f>
        <v>v41rsuB</v>
      </c>
      <c r="E681" s="0" t="n">
        <v>284</v>
      </c>
      <c r="F681" s="0" t="n">
        <v>0.53753</v>
      </c>
      <c r="G681" s="1" t="s">
        <v>153</v>
      </c>
      <c r="K681" s="0" t="str">
        <f aca="false">HYPERLINK("https://lindat.mff.cuni.cz/services/SynSemClass55/SynSemClass55.html?veclass=vec01595", "vec01595 / porodit (v41gjbA)")</f>
        <v>vec01595 / porodit (v41gjbA)</v>
      </c>
      <c r="L681" s="0" t="n">
        <v>0.53753</v>
      </c>
      <c r="M681" s="5" t="s">
        <v>30</v>
      </c>
      <c r="P681" s="0" t="str">
        <f aca="false">HYPERLINK("https://lindat.mff.cuni.cz/services/SynSemClass55/SynSemClass55.html?veclass=vec00660", "vec00660 / oplodnit (v41ewdA)")</f>
        <v>vec00660 / oplodnit (v41ewdA)</v>
      </c>
      <c r="Q681" s="0" t="n">
        <v>0.14214</v>
      </c>
      <c r="R681" s="5" t="s">
        <v>30</v>
      </c>
      <c r="U681" s="0" t="str">
        <f aca="false">HYPERLINK("https://lindat.mff.cuni.cz/services/SynSemClass55/SynSemClass55.html?veclass=vec00442", "vec00442 / narodit se (v41czdA)")</f>
        <v>vec00442 / narodit se (v41czdA)</v>
      </c>
      <c r="V681" s="0" t="n">
        <v>0.03811</v>
      </c>
      <c r="W681" s="5" t="s">
        <v>30</v>
      </c>
      <c r="Z681" s="0" t="str">
        <f aca="false">HYPERLINK("https://lindat.mff.cuni.cz/services/SynSemClass55/SynSemClass55.html?veclass=vec00179", "vec00179 / zakládat (v41pwsA)")</f>
        <v>vec00179 / zakládat (v41pwsA)</v>
      </c>
      <c r="AA681" s="0" t="n">
        <v>0.02839</v>
      </c>
      <c r="AB681" s="5" t="s">
        <v>30</v>
      </c>
      <c r="AE681" s="0" t="str">
        <f aca="false">HYPERLINK("https://lindat.mff.cuni.cz/services/SynSemClass55/SynSemClass55.html?veclass=vec00196", "vec00196 / způsobit (v41rvuB)")</f>
        <v>vec00196 / způsobit (v41rvuB)</v>
      </c>
      <c r="AF681" s="0" t="n">
        <v>0.02712</v>
      </c>
      <c r="AG681" s="5" t="s">
        <v>30</v>
      </c>
    </row>
    <row r="683" customFormat="false" ht="12.75" hidden="false" customHeight="false" outlineLevel="0" collapsed="false">
      <c r="A683" s="0" t="str">
        <f aca="false">HYPERLINK("https://lindat.mff.cuni.cz/services/PDT-Vallex4.5/PDT-Vallex4.5.html?verb=zpohodlnět", "zpohodlnět")</f>
        <v>zpohodlnět</v>
      </c>
      <c r="B683" s="0" t="str">
        <f aca="false">HYPERLINK("https://lindat.mff.cuni.cz/services/PDT-Vallex4.5/PDT-Vallex4.5.html?verb=zpohodlnět#v41rsyA", "v41rsyA")</f>
        <v>v41rsyA</v>
      </c>
      <c r="E683" s="0" t="n">
        <v>15</v>
      </c>
      <c r="F683" s="0" t="n">
        <v>0.15936</v>
      </c>
      <c r="G683" s="1" t="n">
        <v>0</v>
      </c>
      <c r="I683" s="1" t="s">
        <v>228</v>
      </c>
      <c r="K683" s="0" t="str">
        <f aca="false">HYPERLINK("https://lindat.mff.cuni.cz/services/SynSemClass55/SynSemClass55.html?veclass=vec01914", "vec01914 / uvolnit se (v41ndwA)")</f>
        <v>vec01914 / uvolnit se (v41ndwA)</v>
      </c>
      <c r="L683" s="0" t="n">
        <v>0.15936</v>
      </c>
      <c r="M683" s="5" t="s">
        <v>30</v>
      </c>
      <c r="P683" s="0" t="str">
        <f aca="false">HYPERLINK("https://lindat.mff.cuni.cz/services/SynSemClass55/SynSemClass55.html?veclass=vec00390", "vec00390 / zotavit se (v41rrtA)")</f>
        <v>vec00390 / zotavit se (v41rrtA)</v>
      </c>
      <c r="Q683" s="0" t="n">
        <v>0.06916</v>
      </c>
      <c r="R683" s="5" t="s">
        <v>30</v>
      </c>
      <c r="U683" s="0" t="str">
        <f aca="false">HYPERLINK("https://lindat.mff.cuni.cz/services/SynSemClass55/SynSemClass55.html?veclass=vec00733", "vec00733 / uklidnit se (v41mmbA)")</f>
        <v>vec00733 / uklidnit se (v41mmbA)</v>
      </c>
      <c r="V683" s="0" t="n">
        <v>0.05599</v>
      </c>
      <c r="W683" s="5" t="s">
        <v>30</v>
      </c>
      <c r="Z683" s="0" t="str">
        <f aca="false">HYPERLINK("https://lindat.mff.cuni.cz/services/SynSemClass55/SynSemClass55.html?veclass=vec00536", "vec00536 / uklidnit (v41mmaA)")</f>
        <v>vec00536 / uklidnit (v41mmaA)</v>
      </c>
      <c r="AA683" s="0" t="n">
        <v>0.05346</v>
      </c>
      <c r="AB683" s="5" t="s">
        <v>30</v>
      </c>
      <c r="AE683" s="0" t="str">
        <f aca="false">HYPERLINK("https://lindat.mff.cuni.cz/services/SynSemClass55/SynSemClass55.html?veclass=vec01863", "vec01863 / relaxovat (v41jidA)")</f>
        <v>vec01863 / relaxovat (v41jidA)</v>
      </c>
      <c r="AF683" s="0" t="n">
        <v>0.04846</v>
      </c>
      <c r="AG683" s="5" t="s">
        <v>30</v>
      </c>
    </row>
    <row r="685" customFormat="false" ht="12.75" hidden="false" customHeight="false" outlineLevel="0" collapsed="false">
      <c r="A685" s="0" t="str">
        <f aca="false">HYPERLINK("https://lindat.mff.cuni.cz/services/PDT-Vallex4.5/PDT-Vallex4.5.html?verb=zpřísnět", "zpřísnět")</f>
        <v>zpřísnět</v>
      </c>
      <c r="B685" s="0" t="str">
        <f aca="false">HYPERLINK("https://lindat.mff.cuni.cz/services/PDT-Vallex4.5/PDT-Vallex4.5.html?verb=zpřísnět#v41rvhA", "v41rvhA")</f>
        <v>v41rvhA</v>
      </c>
      <c r="E685" s="0" t="n">
        <v>29</v>
      </c>
      <c r="F685" s="0" t="n">
        <v>0.12361</v>
      </c>
      <c r="G685" s="1" t="s">
        <v>31</v>
      </c>
      <c r="K685" s="0" t="str">
        <f aca="false">HYPERLINK("https://lindat.mff.cuni.cz/services/SynSemClass55/SynSemClass55.html?veclass=vec01819", "vec01819 / pookřát (v41ggaA)")</f>
        <v>vec01819 / pookřát (v41ggaA)</v>
      </c>
      <c r="L685" s="0" t="n">
        <v>0.12361</v>
      </c>
      <c r="M685" s="5" t="s">
        <v>30</v>
      </c>
      <c r="P685" s="0" t="str">
        <f aca="false">HYPERLINK("https://lindat.mff.cuni.cz/services/SynSemClass55/SynSemClass55.html?veclass=vec01301", "vec01301 / přitvrdit (v41javA)")</f>
        <v>vec01301 / přitvrdit (v41javA)</v>
      </c>
      <c r="Q685" s="0" t="n">
        <v>0.09404</v>
      </c>
      <c r="R685" s="5" t="s">
        <v>34</v>
      </c>
      <c r="U685" s="0" t="str">
        <f aca="false">HYPERLINK("https://lindat.mff.cuni.cz/services/SynSemClass55/SynSemClass55.html?veclass=vec01371", "vec01371 / zalapat (v41pzfA)")</f>
        <v>vec01371 / zalapat (v41pzfA)</v>
      </c>
      <c r="V685" s="0" t="n">
        <v>0.04977</v>
      </c>
      <c r="W685" s="5" t="s">
        <v>30</v>
      </c>
      <c r="Z685" s="0" t="str">
        <f aca="false">HYPERLINK("https://lindat.mff.cuni.cz/services/SynSemClass55/SynSemClass55.html?veclass=vec00997", "vec00997 / zpevnit (v41rsiA)")</f>
        <v>vec00997 / zpevnit (v41rsiA)</v>
      </c>
      <c r="AA685" s="0" t="n">
        <v>0.04487</v>
      </c>
      <c r="AB685" s="5" t="s">
        <v>30</v>
      </c>
      <c r="AE685" s="0" t="str">
        <f aca="false">HYPERLINK("https://lindat.mff.cuni.cz/services/SynSemClass55/SynSemClass55.html?veclass=vec00055", "vec00055 / oslabit (v41ezlC)")</f>
        <v>vec00055 / oslabit (v41ezlC)</v>
      </c>
      <c r="AF685" s="0" t="n">
        <v>0.0407</v>
      </c>
      <c r="AG685" s="5" t="s">
        <v>30</v>
      </c>
    </row>
    <row r="687" customFormat="false" ht="12.75" hidden="false" customHeight="false" outlineLevel="0" collapsed="false">
      <c r="A687" s="0" t="str">
        <f aca="false">HYPERLINK("https://lindat.mff.cuni.cz/services/PDT-Vallex4.5/PDT-Vallex4.5.html?verb=zreorganizovat", "zreorganizovat")</f>
        <v>zreorganizovat</v>
      </c>
      <c r="B687" s="0" t="str">
        <f aca="false">HYPERLINK("https://lindat.mff.cuni.cz/services/PDT-Vallex4.5/PDT-Vallex4.5.html?verb=zreorganizovat#v41rwtA", "v41rwtA")</f>
        <v>v41rwtA</v>
      </c>
      <c r="E687" s="0" t="n">
        <v>8</v>
      </c>
      <c r="F687" s="0" t="n">
        <v>0.52991</v>
      </c>
      <c r="G687" s="1" t="s">
        <v>31</v>
      </c>
      <c r="K687" s="0" t="str">
        <f aca="false">HYPERLINK("https://lindat.mff.cuni.cz/services/SynSemClass55/SynSemClass55.html?veclass=vec01864", "vec01864 / reorganizovat (v41jioA)")</f>
        <v>vec01864 / reorganizovat (v41jioA)</v>
      </c>
      <c r="L687" s="0" t="n">
        <v>0.52991</v>
      </c>
      <c r="M687" s="5" t="s">
        <v>33</v>
      </c>
      <c r="P687" s="0" t="str">
        <f aca="false">HYPERLINK("https://lindat.mff.cuni.cz/services/SynSemClass55/SynSemClass55.html?veclass=vec00896", "vec00896 / převrátit (v41infA)")</f>
        <v>vec00896 / převrátit (v41infA)</v>
      </c>
      <c r="Q687" s="0" t="n">
        <v>0.12039</v>
      </c>
      <c r="R687" s="5" t="s">
        <v>30</v>
      </c>
      <c r="U687" s="0" t="str">
        <f aca="false">HYPERLINK("https://lindat.mff.cuni.cz/services/SynSemClass55/SynSemClass55.html?veclass=vec00095", "vec00095 / přeměnit (v41iecA)")</f>
        <v>vec00095 / přeměnit (v41iecA)</v>
      </c>
      <c r="V687" s="0" t="n">
        <v>0.09485</v>
      </c>
      <c r="W687" s="5" t="s">
        <v>30</v>
      </c>
      <c r="Z687" s="0" t="str">
        <f aca="false">HYPERLINK("https://lindat.mff.cuni.cz/services/SynSemClass55/SynSemClass55.html?veclass=vec00502", "vec00502 / připravovat (v41iwzD)")</f>
        <v>vec00502 / připravovat (v41iwzD)</v>
      </c>
      <c r="AA687" s="0" t="n">
        <v>0.02024</v>
      </c>
      <c r="AB687" s="5" t="s">
        <v>30</v>
      </c>
      <c r="AE687" s="0" t="str">
        <f aca="false">HYPERLINK("https://lindat.mff.cuni.cz/services/SynSemClass55/SynSemClass55.html?veclass=vec00723", "vec00723 / spojit (v41lcuA)")</f>
        <v>vec00723 / spojit (v41lcuA)</v>
      </c>
      <c r="AF687" s="0" t="n">
        <v>0.01446</v>
      </c>
      <c r="AG687" s="5" t="s">
        <v>30</v>
      </c>
    </row>
    <row r="689" customFormat="false" ht="12.75" hidden="false" customHeight="false" outlineLevel="0" collapsed="false">
      <c r="A689" s="0" t="str">
        <f aca="false">HYPERLINK("https://lindat.mff.cuni.cz/services/PDT-Vallex4.5/PDT-Vallex4.5.html?verb=zřídit", "zřídit")</f>
        <v>zřídit</v>
      </c>
      <c r="B689" s="0" t="str">
        <f aca="false">HYPERLINK("https://lindat.mff.cuni.cz/services/PDT-Vallex4.5/PDT-Vallex4.5.html?verb=zřídit#v41rxuB", "v41rxuB")</f>
        <v>v41rxuB</v>
      </c>
      <c r="E689" s="0" t="n">
        <v>492</v>
      </c>
      <c r="F689" s="0" t="n">
        <v>0.50262</v>
      </c>
      <c r="G689" s="1" t="s">
        <v>229</v>
      </c>
      <c r="K689" s="0" t="str">
        <f aca="false">HYPERLINK("https://lindat.mff.cuni.cz/services/SynSemClass55/SynSemClass55.html?veclass=vec00179", "vec00179 / zakládat (v41pwsA)")</f>
        <v>vec00179 / zakládat (v41pwsA)</v>
      </c>
      <c r="L689" s="0" t="n">
        <v>0.50262</v>
      </c>
      <c r="M689" s="5" t="s">
        <v>30</v>
      </c>
      <c r="P689" s="0" t="str">
        <f aca="false">HYPERLINK("https://lindat.mff.cuni.cz/services/SynSemClass55/SynSemClass55.html?veclass=vec00075", "vec00075 / postavit (v41gncJ)")</f>
        <v>vec00075 / postavit (v41gncJ)</v>
      </c>
      <c r="Q689" s="0" t="n">
        <v>0.08174</v>
      </c>
      <c r="R689" s="5" t="s">
        <v>30</v>
      </c>
      <c r="U689" s="0" t="str">
        <f aca="false">HYPERLINK("https://lindat.mff.cuni.cz/services/SynSemClass55/SynSemClass55.html?veclass=vec00084", "vec00084 / produkovat (v41hcjA)")</f>
        <v>vec00084 / produkovat (v41hcjA)</v>
      </c>
      <c r="V689" s="0" t="n">
        <v>0.06618</v>
      </c>
      <c r="W689" s="5" t="s">
        <v>30</v>
      </c>
      <c r="Z689" s="0" t="str">
        <f aca="false">HYPERLINK("https://lindat.mff.cuni.cz/services/SynSemClass55/SynSemClass55.html?veclass=vec01490", "vec01490 / dotvořit (v41ahrA)")</f>
        <v>vec01490 / dotvořit (v41ahrA)</v>
      </c>
      <c r="AA689" s="0" t="n">
        <v>0.01963</v>
      </c>
      <c r="AB689" s="5" t="s">
        <v>30</v>
      </c>
      <c r="AE689" s="0" t="str">
        <f aca="false">HYPERLINK("https://lindat.mff.cuni.cz/services/SynSemClass55/SynSemClass55.html?veclass=vec00556", "vec00556 / vyhradit (v41oavA)")</f>
        <v>vec00556 / vyhradit (v41oavA)</v>
      </c>
      <c r="AF689" s="0" t="n">
        <v>0.01848</v>
      </c>
      <c r="AG689" s="5" t="s">
        <v>30</v>
      </c>
    </row>
    <row r="691" customFormat="false" ht="12.75" hidden="false" customHeight="false" outlineLevel="0" collapsed="false">
      <c r="A691" s="0" t="str">
        <f aca="false">HYPERLINK("https://lindat.mff.cuni.cz/services/PDT-Vallex4.5/PDT-Vallex4.5.html?verb=ztenčit", "ztenčit")</f>
        <v>ztenčit</v>
      </c>
      <c r="B691" s="0" t="str">
        <f aca="false">HYPERLINK("https://lindat.mff.cuni.cz/services/PDT-Vallex4.5/PDT-Vallex4.5.html?verb=ztenčit#v41ryhA", "v41ryhA")</f>
        <v>v41ryhA</v>
      </c>
      <c r="E691" s="0" t="n">
        <v>52</v>
      </c>
      <c r="F691" s="0" t="n">
        <v>0.39664</v>
      </c>
      <c r="G691" s="1" t="s">
        <v>31</v>
      </c>
      <c r="K691" s="0" t="str">
        <f aca="false">HYPERLINK("https://lindat.mff.cuni.cz/services/SynSemClass55/SynSemClass55.html?veclass=vec00028", "vec00028 / klesnout (v41blkA)")</f>
        <v>vec00028 / klesnout (v41blkA)</v>
      </c>
      <c r="L691" s="0" t="n">
        <v>0.39664</v>
      </c>
      <c r="M691" s="5" t="s">
        <v>30</v>
      </c>
      <c r="P691" s="0" t="str">
        <f aca="false">HYPERLINK("https://lindat.mff.cuni.cz/services/SynSemClass55/SynSemClass55.html?veclass=vec00463", "vec00463 / oslabit (v41ezlD)")</f>
        <v>vec00463 / oslabit (v41ezlD)</v>
      </c>
      <c r="Q691" s="0" t="n">
        <v>0.09284</v>
      </c>
      <c r="R691" s="5" t="s">
        <v>30</v>
      </c>
      <c r="U691" s="0" t="str">
        <f aca="false">HYPERLINK("https://lindat.mff.cuni.cz/services/SynSemClass55/SynSemClass55.html?veclass=vec00118", "vec00118 / snížit (v41kxlA)")</f>
        <v>vec00118 / snížit (v41kxlA)</v>
      </c>
      <c r="V691" s="0" t="n">
        <v>0.07247</v>
      </c>
      <c r="W691" s="5" t="s">
        <v>33</v>
      </c>
      <c r="Z691" s="0" t="str">
        <f aca="false">HYPERLINK("https://lindat.mff.cuni.cz/services/SynSemClass55/SynSemClass55.html?veclass=vec01508", "vec01508 / ořezávat (v41eymA)")</f>
        <v>vec01508 / ořezávat (v41eymA)</v>
      </c>
      <c r="AA691" s="0" t="n">
        <v>0.06732</v>
      </c>
      <c r="AB691" s="5" t="s">
        <v>32</v>
      </c>
      <c r="AE691" s="0" t="str">
        <f aca="false">HYPERLINK("https://lindat.mff.cuni.cz/services/SynSemClass55/SynSemClass55.html?veclass=vec00793", "vec00793 / zmírnit se (v41rkyA)")</f>
        <v>vec00793 / zmírnit se (v41rkyA)</v>
      </c>
      <c r="AF691" s="0" t="n">
        <v>0.0448</v>
      </c>
      <c r="AG691" s="5" t="s">
        <v>30</v>
      </c>
    </row>
    <row r="693" customFormat="false" ht="12.75" hidden="false" customHeight="false" outlineLevel="0" collapsed="false">
      <c r="A693" s="0" t="str">
        <f aca="false">HYPERLINK("https://lindat.mff.cuni.cz/services/PDT-Vallex4.5/PDT-Vallex4.5.html?verb=ztupit", "ztupit")</f>
        <v>ztupit</v>
      </c>
      <c r="B693" s="0" t="str">
        <f aca="false">HYPERLINK("https://lindat.mff.cuni.cz/services/PDT-Vallex4.5/PDT-Vallex4.5.html?verb=ztupit#v41rzqA", "v41rzqA")</f>
        <v>v41rzqA</v>
      </c>
      <c r="E693" s="0" t="n">
        <v>6</v>
      </c>
      <c r="F693" s="0" t="n">
        <v>0.14569</v>
      </c>
      <c r="G693" s="1" t="n">
        <v>0</v>
      </c>
      <c r="I693" s="1" t="s">
        <v>89</v>
      </c>
      <c r="K693" s="0" t="str">
        <f aca="false">HYPERLINK("https://lindat.mff.cuni.cz/services/SynSemClass55/SynSemClass55.html?veclass=vec00055", "vec00055 / oslabit (v41ezlC)")</f>
        <v>vec00055 / oslabit (v41ezlC)</v>
      </c>
      <c r="L693" s="0" t="n">
        <v>0.14569</v>
      </c>
      <c r="M693" s="5" t="s">
        <v>30</v>
      </c>
      <c r="P693" s="0" t="str">
        <f aca="false">HYPERLINK("https://lindat.mff.cuni.cz/services/SynSemClass55/SynSemClass55.html?veclass=vec01103", "vec01103 / roztavit se (v41jztA)")</f>
        <v>vec01103 / roztavit se (v41jztA)</v>
      </c>
      <c r="Q693" s="0" t="n">
        <v>0.06124</v>
      </c>
      <c r="R693" s="5" t="s">
        <v>30</v>
      </c>
      <c r="U693" s="0" t="str">
        <f aca="false">HYPERLINK("https://lindat.mff.cuni.cz/services/SynSemClass55/SynSemClass55.html?veclass=vec01068", "vec01068 / plácnout (v41fmcB)")</f>
        <v>vec01068 / plácnout (v41fmcB)</v>
      </c>
      <c r="V693" s="0" t="n">
        <v>0.0489</v>
      </c>
      <c r="W693" s="5" t="s">
        <v>30</v>
      </c>
      <c r="Z693" s="0" t="str">
        <f aca="false">HYPERLINK("https://lindat.mff.cuni.cz/services/SynSemClass55/SynSemClass55.html?veclass=vec01508", "vec01508 / ořezávat (v41eymA)")</f>
        <v>vec01508 / ořezávat (v41eymA)</v>
      </c>
      <c r="AA693" s="0" t="n">
        <v>0.03563</v>
      </c>
      <c r="AB693" s="5" t="s">
        <v>30</v>
      </c>
      <c r="AE693" s="0" t="str">
        <f aca="false">HYPERLINK("https://lindat.mff.cuni.cz/services/SynSemClass55/SynSemClass55.html?veclass=vec01886", "vec01886 / slisovat (v41ktfA)")</f>
        <v>vec01886 / slisovat (v41ktfA)</v>
      </c>
      <c r="AF693" s="0" t="n">
        <v>0.03393</v>
      </c>
      <c r="AG693" s="5" t="s">
        <v>30</v>
      </c>
    </row>
    <row r="695" customFormat="false" ht="12.75" hidden="false" customHeight="false" outlineLevel="0" collapsed="false">
      <c r="A695" s="0" t="str">
        <f aca="false">HYPERLINK("https://lindat.mff.cuni.cz/services/PDT-Vallex4.5/PDT-Vallex4.5.html?verb=zužovat", "zužovat")</f>
        <v>zužovat</v>
      </c>
      <c r="B695" s="0" t="str">
        <f aca="false">HYPERLINK("https://lindat.mff.cuni.cz/services/PDT-Vallex4.5/PDT-Vallex4.5.html?verb=zužovat#v41sanA", "v41sanA")</f>
        <v>v41sanA</v>
      </c>
      <c r="E695" s="0" t="n">
        <v>176</v>
      </c>
      <c r="F695" s="0" t="n">
        <v>0.0911</v>
      </c>
      <c r="G695" s="1" t="s">
        <v>31</v>
      </c>
      <c r="K695" s="0" t="str">
        <f aca="false">HYPERLINK("https://lindat.mff.cuni.cz/services/SynSemClass55/SynSemClass55.html?veclass=vec01508", "vec01508 / ořezávat (v41eymA)")</f>
        <v>vec01508 / ořezávat (v41eymA)</v>
      </c>
      <c r="L695" s="0" t="n">
        <v>0.0911</v>
      </c>
      <c r="M695" s="5" t="s">
        <v>32</v>
      </c>
      <c r="P695" s="0" t="str">
        <f aca="false">HYPERLINK("https://lindat.mff.cuni.cz/services/SynSemClass55/SynSemClass55.html?veclass=vec00055", "vec00055 / oslabit (v41ezlC)")</f>
        <v>vec00055 / oslabit (v41ezlC)</v>
      </c>
      <c r="Q695" s="0" t="n">
        <v>0.05689</v>
      </c>
      <c r="R695" s="5" t="s">
        <v>30</v>
      </c>
      <c r="U695" s="0" t="str">
        <f aca="false">HYPERLINK("https://lindat.mff.cuni.cz/services/SynSemClass55/SynSemClass55.html?veclass=vec00118", "vec00118 / snížit (v41kxlA)")</f>
        <v>vec00118 / snížit (v41kxlA)</v>
      </c>
      <c r="V695" s="0" t="n">
        <v>0.05424</v>
      </c>
      <c r="W695" s="5" t="s">
        <v>33</v>
      </c>
      <c r="Z695" s="0" t="str">
        <f aca="false">HYPERLINK("https://lindat.mff.cuni.cz/services/SynSemClass55/SynSemClass55.html?veclass=vec00463", "vec00463 / oslabit (v41ezlD)")</f>
        <v>vec00463 / oslabit (v41ezlD)</v>
      </c>
      <c r="AA695" s="0" t="n">
        <v>0.04576</v>
      </c>
      <c r="AB695" s="5" t="s">
        <v>30</v>
      </c>
      <c r="AE695" s="0" t="str">
        <f aca="false">HYPERLINK("https://lindat.mff.cuni.cz/services/SynSemClass55/SynSemClass55.html?veclass=vec00793", "vec00793 / zmírnit se (v41rkyA)")</f>
        <v>vec00793 / zmírnit se (v41rkyA)</v>
      </c>
      <c r="AF695" s="0" t="n">
        <v>0.03838</v>
      </c>
      <c r="AG695" s="5" t="s">
        <v>30</v>
      </c>
    </row>
    <row r="696" customFormat="false" ht="12.75" hidden="false" customHeight="false" outlineLevel="0" collapsed="false">
      <c r="A696" s="0" t="str">
        <f aca="false">HYPERLINK("https://lindat.mff.cuni.cz/services/PDT-Vallex4.5/PDT-Vallex4.5.html?verb=zužovat", "zužovat")</f>
        <v>zužovat</v>
      </c>
      <c r="B696" s="0" t="str">
        <f aca="false">HYPERLINK("https://lindat.mff.cuni.cz/services/PDT-Vallex4.5/PDT-Vallex4.5.html?verb=zužovat#v41sanB", "v41sanB")</f>
        <v>v41sanB</v>
      </c>
      <c r="E696" s="0" t="n">
        <v>176</v>
      </c>
      <c r="F696" s="0" t="n">
        <v>0.0911</v>
      </c>
      <c r="G696" s="1" t="s">
        <v>31</v>
      </c>
      <c r="K696" s="0" t="str">
        <f aca="false">HYPERLINK("https://lindat.mff.cuni.cz/services/SynSemClass55/SynSemClass55.html?veclass=vec01508", "vec01508 / ořezávat (v41eymA)")</f>
        <v>vec01508 / ořezávat (v41eymA)</v>
      </c>
      <c r="L696" s="0" t="n">
        <v>0.0911</v>
      </c>
      <c r="M696" s="5" t="s">
        <v>34</v>
      </c>
      <c r="P696" s="0" t="str">
        <f aca="false">HYPERLINK("https://lindat.mff.cuni.cz/services/SynSemClass55/SynSemClass55.html?veclass=vec00055", "vec00055 / oslabit (v41ezlC)")</f>
        <v>vec00055 / oslabit (v41ezlC)</v>
      </c>
      <c r="Q696" s="0" t="n">
        <v>0.05689</v>
      </c>
      <c r="R696" s="5" t="s">
        <v>30</v>
      </c>
      <c r="U696" s="0" t="str">
        <f aca="false">HYPERLINK("https://lindat.mff.cuni.cz/services/SynSemClass55/SynSemClass55.html?veclass=vec00118", "vec00118 / snížit (v41kxlA)")</f>
        <v>vec00118 / snížit (v41kxlA)</v>
      </c>
      <c r="V696" s="0" t="n">
        <v>0.05424</v>
      </c>
      <c r="W696" s="5" t="s">
        <v>30</v>
      </c>
      <c r="Z696" s="0" t="str">
        <f aca="false">HYPERLINK("https://lindat.mff.cuni.cz/services/SynSemClass55/SynSemClass55.html?veclass=vec00463", "vec00463 / oslabit (v41ezlD)")</f>
        <v>vec00463 / oslabit (v41ezlD)</v>
      </c>
      <c r="AA696" s="0" t="n">
        <v>0.04576</v>
      </c>
      <c r="AB696" s="5" t="s">
        <v>30</v>
      </c>
      <c r="AE696" s="0" t="str">
        <f aca="false">HYPERLINK("https://lindat.mff.cuni.cz/services/SynSemClass55/SynSemClass55.html?veclass=vec00793", "vec00793 / zmírnit se (v41rkyA)")</f>
        <v>vec00793 / zmírnit se (v41rkyA)</v>
      </c>
      <c r="AF696" s="0" t="n">
        <v>0.03838</v>
      </c>
      <c r="AG696" s="5" t="s">
        <v>30</v>
      </c>
    </row>
    <row r="698" customFormat="false" ht="12.75" hidden="false" customHeight="false" outlineLevel="0" collapsed="false">
      <c r="A698" s="0" t="str">
        <f aca="false">HYPERLINK("https://lindat.mff.cuni.cz/services/PDT-Vallex4.5/PDT-Vallex4.5.html?verb=zúžit", "zúžit")</f>
        <v>zúžit</v>
      </c>
      <c r="B698" s="0" t="str">
        <f aca="false">HYPERLINK("https://lindat.mff.cuni.cz/services/PDT-Vallex4.5/PDT-Vallex4.5.html?verb=zúžit#v41sakB", "v41sakB")</f>
        <v>v41sakB</v>
      </c>
      <c r="E698" s="0" t="n">
        <v>319</v>
      </c>
      <c r="F698" s="0" t="n">
        <v>0.07288</v>
      </c>
      <c r="G698" s="1" t="n">
        <v>0</v>
      </c>
      <c r="I698" s="1" t="s">
        <v>230</v>
      </c>
      <c r="K698" s="0" t="str">
        <f aca="false">HYPERLINK("https://lindat.mff.cuni.cz/services/SynSemClass55/SynSemClass55.html?veclass=vec01508", "vec01508 / ořezávat (v41eymA)")</f>
        <v>vec01508 / ořezávat (v41eymA)</v>
      </c>
      <c r="L698" s="0" t="n">
        <v>0.07288</v>
      </c>
      <c r="M698" s="5" t="s">
        <v>30</v>
      </c>
      <c r="P698" s="0" t="str">
        <f aca="false">HYPERLINK("https://lindat.mff.cuni.cz/services/SynSemClass55/SynSemClass55.html?veclass=vec00118", "vec00118 / snížit (v41kxlA)")</f>
        <v>vec00118 / snížit (v41kxlA)</v>
      </c>
      <c r="Q698" s="0" t="n">
        <v>0.06701</v>
      </c>
      <c r="R698" s="5" t="s">
        <v>30</v>
      </c>
      <c r="U698" s="0" t="str">
        <f aca="false">HYPERLINK("https://lindat.mff.cuni.cz/services/SynSemClass55/SynSemClass55.html?veclass=vec00055", "vec00055 / oslabit (v41ezlC)")</f>
        <v>vec00055 / oslabit (v41ezlC)</v>
      </c>
      <c r="V698" s="0" t="n">
        <v>0.04329</v>
      </c>
      <c r="W698" s="5" t="s">
        <v>30</v>
      </c>
      <c r="Z698" s="0" t="str">
        <f aca="false">HYPERLINK("https://lindat.mff.cuni.cz/services/SynSemClass55/SynSemClass55.html?veclass=vec00637", "vec00637 / naklonit se (v41csfB)")</f>
        <v>vec00637 / naklonit se (v41csfB)</v>
      </c>
      <c r="AA698" s="0" t="n">
        <v>0.04188</v>
      </c>
      <c r="AB698" s="5" t="s">
        <v>30</v>
      </c>
      <c r="AE698" s="0" t="str">
        <f aca="false">HYPERLINK("https://lindat.mff.cuni.cz/services/SynSemClass55/SynSemClass55.html?veclass=vec01819", "vec01819 / pookřát (v41ggaA)")</f>
        <v>vec01819 / pookřát (v41ggaA)</v>
      </c>
      <c r="AF698" s="0" t="n">
        <v>0.04036</v>
      </c>
      <c r="AG698" s="5" t="s">
        <v>30</v>
      </c>
    </row>
    <row r="700" customFormat="false" ht="12.75" hidden="false" customHeight="false" outlineLevel="0" collapsed="false">
      <c r="A700" s="0" t="str">
        <f aca="false">HYPERLINK("https://lindat.mff.cuni.cz/services/PDT-Vallex4.5/PDT-Vallex4.5.html?verb=žvanit", "žvanit")</f>
        <v>žvanit</v>
      </c>
      <c r="B700" s="0" t="str">
        <f aca="false">HYPERLINK("https://lindat.mff.cuni.cz/services/PDT-Vallex4.5/PDT-Vallex4.5.html?verb=žvanit#v41sevA", "v41sevA")</f>
        <v>v41sevA</v>
      </c>
      <c r="E700" s="0" t="n">
        <v>526</v>
      </c>
      <c r="F700" s="0" t="n">
        <v>0.13321</v>
      </c>
      <c r="G700" s="1" t="n">
        <v>0</v>
      </c>
      <c r="I700" s="1" t="s">
        <v>231</v>
      </c>
      <c r="K700" s="0" t="str">
        <f aca="false">HYPERLINK("https://lindat.mff.cuni.cz/services/SynSemClass55/SynSemClass55.html?veclass=vec01489", "vec01489 / bručet (v41inA)")</f>
        <v>vec01489 / bručet (v41inA)</v>
      </c>
      <c r="L700" s="0" t="n">
        <v>0.13321</v>
      </c>
      <c r="M700" s="5" t="s">
        <v>30</v>
      </c>
      <c r="P700" s="0" t="str">
        <f aca="false">HYPERLINK("https://lindat.mff.cuni.cz/services/SynSemClass55/SynSemClass55.html?veclass=vec00633", "vec00633 / nadávat (v41cnkB)")</f>
        <v>vec00633 / nadávat (v41cnkB)</v>
      </c>
      <c r="Q700" s="0" t="n">
        <v>0.12217</v>
      </c>
      <c r="R700" s="5" t="s">
        <v>30</v>
      </c>
      <c r="U700" s="0" t="str">
        <f aca="false">HYPERLINK("https://lindat.mff.cuni.cz/services/SynSemClass55/SynSemClass55.html?veclass=vec01529", "vec01529 / špitnout (v41lutA)")</f>
        <v>vec01529 / špitnout (v41lutA)</v>
      </c>
      <c r="V700" s="0" t="n">
        <v>0.11296</v>
      </c>
      <c r="W700" s="5" t="s">
        <v>30</v>
      </c>
      <c r="Z700" s="0" t="str">
        <f aca="false">HYPERLINK("https://lindat.mff.cuni.cz/services/SynSemClass55/SynSemClass55.html?veclass=vec01056", "vec01056 / odfrknout si (v41dznA)")</f>
        <v>vec01056 / odfrknout si (v41dznA)</v>
      </c>
      <c r="AA700" s="0" t="n">
        <v>0.07411</v>
      </c>
      <c r="AB700" s="5" t="s">
        <v>30</v>
      </c>
      <c r="AE700" s="0" t="str">
        <f aca="false">HYPERLINK("https://lindat.mff.cuni.cz/services/SynSemClass55/SynSemClass55.html?veclass=vec00832", "vec00832 / lhát (v41cafA)")</f>
        <v>vec00832 / lhát (v41cafA)</v>
      </c>
      <c r="AF700" s="0" t="n">
        <v>0.06483</v>
      </c>
      <c r="AG700" s="5" t="s">
        <v>30</v>
      </c>
    </row>
    <row r="701" customFormat="false" ht="12.75" hidden="false" customHeight="true" outlineLevel="0" collapsed="false">
      <c r="M701" s="5"/>
      <c r="R701" s="5"/>
      <c r="W701" s="5"/>
      <c r="AB701" s="5"/>
      <c r="AG701" s="5"/>
    </row>
    <row r="702" customFormat="false" ht="12.75" hidden="false" customHeight="true" outlineLevel="0" collapsed="false">
      <c r="M702" s="5"/>
      <c r="R702" s="5"/>
      <c r="W702" s="5"/>
      <c r="AB702" s="5"/>
      <c r="AG702" s="5"/>
    </row>
    <row r="703" customFormat="false" ht="12.75" hidden="false" customHeight="true" outlineLevel="0" collapsed="false">
      <c r="M703" s="5"/>
      <c r="R703" s="5"/>
      <c r="W703" s="5"/>
      <c r="AB703" s="5"/>
      <c r="AG703" s="5"/>
    </row>
    <row r="704" customFormat="false" ht="12.75" hidden="false" customHeight="true" outlineLevel="0" collapsed="false">
      <c r="M704" s="5"/>
      <c r="R704" s="5"/>
      <c r="W704" s="5"/>
      <c r="AB704" s="5"/>
      <c r="AG704" s="5"/>
    </row>
    <row r="705" customFormat="false" ht="12.75" hidden="false" customHeight="true" outlineLevel="0" collapsed="false">
      <c r="M705" s="5"/>
      <c r="R705" s="5"/>
      <c r="W705" s="5"/>
      <c r="AB705" s="5"/>
      <c r="AG705" s="5"/>
    </row>
    <row r="706" customFormat="false" ht="12.75" hidden="false" customHeight="true" outlineLevel="0" collapsed="false">
      <c r="M706" s="5"/>
      <c r="R706" s="5"/>
      <c r="W706" s="5"/>
      <c r="AB706" s="5"/>
      <c r="AG706" s="5"/>
    </row>
    <row r="707" customFormat="false" ht="12.75" hidden="false" customHeight="true" outlineLevel="0" collapsed="false">
      <c r="M707" s="5"/>
      <c r="R707" s="5"/>
      <c r="W707" s="5"/>
      <c r="AB707" s="5"/>
      <c r="AG707" s="5"/>
    </row>
    <row r="708" customFormat="false" ht="12.75" hidden="false" customHeight="true" outlineLevel="0" collapsed="false">
      <c r="M708" s="5"/>
      <c r="R708" s="5"/>
      <c r="W708" s="5"/>
      <c r="AB708" s="5"/>
      <c r="AG708" s="5"/>
    </row>
    <row r="709" customFormat="false" ht="12.75" hidden="false" customHeight="true" outlineLevel="0" collapsed="false">
      <c r="M709" s="5"/>
      <c r="R709" s="5"/>
      <c r="W709" s="5"/>
      <c r="AB709" s="5"/>
      <c r="AG709" s="5"/>
    </row>
    <row r="710" customFormat="false" ht="12.75" hidden="false" customHeight="true" outlineLevel="0" collapsed="false">
      <c r="M710" s="5"/>
      <c r="R710" s="5"/>
      <c r="W710" s="5"/>
      <c r="AB710" s="5"/>
      <c r="AG710" s="5"/>
    </row>
    <row r="711" customFormat="false" ht="12.75" hidden="false" customHeight="true" outlineLevel="0" collapsed="false">
      <c r="M711" s="5"/>
      <c r="R711" s="5"/>
      <c r="W711" s="5"/>
      <c r="AB711" s="5"/>
      <c r="AG711" s="5"/>
    </row>
    <row r="712" customFormat="false" ht="12.75" hidden="false" customHeight="true" outlineLevel="0" collapsed="false">
      <c r="M712" s="5"/>
      <c r="R712" s="5"/>
      <c r="W712" s="5"/>
      <c r="AB712" s="5"/>
      <c r="AG712" s="5"/>
    </row>
    <row r="713" customFormat="false" ht="12.75" hidden="false" customHeight="true" outlineLevel="0" collapsed="false">
      <c r="M713" s="5"/>
      <c r="R713" s="5"/>
      <c r="W713" s="5"/>
      <c r="AB713" s="5"/>
      <c r="AG713" s="5"/>
    </row>
    <row r="714" customFormat="false" ht="12.75" hidden="false" customHeight="true" outlineLevel="0" collapsed="false">
      <c r="M714" s="5"/>
      <c r="R714" s="5"/>
      <c r="W714" s="5"/>
      <c r="AB714" s="5"/>
      <c r="AG714" s="5"/>
    </row>
    <row r="715" customFormat="false" ht="12.75" hidden="false" customHeight="true" outlineLevel="0" collapsed="false">
      <c r="M715" s="5"/>
      <c r="R715" s="5"/>
      <c r="W715" s="5"/>
      <c r="AB715" s="5"/>
      <c r="AG715" s="5"/>
    </row>
    <row r="716" customFormat="false" ht="12.75" hidden="false" customHeight="true" outlineLevel="0" collapsed="false">
      <c r="M716" s="5"/>
      <c r="R716" s="5"/>
      <c r="W716" s="5"/>
      <c r="AB716" s="5"/>
      <c r="AG716" s="5"/>
    </row>
    <row r="717" customFormat="false" ht="12.75" hidden="false" customHeight="true" outlineLevel="0" collapsed="false">
      <c r="M717" s="5"/>
      <c r="R717" s="5"/>
      <c r="W717" s="5"/>
      <c r="AB717" s="5"/>
      <c r="AG717" s="5"/>
    </row>
    <row r="718" customFormat="false" ht="12.75" hidden="false" customHeight="true" outlineLevel="0" collapsed="false">
      <c r="M718" s="5"/>
      <c r="R718" s="5"/>
      <c r="W718" s="5"/>
      <c r="AB718" s="5"/>
      <c r="AG718" s="5"/>
    </row>
    <row r="719" customFormat="false" ht="12.75" hidden="false" customHeight="true" outlineLevel="0" collapsed="false">
      <c r="M719" s="5"/>
      <c r="R719" s="5"/>
      <c r="W719" s="5"/>
      <c r="AB719" s="5"/>
      <c r="AG719" s="5"/>
    </row>
    <row r="720" customFormat="false" ht="12.75" hidden="false" customHeight="true" outlineLevel="0" collapsed="false">
      <c r="M720" s="5"/>
      <c r="R720" s="5"/>
      <c r="W720" s="5"/>
      <c r="AB720" s="5"/>
      <c r="AG720" s="5"/>
    </row>
    <row r="721" customFormat="false" ht="12.75" hidden="false" customHeight="true" outlineLevel="0" collapsed="false">
      <c r="M721" s="5"/>
      <c r="R721" s="5"/>
      <c r="W721" s="5"/>
      <c r="AB721" s="5"/>
      <c r="AG721" s="5"/>
    </row>
    <row r="722" customFormat="false" ht="12.75" hidden="false" customHeight="true" outlineLevel="0" collapsed="false">
      <c r="M722" s="5"/>
      <c r="R722" s="5"/>
      <c r="W722" s="5"/>
      <c r="AB722" s="5"/>
      <c r="AG722" s="5"/>
    </row>
    <row r="723" customFormat="false" ht="12.75" hidden="false" customHeight="true" outlineLevel="0" collapsed="false">
      <c r="M723" s="5"/>
      <c r="R723" s="5"/>
      <c r="W723" s="5"/>
      <c r="AB723" s="5"/>
      <c r="AG723" s="5"/>
    </row>
    <row r="724" customFormat="false" ht="12.75" hidden="false" customHeight="true" outlineLevel="0" collapsed="false">
      <c r="M724" s="5"/>
      <c r="R724" s="5"/>
      <c r="W724" s="5"/>
      <c r="AB724" s="5"/>
      <c r="AG724" s="5"/>
    </row>
    <row r="725" customFormat="false" ht="12.75" hidden="false" customHeight="true" outlineLevel="0" collapsed="false">
      <c r="M725" s="5"/>
      <c r="R725" s="5"/>
      <c r="W725" s="5"/>
      <c r="AB725" s="5"/>
      <c r="AG725" s="5"/>
    </row>
    <row r="726" customFormat="false" ht="12.75" hidden="false" customHeight="true" outlineLevel="0" collapsed="false">
      <c r="M726" s="5"/>
      <c r="R726" s="5"/>
      <c r="W726" s="5"/>
      <c r="AB726" s="5"/>
      <c r="AG726" s="5"/>
    </row>
    <row r="727" customFormat="false" ht="12.75" hidden="false" customHeight="true" outlineLevel="0" collapsed="false">
      <c r="M727" s="5"/>
      <c r="R727" s="5"/>
      <c r="W727" s="5"/>
      <c r="AB727" s="5"/>
      <c r="AG727" s="5"/>
    </row>
    <row r="728" customFormat="false" ht="12.75" hidden="false" customHeight="true" outlineLevel="0" collapsed="false">
      <c r="M728" s="5"/>
      <c r="R728" s="5"/>
      <c r="W728" s="5"/>
      <c r="AB728" s="5"/>
      <c r="AG728" s="5"/>
    </row>
    <row r="729" customFormat="false" ht="12.75" hidden="false" customHeight="true" outlineLevel="0" collapsed="false">
      <c r="M729" s="5"/>
      <c r="R729" s="5"/>
      <c r="W729" s="5"/>
      <c r="AB729" s="5"/>
      <c r="AG729" s="5"/>
    </row>
    <row r="730" customFormat="false" ht="12.75" hidden="false" customHeight="true" outlineLevel="0" collapsed="false">
      <c r="M730" s="5"/>
      <c r="R730" s="5"/>
      <c r="W730" s="5"/>
      <c r="AB730" s="5"/>
      <c r="AG730" s="5"/>
    </row>
    <row r="731" customFormat="false" ht="12.75" hidden="false" customHeight="true" outlineLevel="0" collapsed="false">
      <c r="M731" s="5"/>
      <c r="R731" s="5"/>
      <c r="W731" s="5"/>
      <c r="AB731" s="5"/>
      <c r="AG731" s="5"/>
    </row>
    <row r="732" customFormat="false" ht="12.75" hidden="false" customHeight="true" outlineLevel="0" collapsed="false">
      <c r="M732" s="5"/>
      <c r="R732" s="5"/>
      <c r="W732" s="5"/>
      <c r="AB732" s="5"/>
      <c r="AG732" s="5"/>
    </row>
    <row r="733" customFormat="false" ht="12.75" hidden="false" customHeight="true" outlineLevel="0" collapsed="false">
      <c r="M733" s="5"/>
      <c r="R733" s="5"/>
      <c r="W733" s="5"/>
      <c r="AB733" s="5"/>
      <c r="AG733" s="5"/>
    </row>
    <row r="734" customFormat="false" ht="12.75" hidden="false" customHeight="true" outlineLevel="0" collapsed="false">
      <c r="M734" s="5"/>
      <c r="R734" s="5"/>
      <c r="W734" s="5"/>
      <c r="AB734" s="5"/>
      <c r="AG734" s="5"/>
    </row>
    <row r="735" customFormat="false" ht="12.75" hidden="false" customHeight="true" outlineLevel="0" collapsed="false">
      <c r="M735" s="5"/>
      <c r="R735" s="5"/>
      <c r="W735" s="5"/>
      <c r="AB735" s="5"/>
      <c r="AG735" s="5"/>
    </row>
    <row r="736" customFormat="false" ht="12.75" hidden="false" customHeight="true" outlineLevel="0" collapsed="false">
      <c r="M736" s="5"/>
      <c r="R736" s="5"/>
      <c r="W736" s="5"/>
      <c r="AB736" s="5"/>
      <c r="AG736" s="5"/>
    </row>
    <row r="737" customFormat="false" ht="12.75" hidden="false" customHeight="true" outlineLevel="0" collapsed="false">
      <c r="M737" s="5"/>
      <c r="R737" s="5"/>
      <c r="W737" s="5"/>
      <c r="AB737" s="5"/>
      <c r="AG737" s="5"/>
    </row>
    <row r="738" customFormat="false" ht="12.75" hidden="false" customHeight="true" outlineLevel="0" collapsed="false">
      <c r="M738" s="5"/>
      <c r="R738" s="5"/>
      <c r="W738" s="5"/>
      <c r="AB738" s="5"/>
      <c r="AG738" s="5"/>
    </row>
    <row r="739" customFormat="false" ht="12.75" hidden="false" customHeight="true" outlineLevel="0" collapsed="false">
      <c r="M739" s="5"/>
      <c r="R739" s="5"/>
      <c r="W739" s="5"/>
      <c r="AB739" s="5"/>
      <c r="AG739" s="5"/>
    </row>
    <row r="740" customFormat="false" ht="12.75" hidden="false" customHeight="true" outlineLevel="0" collapsed="false">
      <c r="M740" s="5"/>
      <c r="R740" s="5"/>
      <c r="W740" s="5"/>
      <c r="AB740" s="5"/>
      <c r="AG740" s="5"/>
    </row>
    <row r="741" customFormat="false" ht="12.75" hidden="false" customHeight="true" outlineLevel="0" collapsed="false">
      <c r="M741" s="5"/>
      <c r="R741" s="5"/>
      <c r="W741" s="5"/>
      <c r="AB741" s="5"/>
      <c r="AG741" s="5"/>
    </row>
    <row r="742" customFormat="false" ht="12.75" hidden="false" customHeight="true" outlineLevel="0" collapsed="false">
      <c r="M742" s="5"/>
      <c r="R742" s="5"/>
      <c r="W742" s="5"/>
      <c r="AB742" s="5"/>
      <c r="AG742" s="5"/>
    </row>
    <row r="743" customFormat="false" ht="12.75" hidden="false" customHeight="true" outlineLevel="0" collapsed="false">
      <c r="M743" s="5"/>
      <c r="R743" s="5"/>
      <c r="W743" s="5"/>
      <c r="AB743" s="5"/>
      <c r="AG743" s="5"/>
    </row>
    <row r="744" customFormat="false" ht="12.75" hidden="false" customHeight="true" outlineLevel="0" collapsed="false">
      <c r="M744" s="5"/>
      <c r="R744" s="5"/>
      <c r="W744" s="5"/>
      <c r="AB744" s="5"/>
      <c r="AG744" s="5"/>
    </row>
    <row r="745" customFormat="false" ht="12.75" hidden="false" customHeight="true" outlineLevel="0" collapsed="false">
      <c r="M745" s="5"/>
      <c r="R745" s="5"/>
      <c r="W745" s="5"/>
      <c r="AB745" s="5"/>
      <c r="AG745" s="5"/>
    </row>
    <row r="746" customFormat="false" ht="12.75" hidden="false" customHeight="true" outlineLevel="0" collapsed="false">
      <c r="M746" s="5"/>
      <c r="R746" s="5"/>
      <c r="W746" s="5"/>
      <c r="AB746" s="5"/>
      <c r="AG746" s="5"/>
    </row>
    <row r="747" customFormat="false" ht="12.75" hidden="false" customHeight="true" outlineLevel="0" collapsed="false">
      <c r="M747" s="5"/>
      <c r="R747" s="5"/>
      <c r="W747" s="5"/>
      <c r="AB747" s="5"/>
      <c r="AG747" s="5"/>
    </row>
    <row r="748" customFormat="false" ht="12.75" hidden="false" customHeight="true" outlineLevel="0" collapsed="false">
      <c r="M748" s="5"/>
      <c r="R748" s="5"/>
      <c r="W748" s="5"/>
      <c r="AB748" s="5"/>
      <c r="AG748" s="5"/>
    </row>
    <row r="749" customFormat="false" ht="12.75" hidden="false" customHeight="true" outlineLevel="0" collapsed="false">
      <c r="M749" s="5"/>
      <c r="R749" s="5"/>
      <c r="W749" s="5"/>
      <c r="AB749" s="5"/>
      <c r="AG749" s="5"/>
    </row>
    <row r="750" customFormat="false" ht="12.75" hidden="false" customHeight="true" outlineLevel="0" collapsed="false">
      <c r="M750" s="5"/>
      <c r="R750" s="5"/>
      <c r="W750" s="5"/>
      <c r="AB750" s="5"/>
      <c r="AG750" s="5"/>
    </row>
    <row r="751" customFormat="false" ht="12.75" hidden="false" customHeight="true" outlineLevel="0" collapsed="false">
      <c r="M751" s="5"/>
      <c r="R751" s="5"/>
      <c r="W751" s="5"/>
      <c r="AB751" s="5"/>
      <c r="AG751" s="5"/>
    </row>
    <row r="752" customFormat="false" ht="12.75" hidden="false" customHeight="true" outlineLevel="0" collapsed="false">
      <c r="M752" s="5"/>
      <c r="R752" s="5"/>
      <c r="W752" s="5"/>
      <c r="AB752" s="5"/>
      <c r="AG752" s="5"/>
    </row>
    <row r="753" customFormat="false" ht="12.75" hidden="false" customHeight="true" outlineLevel="0" collapsed="false">
      <c r="M753" s="5"/>
      <c r="R753" s="5"/>
      <c r="W753" s="5"/>
      <c r="AB753" s="5"/>
      <c r="AG753" s="5"/>
    </row>
    <row r="754" customFormat="false" ht="12.75" hidden="false" customHeight="true" outlineLevel="0" collapsed="false">
      <c r="M754" s="5"/>
      <c r="R754" s="5"/>
      <c r="W754" s="5"/>
      <c r="AB754" s="5"/>
      <c r="AG754" s="5"/>
    </row>
    <row r="755" customFormat="false" ht="12.75" hidden="false" customHeight="true" outlineLevel="0" collapsed="false">
      <c r="M755" s="5"/>
      <c r="R755" s="5"/>
      <c r="W755" s="5"/>
      <c r="AB755" s="5"/>
      <c r="AG755" s="5"/>
    </row>
    <row r="756" customFormat="false" ht="12.75" hidden="false" customHeight="true" outlineLevel="0" collapsed="false">
      <c r="M756" s="5"/>
      <c r="R756" s="5"/>
      <c r="W756" s="5"/>
      <c r="AB756" s="5"/>
      <c r="AG756" s="5"/>
    </row>
    <row r="757" customFormat="false" ht="12.75" hidden="false" customHeight="true" outlineLevel="0" collapsed="false">
      <c r="M757" s="5"/>
      <c r="R757" s="5"/>
      <c r="W757" s="5"/>
      <c r="AB757" s="5"/>
      <c r="AG757" s="5"/>
    </row>
    <row r="758" customFormat="false" ht="12.75" hidden="false" customHeight="true" outlineLevel="0" collapsed="false">
      <c r="M758" s="5"/>
      <c r="R758" s="5"/>
      <c r="W758" s="5"/>
      <c r="AB758" s="5"/>
      <c r="AG758" s="5"/>
    </row>
    <row r="759" customFormat="false" ht="12.75" hidden="false" customHeight="true" outlineLevel="0" collapsed="false">
      <c r="M759" s="5"/>
      <c r="R759" s="5"/>
      <c r="W759" s="5"/>
      <c r="AB759" s="5"/>
      <c r="AG759" s="5"/>
    </row>
    <row r="760" customFormat="false" ht="12.75" hidden="false" customHeight="true" outlineLevel="0" collapsed="false">
      <c r="M760" s="5"/>
      <c r="R760" s="5"/>
      <c r="W760" s="5"/>
      <c r="AB760" s="5"/>
      <c r="AG760" s="5"/>
    </row>
    <row r="761" customFormat="false" ht="12.75" hidden="false" customHeight="true" outlineLevel="0" collapsed="false">
      <c r="M761" s="5"/>
      <c r="R761" s="5"/>
      <c r="W761" s="5"/>
      <c r="AB761" s="5"/>
      <c r="AG761" s="5"/>
    </row>
    <row r="762" customFormat="false" ht="12.75" hidden="false" customHeight="true" outlineLevel="0" collapsed="false">
      <c r="M762" s="5"/>
      <c r="R762" s="5"/>
      <c r="W762" s="5"/>
      <c r="AB762" s="5"/>
      <c r="AG762" s="5"/>
    </row>
    <row r="763" customFormat="false" ht="12.75" hidden="false" customHeight="true" outlineLevel="0" collapsed="false">
      <c r="M763" s="5"/>
      <c r="R763" s="5"/>
      <c r="W763" s="5"/>
      <c r="AB763" s="5"/>
      <c r="AG763" s="5"/>
    </row>
    <row r="764" customFormat="false" ht="12.75" hidden="false" customHeight="true" outlineLevel="0" collapsed="false">
      <c r="M764" s="5"/>
      <c r="R764" s="5"/>
      <c r="W764" s="5"/>
      <c r="AB764" s="5"/>
      <c r="AG764" s="5"/>
    </row>
    <row r="765" customFormat="false" ht="12.75" hidden="false" customHeight="true" outlineLevel="0" collapsed="false">
      <c r="M765" s="5"/>
      <c r="R765" s="5"/>
      <c r="W765" s="5"/>
      <c r="AB765" s="5"/>
      <c r="AG765" s="5"/>
    </row>
    <row r="766" customFormat="false" ht="12.75" hidden="false" customHeight="true" outlineLevel="0" collapsed="false">
      <c r="M766" s="5"/>
      <c r="R766" s="5"/>
      <c r="W766" s="5"/>
      <c r="AB766" s="5"/>
      <c r="AG766" s="5"/>
    </row>
    <row r="767" customFormat="false" ht="12.75" hidden="false" customHeight="true" outlineLevel="0" collapsed="false">
      <c r="M767" s="5"/>
      <c r="R767" s="5"/>
      <c r="W767" s="5"/>
      <c r="AB767" s="5"/>
      <c r="AG767" s="5"/>
    </row>
    <row r="768" customFormat="false" ht="12.75" hidden="false" customHeight="true" outlineLevel="0" collapsed="false">
      <c r="M768" s="5"/>
      <c r="R768" s="5"/>
      <c r="W768" s="5"/>
      <c r="AB768" s="5"/>
      <c r="AG768" s="5"/>
    </row>
    <row r="769" customFormat="false" ht="12.75" hidden="false" customHeight="true" outlineLevel="0" collapsed="false">
      <c r="M769" s="5"/>
      <c r="R769" s="5"/>
      <c r="W769" s="5"/>
      <c r="AB769" s="5"/>
      <c r="AG769" s="5"/>
    </row>
    <row r="770" customFormat="false" ht="12.75" hidden="false" customHeight="true" outlineLevel="0" collapsed="false">
      <c r="M770" s="5"/>
      <c r="R770" s="5"/>
      <c r="W770" s="5"/>
      <c r="AB770" s="5"/>
      <c r="AG770" s="5"/>
    </row>
    <row r="771" customFormat="false" ht="12.75" hidden="false" customHeight="true" outlineLevel="0" collapsed="false">
      <c r="M771" s="5"/>
      <c r="R771" s="5"/>
      <c r="W771" s="5"/>
      <c r="AB771" s="5"/>
      <c r="AG771" s="5"/>
    </row>
    <row r="772" customFormat="false" ht="12.75" hidden="false" customHeight="true" outlineLevel="0" collapsed="false">
      <c r="M772" s="5"/>
      <c r="R772" s="5"/>
      <c r="W772" s="5"/>
      <c r="AB772" s="5"/>
      <c r="AG772" s="5"/>
    </row>
    <row r="773" customFormat="false" ht="12.75" hidden="false" customHeight="true" outlineLevel="0" collapsed="false">
      <c r="M773" s="5"/>
      <c r="R773" s="5"/>
      <c r="W773" s="5"/>
      <c r="AB773" s="5"/>
      <c r="AG773" s="5"/>
    </row>
    <row r="774" customFormat="false" ht="12.75" hidden="false" customHeight="true" outlineLevel="0" collapsed="false">
      <c r="M774" s="5"/>
      <c r="R774" s="5"/>
      <c r="W774" s="5"/>
      <c r="AB774" s="5"/>
      <c r="AG774" s="5"/>
    </row>
    <row r="775" customFormat="false" ht="12.75" hidden="false" customHeight="true" outlineLevel="0" collapsed="false">
      <c r="M775" s="5"/>
      <c r="R775" s="5"/>
      <c r="W775" s="5"/>
      <c r="AB775" s="5"/>
      <c r="AG775" s="5"/>
    </row>
    <row r="776" customFormat="false" ht="12.75" hidden="false" customHeight="true" outlineLevel="0" collapsed="false">
      <c r="M776" s="5"/>
      <c r="R776" s="5"/>
      <c r="W776" s="5"/>
      <c r="AB776" s="5"/>
      <c r="AG776" s="5"/>
    </row>
    <row r="777" customFormat="false" ht="12.75" hidden="false" customHeight="true" outlineLevel="0" collapsed="false">
      <c r="M777" s="5"/>
      <c r="R777" s="5"/>
      <c r="W777" s="5"/>
      <c r="AB777" s="5"/>
      <c r="AG777" s="5"/>
    </row>
    <row r="778" customFormat="false" ht="12.75" hidden="false" customHeight="true" outlineLevel="0" collapsed="false">
      <c r="M778" s="5"/>
      <c r="R778" s="5"/>
      <c r="W778" s="5"/>
      <c r="AB778" s="5"/>
      <c r="AG778" s="5"/>
    </row>
    <row r="779" customFormat="false" ht="12.75" hidden="false" customHeight="true" outlineLevel="0" collapsed="false">
      <c r="M779" s="5"/>
      <c r="R779" s="5"/>
      <c r="W779" s="5"/>
      <c r="AB779" s="5"/>
      <c r="AG779" s="5"/>
    </row>
    <row r="780" customFormat="false" ht="12.75" hidden="false" customHeight="true" outlineLevel="0" collapsed="false">
      <c r="M780" s="5"/>
      <c r="R780" s="5"/>
      <c r="W780" s="5"/>
      <c r="AB780" s="5"/>
      <c r="AG780" s="5"/>
    </row>
    <row r="781" customFormat="false" ht="12.75" hidden="false" customHeight="true" outlineLevel="0" collapsed="false">
      <c r="M781" s="5"/>
      <c r="R781" s="5"/>
      <c r="W781" s="5"/>
      <c r="AB781" s="5"/>
      <c r="AG781" s="5"/>
    </row>
    <row r="782" customFormat="false" ht="12.75" hidden="false" customHeight="true" outlineLevel="0" collapsed="false">
      <c r="M782" s="5"/>
      <c r="R782" s="5"/>
      <c r="W782" s="5"/>
      <c r="AB782" s="5"/>
      <c r="AG782" s="5"/>
    </row>
    <row r="783" customFormat="false" ht="12.75" hidden="false" customHeight="true" outlineLevel="0" collapsed="false">
      <c r="M783" s="5"/>
      <c r="R783" s="5"/>
      <c r="W783" s="5"/>
      <c r="AB783" s="5"/>
      <c r="AG783" s="5"/>
    </row>
    <row r="784" customFormat="false" ht="12.75" hidden="false" customHeight="true" outlineLevel="0" collapsed="false">
      <c r="M784" s="5"/>
      <c r="R784" s="5"/>
      <c r="W784" s="5"/>
      <c r="AB784" s="5"/>
      <c r="AG784" s="5"/>
    </row>
    <row r="785" customFormat="false" ht="12.75" hidden="false" customHeight="true" outlineLevel="0" collapsed="false">
      <c r="M785" s="5"/>
      <c r="R785" s="5"/>
      <c r="W785" s="5"/>
      <c r="AB785" s="5"/>
      <c r="AG785" s="5"/>
    </row>
    <row r="786" customFormat="false" ht="12.75" hidden="false" customHeight="true" outlineLevel="0" collapsed="false">
      <c r="M786" s="5"/>
      <c r="R786" s="5"/>
      <c r="W786" s="5"/>
      <c r="AB786" s="5"/>
      <c r="AG786" s="5"/>
    </row>
    <row r="787" customFormat="false" ht="12.75" hidden="false" customHeight="true" outlineLevel="0" collapsed="false">
      <c r="M787" s="5"/>
      <c r="R787" s="5"/>
      <c r="W787" s="5"/>
      <c r="AB787" s="5"/>
      <c r="AG787" s="5"/>
    </row>
    <row r="788" customFormat="false" ht="12.75" hidden="false" customHeight="true" outlineLevel="0" collapsed="false">
      <c r="M788" s="5"/>
      <c r="R788" s="5"/>
      <c r="W788" s="5"/>
      <c r="AB788" s="5"/>
      <c r="AG788" s="5"/>
    </row>
    <row r="789" customFormat="false" ht="12.75" hidden="false" customHeight="true" outlineLevel="0" collapsed="false">
      <c r="M789" s="5"/>
      <c r="R789" s="5"/>
      <c r="W789" s="5"/>
      <c r="AB789" s="5"/>
      <c r="AG789" s="5"/>
    </row>
    <row r="790" customFormat="false" ht="12.75" hidden="false" customHeight="true" outlineLevel="0" collapsed="false">
      <c r="M790" s="5"/>
      <c r="R790" s="5"/>
      <c r="W790" s="5"/>
      <c r="AB790" s="5"/>
      <c r="AG790" s="5"/>
    </row>
    <row r="791" customFormat="false" ht="12.75" hidden="false" customHeight="true" outlineLevel="0" collapsed="false">
      <c r="M791" s="5"/>
      <c r="R791" s="5"/>
      <c r="W791" s="5"/>
      <c r="AB791" s="5"/>
      <c r="AG791" s="5"/>
    </row>
    <row r="792" customFormat="false" ht="12.75" hidden="false" customHeight="true" outlineLevel="0" collapsed="false">
      <c r="M792" s="5"/>
      <c r="R792" s="5"/>
      <c r="W792" s="5"/>
      <c r="AB792" s="5"/>
      <c r="AG792" s="5"/>
    </row>
    <row r="793" customFormat="false" ht="12.75" hidden="false" customHeight="true" outlineLevel="0" collapsed="false">
      <c r="M793" s="5"/>
      <c r="R793" s="5"/>
      <c r="W793" s="5"/>
      <c r="AB793" s="5"/>
      <c r="AG793" s="5"/>
    </row>
    <row r="794" customFormat="false" ht="12.75" hidden="false" customHeight="true" outlineLevel="0" collapsed="false">
      <c r="M794" s="5"/>
      <c r="R794" s="5"/>
      <c r="W794" s="5"/>
      <c r="AB794" s="5"/>
      <c r="AG794" s="5"/>
    </row>
    <row r="795" customFormat="false" ht="12.75" hidden="false" customHeight="true" outlineLevel="0" collapsed="false">
      <c r="M795" s="5"/>
      <c r="R795" s="5"/>
      <c r="W795" s="5"/>
      <c r="AB795" s="5"/>
      <c r="AG795" s="5"/>
    </row>
    <row r="796" customFormat="false" ht="12.75" hidden="false" customHeight="true" outlineLevel="0" collapsed="false">
      <c r="M796" s="5"/>
      <c r="R796" s="5"/>
      <c r="W796" s="5"/>
      <c r="AB796" s="5"/>
      <c r="AG796" s="5"/>
    </row>
    <row r="797" customFormat="false" ht="12.75" hidden="false" customHeight="true" outlineLevel="0" collapsed="false">
      <c r="M797" s="5"/>
      <c r="R797" s="5"/>
      <c r="W797" s="5"/>
      <c r="AB797" s="5"/>
      <c r="AG797" s="5"/>
    </row>
    <row r="798" customFormat="false" ht="12.75" hidden="false" customHeight="true" outlineLevel="0" collapsed="false">
      <c r="M798" s="5"/>
      <c r="R798" s="5"/>
      <c r="W798" s="5"/>
      <c r="AB798" s="5"/>
      <c r="AG798" s="5"/>
    </row>
    <row r="799" customFormat="false" ht="12.75" hidden="false" customHeight="true" outlineLevel="0" collapsed="false">
      <c r="M799" s="5"/>
      <c r="R799" s="5"/>
      <c r="W799" s="5"/>
      <c r="AB799" s="5"/>
      <c r="AG799" s="5"/>
    </row>
    <row r="800" customFormat="false" ht="12.75" hidden="false" customHeight="true" outlineLevel="0" collapsed="false">
      <c r="M800" s="5"/>
      <c r="R800" s="5"/>
      <c r="W800" s="5"/>
      <c r="AB800" s="5"/>
      <c r="AG800" s="5"/>
    </row>
    <row r="801" customFormat="false" ht="12.75" hidden="false" customHeight="true" outlineLevel="0" collapsed="false">
      <c r="M801" s="5"/>
      <c r="R801" s="5"/>
      <c r="W801" s="5"/>
      <c r="AB801" s="5"/>
      <c r="AG801" s="5"/>
    </row>
    <row r="802" customFormat="false" ht="12.75" hidden="false" customHeight="true" outlineLevel="0" collapsed="false">
      <c r="M802" s="5"/>
      <c r="R802" s="5"/>
      <c r="W802" s="5"/>
      <c r="AB802" s="5"/>
      <c r="AG802" s="5"/>
    </row>
    <row r="803" customFormat="false" ht="12.75" hidden="false" customHeight="true" outlineLevel="0" collapsed="false">
      <c r="M803" s="5"/>
      <c r="R803" s="5"/>
      <c r="W803" s="5"/>
      <c r="AB803" s="5"/>
      <c r="AG803" s="5"/>
    </row>
    <row r="804" customFormat="false" ht="12.75" hidden="false" customHeight="true" outlineLevel="0" collapsed="false">
      <c r="M804" s="5"/>
      <c r="R804" s="5"/>
      <c r="W804" s="5"/>
      <c r="AB804" s="5"/>
      <c r="AG804" s="5"/>
    </row>
    <row r="805" customFormat="false" ht="12.75" hidden="false" customHeight="true" outlineLevel="0" collapsed="false">
      <c r="M805" s="5"/>
      <c r="R805" s="5"/>
      <c r="W805" s="5"/>
      <c r="AB805" s="5"/>
      <c r="AG805" s="5"/>
    </row>
    <row r="806" customFormat="false" ht="12.75" hidden="false" customHeight="true" outlineLevel="0" collapsed="false">
      <c r="M806" s="5"/>
      <c r="R806" s="5"/>
      <c r="W806" s="5"/>
      <c r="AB806" s="5"/>
      <c r="AG806" s="5"/>
    </row>
    <row r="807" customFormat="false" ht="12.75" hidden="false" customHeight="true" outlineLevel="0" collapsed="false">
      <c r="M807" s="5"/>
      <c r="R807" s="5"/>
      <c r="W807" s="5"/>
      <c r="AB807" s="5"/>
      <c r="AG807" s="5"/>
    </row>
    <row r="808" customFormat="false" ht="12.75" hidden="false" customHeight="true" outlineLevel="0" collapsed="false">
      <c r="M808" s="5"/>
      <c r="R808" s="5"/>
      <c r="W808" s="5"/>
      <c r="AB808" s="5"/>
      <c r="AG808" s="5"/>
    </row>
    <row r="809" customFormat="false" ht="12.75" hidden="false" customHeight="true" outlineLevel="0" collapsed="false">
      <c r="M809" s="5"/>
      <c r="R809" s="5"/>
      <c r="W809" s="5"/>
      <c r="AB809" s="5"/>
      <c r="AG809" s="5"/>
    </row>
    <row r="810" customFormat="false" ht="12.75" hidden="false" customHeight="true" outlineLevel="0" collapsed="false">
      <c r="M810" s="5"/>
      <c r="R810" s="5"/>
      <c r="W810" s="5"/>
      <c r="AB810" s="5"/>
      <c r="AG810" s="5"/>
    </row>
    <row r="811" customFormat="false" ht="12.75" hidden="false" customHeight="true" outlineLevel="0" collapsed="false">
      <c r="M811" s="5"/>
      <c r="R811" s="5"/>
      <c r="W811" s="5"/>
      <c r="AB811" s="5"/>
      <c r="AG811" s="5"/>
    </row>
    <row r="812" customFormat="false" ht="12.75" hidden="false" customHeight="true" outlineLevel="0" collapsed="false">
      <c r="M812" s="5"/>
      <c r="R812" s="5"/>
      <c r="W812" s="5"/>
      <c r="AB812" s="5"/>
      <c r="AG812" s="5"/>
    </row>
    <row r="813" customFormat="false" ht="12.75" hidden="false" customHeight="true" outlineLevel="0" collapsed="false">
      <c r="M813" s="5"/>
      <c r="R813" s="5"/>
      <c r="W813" s="5"/>
      <c r="AB813" s="5"/>
      <c r="AG813" s="5"/>
    </row>
    <row r="814" customFormat="false" ht="12.75" hidden="false" customHeight="true" outlineLevel="0" collapsed="false">
      <c r="M814" s="5"/>
      <c r="R814" s="5"/>
      <c r="W814" s="5"/>
      <c r="AB814" s="5"/>
      <c r="AG814" s="5"/>
    </row>
    <row r="815" customFormat="false" ht="12.75" hidden="false" customHeight="true" outlineLevel="0" collapsed="false">
      <c r="M815" s="5"/>
      <c r="R815" s="5"/>
      <c r="W815" s="5"/>
      <c r="AB815" s="5"/>
      <c r="AG815" s="5"/>
    </row>
    <row r="816" customFormat="false" ht="12.75" hidden="false" customHeight="true" outlineLevel="0" collapsed="false">
      <c r="M816" s="5"/>
      <c r="R816" s="5"/>
      <c r="W816" s="5"/>
      <c r="AB816" s="5"/>
      <c r="AG816" s="5"/>
    </row>
    <row r="817" customFormat="false" ht="12.75" hidden="false" customHeight="true" outlineLevel="0" collapsed="false">
      <c r="M817" s="5"/>
      <c r="R817" s="5"/>
      <c r="W817" s="5"/>
      <c r="AB817" s="5"/>
      <c r="AG817" s="5"/>
    </row>
    <row r="818" customFormat="false" ht="12.75" hidden="false" customHeight="true" outlineLevel="0" collapsed="false">
      <c r="M818" s="5"/>
      <c r="R818" s="5"/>
      <c r="W818" s="5"/>
      <c r="AB818" s="5"/>
      <c r="AG818" s="5"/>
    </row>
    <row r="819" customFormat="false" ht="12.75" hidden="false" customHeight="true" outlineLevel="0" collapsed="false">
      <c r="M819" s="5"/>
      <c r="R819" s="5"/>
      <c r="W819" s="5"/>
      <c r="AB819" s="5"/>
      <c r="AG819" s="5"/>
    </row>
    <row r="820" customFormat="false" ht="12.75" hidden="false" customHeight="true" outlineLevel="0" collapsed="false">
      <c r="M820" s="5"/>
      <c r="R820" s="5"/>
      <c r="W820" s="5"/>
      <c r="AB820" s="5"/>
      <c r="AG820" s="5"/>
    </row>
    <row r="821" customFormat="false" ht="12.75" hidden="false" customHeight="true" outlineLevel="0" collapsed="false">
      <c r="M821" s="5"/>
      <c r="R821" s="5"/>
      <c r="W821" s="5"/>
      <c r="AB821" s="5"/>
      <c r="AG821" s="5"/>
    </row>
    <row r="822" customFormat="false" ht="12.75" hidden="false" customHeight="true" outlineLevel="0" collapsed="false">
      <c r="M822" s="5"/>
      <c r="R822" s="5"/>
      <c r="W822" s="5"/>
      <c r="AB822" s="5"/>
      <c r="AG822" s="5"/>
    </row>
    <row r="823" customFormat="false" ht="12.75" hidden="false" customHeight="true" outlineLevel="0" collapsed="false">
      <c r="M823" s="5"/>
      <c r="R823" s="5"/>
      <c r="W823" s="5"/>
      <c r="AB823" s="5"/>
      <c r="AG823" s="5"/>
    </row>
    <row r="824" customFormat="false" ht="12.75" hidden="false" customHeight="true" outlineLevel="0" collapsed="false">
      <c r="M824" s="5"/>
      <c r="R824" s="5"/>
      <c r="W824" s="5"/>
      <c r="AB824" s="5"/>
      <c r="AG824" s="5"/>
    </row>
    <row r="825" customFormat="false" ht="12.75" hidden="false" customHeight="true" outlineLevel="0" collapsed="false">
      <c r="M825" s="5"/>
      <c r="R825" s="5"/>
      <c r="W825" s="5"/>
      <c r="AB825" s="5"/>
      <c r="AG825" s="5"/>
    </row>
    <row r="826" customFormat="false" ht="12.75" hidden="false" customHeight="true" outlineLevel="0" collapsed="false">
      <c r="M826" s="5"/>
      <c r="R826" s="5"/>
      <c r="W826" s="5"/>
      <c r="AB826" s="5"/>
      <c r="AG826" s="5"/>
    </row>
    <row r="827" customFormat="false" ht="12.75" hidden="false" customHeight="true" outlineLevel="0" collapsed="false">
      <c r="M827" s="5"/>
      <c r="R827" s="5"/>
      <c r="W827" s="5"/>
      <c r="AB827" s="5"/>
      <c r="AG827" s="5"/>
    </row>
    <row r="828" customFormat="false" ht="12.75" hidden="false" customHeight="true" outlineLevel="0" collapsed="false">
      <c r="M828" s="5"/>
      <c r="R828" s="5"/>
      <c r="W828" s="5"/>
      <c r="AB828" s="5"/>
      <c r="AG828" s="5"/>
    </row>
    <row r="829" customFormat="false" ht="12.75" hidden="false" customHeight="true" outlineLevel="0" collapsed="false">
      <c r="M829" s="5"/>
      <c r="R829" s="5"/>
      <c r="W829" s="5"/>
      <c r="AB829" s="5"/>
      <c r="AG829" s="5"/>
    </row>
    <row r="830" customFormat="false" ht="12.75" hidden="false" customHeight="true" outlineLevel="0" collapsed="false">
      <c r="M830" s="5"/>
      <c r="R830" s="5"/>
      <c r="W830" s="5"/>
      <c r="AB830" s="5"/>
      <c r="AG830" s="5"/>
    </row>
    <row r="831" customFormat="false" ht="12.75" hidden="false" customHeight="true" outlineLevel="0" collapsed="false">
      <c r="M831" s="5"/>
      <c r="R831" s="5"/>
      <c r="W831" s="5"/>
      <c r="AB831" s="5"/>
      <c r="AG831" s="5"/>
    </row>
    <row r="832" customFormat="false" ht="12.75" hidden="false" customHeight="true" outlineLevel="0" collapsed="false">
      <c r="M832" s="5"/>
      <c r="R832" s="5"/>
      <c r="W832" s="5"/>
      <c r="AB832" s="5"/>
      <c r="AG832" s="5"/>
    </row>
    <row r="833" customFormat="false" ht="12.75" hidden="false" customHeight="true" outlineLevel="0" collapsed="false">
      <c r="M833" s="5"/>
      <c r="R833" s="5"/>
      <c r="W833" s="5"/>
      <c r="AB833" s="5"/>
      <c r="AG833" s="5"/>
    </row>
    <row r="834" customFormat="false" ht="12.75" hidden="false" customHeight="true" outlineLevel="0" collapsed="false">
      <c r="M834" s="5"/>
      <c r="R834" s="5"/>
      <c r="W834" s="5"/>
      <c r="AB834" s="5"/>
      <c r="AG834" s="5"/>
    </row>
    <row r="835" customFormat="false" ht="12.75" hidden="false" customHeight="true" outlineLevel="0" collapsed="false">
      <c r="M835" s="5"/>
      <c r="R835" s="5"/>
      <c r="W835" s="5"/>
      <c r="AB835" s="5"/>
      <c r="AG835" s="5"/>
    </row>
    <row r="836" customFormat="false" ht="12.75" hidden="false" customHeight="true" outlineLevel="0" collapsed="false">
      <c r="M836" s="5"/>
      <c r="R836" s="5"/>
      <c r="W836" s="5"/>
      <c r="AB836" s="5"/>
      <c r="AG836" s="5"/>
    </row>
    <row r="837" customFormat="false" ht="12.75" hidden="false" customHeight="true" outlineLevel="0" collapsed="false">
      <c r="M837" s="5"/>
      <c r="R837" s="5"/>
      <c r="W837" s="5"/>
      <c r="AB837" s="5"/>
      <c r="AG837" s="5"/>
    </row>
    <row r="838" customFormat="false" ht="12.75" hidden="false" customHeight="true" outlineLevel="0" collapsed="false">
      <c r="M838" s="5"/>
      <c r="R838" s="5"/>
      <c r="W838" s="5"/>
      <c r="AB838" s="5"/>
      <c r="AG838" s="5"/>
    </row>
    <row r="839" customFormat="false" ht="12.75" hidden="false" customHeight="true" outlineLevel="0" collapsed="false">
      <c r="M839" s="5"/>
      <c r="R839" s="5"/>
      <c r="W839" s="5"/>
      <c r="AB839" s="5"/>
      <c r="AG839" s="5"/>
    </row>
    <row r="840" customFormat="false" ht="12.75" hidden="false" customHeight="true" outlineLevel="0" collapsed="false">
      <c r="M840" s="5"/>
      <c r="R840" s="5"/>
      <c r="W840" s="5"/>
      <c r="AB840" s="5"/>
      <c r="AG840" s="5"/>
    </row>
    <row r="841" customFormat="false" ht="12.75" hidden="false" customHeight="true" outlineLevel="0" collapsed="false">
      <c r="M841" s="5"/>
      <c r="R841" s="5"/>
      <c r="W841" s="5"/>
      <c r="AB841" s="5"/>
      <c r="AG841" s="5"/>
    </row>
    <row r="842" customFormat="false" ht="12.75" hidden="false" customHeight="true" outlineLevel="0" collapsed="false">
      <c r="M842" s="5"/>
      <c r="R842" s="5"/>
      <c r="W842" s="5"/>
      <c r="AB842" s="5"/>
      <c r="AG842" s="5"/>
    </row>
    <row r="843" customFormat="false" ht="12.75" hidden="false" customHeight="true" outlineLevel="0" collapsed="false">
      <c r="M843" s="5"/>
      <c r="R843" s="5"/>
      <c r="W843" s="5"/>
      <c r="AB843" s="5"/>
      <c r="AG843" s="5"/>
    </row>
    <row r="844" customFormat="false" ht="12.75" hidden="false" customHeight="true" outlineLevel="0" collapsed="false">
      <c r="M844" s="5"/>
      <c r="R844" s="5"/>
      <c r="W844" s="5"/>
      <c r="AB844" s="5"/>
      <c r="AG844" s="5"/>
    </row>
    <row r="845" customFormat="false" ht="12.75" hidden="false" customHeight="true" outlineLevel="0" collapsed="false">
      <c r="M845" s="5"/>
      <c r="R845" s="5"/>
      <c r="W845" s="5"/>
      <c r="AB845" s="5"/>
      <c r="AG845" s="5"/>
    </row>
    <row r="846" customFormat="false" ht="12.75" hidden="false" customHeight="true" outlineLevel="0" collapsed="false">
      <c r="M846" s="5"/>
      <c r="R846" s="5"/>
      <c r="W846" s="5"/>
      <c r="AB846" s="5"/>
      <c r="AG846" s="5"/>
    </row>
    <row r="847" customFormat="false" ht="12.75" hidden="false" customHeight="true" outlineLevel="0" collapsed="false">
      <c r="M847" s="5"/>
      <c r="R847" s="5"/>
      <c r="W847" s="5"/>
      <c r="AB847" s="5"/>
      <c r="AG847" s="5"/>
    </row>
    <row r="848" customFormat="false" ht="12.75" hidden="false" customHeight="true" outlineLevel="0" collapsed="false">
      <c r="M848" s="5"/>
      <c r="R848" s="5"/>
      <c r="W848" s="5"/>
      <c r="AB848" s="5"/>
      <c r="AG848" s="5"/>
    </row>
    <row r="849" customFormat="false" ht="12.75" hidden="false" customHeight="true" outlineLevel="0" collapsed="false">
      <c r="M849" s="5"/>
      <c r="R849" s="5"/>
      <c r="W849" s="5"/>
      <c r="AB849" s="5"/>
      <c r="AG849" s="5"/>
    </row>
    <row r="850" customFormat="false" ht="12.75" hidden="false" customHeight="true" outlineLevel="0" collapsed="false">
      <c r="M850" s="5"/>
      <c r="R850" s="5"/>
      <c r="W850" s="5"/>
      <c r="AB850" s="5"/>
      <c r="AG850" s="5"/>
    </row>
    <row r="851" customFormat="false" ht="12.75" hidden="false" customHeight="true" outlineLevel="0" collapsed="false">
      <c r="M851" s="5"/>
      <c r="R851" s="5"/>
      <c r="W851" s="5"/>
      <c r="AB851" s="5"/>
      <c r="AG851" s="5"/>
    </row>
    <row r="852" customFormat="false" ht="12.75" hidden="false" customHeight="true" outlineLevel="0" collapsed="false">
      <c r="M852" s="5"/>
      <c r="R852" s="5"/>
      <c r="W852" s="5"/>
      <c r="AB852" s="5"/>
      <c r="AG852" s="5"/>
    </row>
    <row r="853" customFormat="false" ht="12.75" hidden="false" customHeight="true" outlineLevel="0" collapsed="false">
      <c r="M853" s="5"/>
      <c r="R853" s="5"/>
      <c r="W853" s="5"/>
      <c r="AB853" s="5"/>
      <c r="AG853" s="5"/>
    </row>
    <row r="854" customFormat="false" ht="12.75" hidden="false" customHeight="true" outlineLevel="0" collapsed="false">
      <c r="M854" s="5"/>
      <c r="R854" s="5"/>
      <c r="W854" s="5"/>
      <c r="AB854" s="5"/>
      <c r="AG854" s="5"/>
    </row>
    <row r="855" customFormat="false" ht="12.75" hidden="false" customHeight="true" outlineLevel="0" collapsed="false">
      <c r="M855" s="5"/>
      <c r="R855" s="5"/>
      <c r="W855" s="5"/>
      <c r="AB855" s="5"/>
      <c r="AG855" s="5"/>
    </row>
    <row r="856" customFormat="false" ht="12.75" hidden="false" customHeight="true" outlineLevel="0" collapsed="false">
      <c r="M856" s="5"/>
      <c r="R856" s="5"/>
      <c r="W856" s="5"/>
      <c r="AB856" s="5"/>
      <c r="AG856" s="5"/>
    </row>
    <row r="857" customFormat="false" ht="12.75" hidden="false" customHeight="true" outlineLevel="0" collapsed="false">
      <c r="M857" s="5"/>
      <c r="R857" s="5"/>
      <c r="W857" s="5"/>
      <c r="AB857" s="5"/>
      <c r="AG857" s="5"/>
    </row>
    <row r="858" customFormat="false" ht="12.75" hidden="false" customHeight="true" outlineLevel="0" collapsed="false">
      <c r="M858" s="5"/>
      <c r="R858" s="5"/>
      <c r="W858" s="5"/>
      <c r="AB858" s="5"/>
      <c r="AG858" s="5"/>
    </row>
    <row r="859" customFormat="false" ht="12.75" hidden="false" customHeight="true" outlineLevel="0" collapsed="false">
      <c r="M859" s="5"/>
      <c r="R859" s="5"/>
      <c r="W859" s="5"/>
      <c r="AB859" s="5"/>
      <c r="AG859" s="5"/>
    </row>
    <row r="860" customFormat="false" ht="12.75" hidden="false" customHeight="true" outlineLevel="0" collapsed="false">
      <c r="M860" s="5"/>
      <c r="R860" s="5"/>
      <c r="W860" s="5"/>
      <c r="AB860" s="5"/>
      <c r="AG860" s="5"/>
    </row>
    <row r="861" customFormat="false" ht="12.75" hidden="false" customHeight="true" outlineLevel="0" collapsed="false">
      <c r="M861" s="5"/>
      <c r="R861" s="5"/>
      <c r="W861" s="5"/>
      <c r="AB861" s="5"/>
      <c r="AG861" s="5"/>
    </row>
    <row r="862" customFormat="false" ht="12.75" hidden="false" customHeight="true" outlineLevel="0" collapsed="false">
      <c r="M862" s="5"/>
      <c r="R862" s="5"/>
      <c r="W862" s="5"/>
      <c r="AB862" s="5"/>
      <c r="AG862" s="5"/>
    </row>
    <row r="863" customFormat="false" ht="12.75" hidden="false" customHeight="true" outlineLevel="0" collapsed="false">
      <c r="M863" s="5"/>
      <c r="R863" s="5"/>
      <c r="W863" s="5"/>
      <c r="AB863" s="5"/>
      <c r="AG863" s="5"/>
    </row>
    <row r="864" customFormat="false" ht="12.75" hidden="false" customHeight="true" outlineLevel="0" collapsed="false">
      <c r="M864" s="5"/>
      <c r="R864" s="5"/>
      <c r="W864" s="5"/>
      <c r="AB864" s="5"/>
      <c r="AG864" s="5"/>
    </row>
    <row r="865" customFormat="false" ht="12.75" hidden="false" customHeight="true" outlineLevel="0" collapsed="false">
      <c r="M865" s="5"/>
      <c r="R865" s="5"/>
      <c r="W865" s="5"/>
      <c r="AB865" s="5"/>
      <c r="AG865" s="5"/>
    </row>
    <row r="866" customFormat="false" ht="12.75" hidden="false" customHeight="true" outlineLevel="0" collapsed="false">
      <c r="M866" s="5"/>
      <c r="R866" s="5"/>
      <c r="W866" s="5"/>
      <c r="AB866" s="5"/>
      <c r="AG866" s="5"/>
    </row>
    <row r="867" customFormat="false" ht="12.75" hidden="false" customHeight="true" outlineLevel="0" collapsed="false">
      <c r="M867" s="5"/>
      <c r="R867" s="5"/>
      <c r="W867" s="5"/>
      <c r="AB867" s="5"/>
      <c r="AG867" s="5"/>
    </row>
    <row r="868" customFormat="false" ht="12.75" hidden="false" customHeight="true" outlineLevel="0" collapsed="false">
      <c r="M868" s="5"/>
      <c r="R868" s="5"/>
      <c r="W868" s="5"/>
      <c r="AB868" s="5"/>
      <c r="AG868" s="5"/>
    </row>
    <row r="869" customFormat="false" ht="12.75" hidden="false" customHeight="true" outlineLevel="0" collapsed="false">
      <c r="M869" s="5"/>
      <c r="R869" s="5"/>
      <c r="W869" s="5"/>
      <c r="AB869" s="5"/>
      <c r="AG869" s="5"/>
    </row>
    <row r="870" customFormat="false" ht="12.75" hidden="false" customHeight="true" outlineLevel="0" collapsed="false">
      <c r="M870" s="5"/>
      <c r="R870" s="5"/>
      <c r="W870" s="5"/>
      <c r="AB870" s="5"/>
      <c r="AG870" s="5"/>
    </row>
    <row r="871" customFormat="false" ht="12.75" hidden="false" customHeight="true" outlineLevel="0" collapsed="false">
      <c r="M871" s="5"/>
      <c r="R871" s="5"/>
      <c r="W871" s="5"/>
      <c r="AB871" s="5"/>
      <c r="AG871" s="5"/>
    </row>
    <row r="872" customFormat="false" ht="12.75" hidden="false" customHeight="true" outlineLevel="0" collapsed="false">
      <c r="M872" s="5"/>
      <c r="R872" s="5"/>
      <c r="W872" s="5"/>
      <c r="AB872" s="5"/>
      <c r="AG872" s="5"/>
    </row>
    <row r="873" customFormat="false" ht="12.75" hidden="false" customHeight="true" outlineLevel="0" collapsed="false">
      <c r="M873" s="5"/>
      <c r="R873" s="5"/>
      <c r="W873" s="5"/>
      <c r="AB873" s="5"/>
      <c r="AG873" s="5"/>
    </row>
    <row r="874" customFormat="false" ht="12.75" hidden="false" customHeight="true" outlineLevel="0" collapsed="false">
      <c r="M874" s="5"/>
      <c r="R874" s="5"/>
      <c r="W874" s="5"/>
      <c r="AB874" s="5"/>
      <c r="AG874" s="5"/>
    </row>
    <row r="875" customFormat="false" ht="12.75" hidden="false" customHeight="true" outlineLevel="0" collapsed="false">
      <c r="M875" s="5"/>
      <c r="R875" s="5"/>
      <c r="W875" s="5"/>
      <c r="AB875" s="5"/>
      <c r="AG875" s="5"/>
    </row>
    <row r="876" customFormat="false" ht="12.75" hidden="false" customHeight="true" outlineLevel="0" collapsed="false">
      <c r="M876" s="5"/>
      <c r="R876" s="5"/>
      <c r="W876" s="5"/>
      <c r="AB876" s="5"/>
      <c r="AG876" s="5"/>
    </row>
    <row r="877" customFormat="false" ht="12.75" hidden="false" customHeight="true" outlineLevel="0" collapsed="false">
      <c r="M877" s="5"/>
      <c r="R877" s="5"/>
      <c r="W877" s="5"/>
      <c r="AB877" s="5"/>
      <c r="AG877" s="5"/>
    </row>
    <row r="878" customFormat="false" ht="12.75" hidden="false" customHeight="true" outlineLevel="0" collapsed="false">
      <c r="M878" s="5"/>
      <c r="R878" s="5"/>
      <c r="W878" s="5"/>
      <c r="AB878" s="5"/>
      <c r="AG878" s="5"/>
    </row>
    <row r="879" customFormat="false" ht="12.75" hidden="false" customHeight="true" outlineLevel="0" collapsed="false">
      <c r="M879" s="5"/>
      <c r="R879" s="5"/>
      <c r="W879" s="5"/>
      <c r="AB879" s="5"/>
      <c r="AG879" s="5"/>
    </row>
    <row r="880" customFormat="false" ht="12.75" hidden="false" customHeight="true" outlineLevel="0" collapsed="false">
      <c r="M880" s="5"/>
      <c r="R880" s="5"/>
      <c r="W880" s="5"/>
      <c r="AB880" s="5"/>
      <c r="AG880" s="5"/>
    </row>
    <row r="881" customFormat="false" ht="12.75" hidden="false" customHeight="true" outlineLevel="0" collapsed="false">
      <c r="M881" s="5"/>
      <c r="R881" s="5"/>
      <c r="W881" s="5"/>
      <c r="AB881" s="5"/>
      <c r="AG881" s="5"/>
    </row>
    <row r="882" customFormat="false" ht="12.75" hidden="false" customHeight="true" outlineLevel="0" collapsed="false">
      <c r="M882" s="5"/>
      <c r="R882" s="5"/>
      <c r="W882" s="5"/>
      <c r="AB882" s="5"/>
      <c r="AG882" s="5"/>
    </row>
    <row r="883" customFormat="false" ht="12.75" hidden="false" customHeight="true" outlineLevel="0" collapsed="false">
      <c r="M883" s="5"/>
      <c r="R883" s="5"/>
      <c r="W883" s="5"/>
      <c r="AB883" s="5"/>
      <c r="AG883" s="5"/>
    </row>
    <row r="884" customFormat="false" ht="12.75" hidden="false" customHeight="true" outlineLevel="0" collapsed="false">
      <c r="M884" s="5"/>
      <c r="R884" s="5"/>
      <c r="W884" s="5"/>
      <c r="AB884" s="5"/>
      <c r="AG884" s="5"/>
    </row>
    <row r="885" customFormat="false" ht="12.75" hidden="false" customHeight="true" outlineLevel="0" collapsed="false">
      <c r="M885" s="5"/>
      <c r="R885" s="5"/>
      <c r="W885" s="5"/>
      <c r="AB885" s="5"/>
      <c r="AG885" s="5"/>
    </row>
    <row r="886" customFormat="false" ht="12.75" hidden="false" customHeight="true" outlineLevel="0" collapsed="false">
      <c r="M886" s="5"/>
      <c r="R886" s="5"/>
      <c r="W886" s="5"/>
      <c r="AB886" s="5"/>
      <c r="AG886" s="5"/>
    </row>
    <row r="887" customFormat="false" ht="12.75" hidden="false" customHeight="true" outlineLevel="0" collapsed="false">
      <c r="M887" s="5"/>
      <c r="R887" s="5"/>
      <c r="W887" s="5"/>
      <c r="AB887" s="5"/>
      <c r="AG887" s="5"/>
    </row>
    <row r="888" customFormat="false" ht="12.75" hidden="false" customHeight="true" outlineLevel="0" collapsed="false">
      <c r="M888" s="5"/>
      <c r="R888" s="5"/>
      <c r="W888" s="5"/>
      <c r="AB888" s="5"/>
      <c r="AG888" s="5"/>
    </row>
    <row r="889" customFormat="false" ht="12.75" hidden="false" customHeight="true" outlineLevel="0" collapsed="false">
      <c r="M889" s="5"/>
      <c r="R889" s="5"/>
      <c r="W889" s="5"/>
      <c r="AB889" s="5"/>
      <c r="AG889" s="5"/>
    </row>
    <row r="890" customFormat="false" ht="12.75" hidden="false" customHeight="true" outlineLevel="0" collapsed="false">
      <c r="M890" s="5"/>
      <c r="R890" s="5"/>
      <c r="W890" s="5"/>
      <c r="AB890" s="5"/>
      <c r="AG890" s="5"/>
    </row>
    <row r="891" customFormat="false" ht="12.75" hidden="false" customHeight="true" outlineLevel="0" collapsed="false">
      <c r="M891" s="5"/>
      <c r="R891" s="5"/>
      <c r="W891" s="5"/>
      <c r="AB891" s="5"/>
      <c r="AG891" s="5"/>
    </row>
    <row r="892" customFormat="false" ht="12.75" hidden="false" customHeight="true" outlineLevel="0" collapsed="false">
      <c r="M892" s="5"/>
      <c r="R892" s="5"/>
      <c r="W892" s="5"/>
      <c r="AB892" s="5"/>
      <c r="AG892" s="5"/>
    </row>
    <row r="893" customFormat="false" ht="12.75" hidden="false" customHeight="true" outlineLevel="0" collapsed="false">
      <c r="M893" s="5"/>
      <c r="R893" s="5"/>
      <c r="W893" s="5"/>
      <c r="AB893" s="5"/>
      <c r="AG893" s="5"/>
    </row>
    <row r="894" customFormat="false" ht="12.75" hidden="false" customHeight="true" outlineLevel="0" collapsed="false">
      <c r="M894" s="5"/>
      <c r="R894" s="5"/>
      <c r="W894" s="5"/>
      <c r="AB894" s="5"/>
      <c r="AG894" s="5"/>
    </row>
    <row r="895" customFormat="false" ht="12.75" hidden="false" customHeight="true" outlineLevel="0" collapsed="false">
      <c r="M895" s="5"/>
      <c r="R895" s="5"/>
      <c r="W895" s="5"/>
      <c r="AB895" s="5"/>
      <c r="AG895" s="5"/>
    </row>
    <row r="896" customFormat="false" ht="12.75" hidden="false" customHeight="true" outlineLevel="0" collapsed="false">
      <c r="M896" s="5"/>
      <c r="R896" s="5"/>
      <c r="W896" s="5"/>
      <c r="AB896" s="5"/>
      <c r="AG896" s="5"/>
    </row>
    <row r="897" customFormat="false" ht="12.75" hidden="false" customHeight="true" outlineLevel="0" collapsed="false">
      <c r="M897" s="5"/>
      <c r="R897" s="5"/>
      <c r="W897" s="5"/>
      <c r="AB897" s="5"/>
      <c r="AG897" s="5"/>
    </row>
    <row r="898" customFormat="false" ht="12.75" hidden="false" customHeight="true" outlineLevel="0" collapsed="false">
      <c r="M898" s="5"/>
      <c r="R898" s="5"/>
      <c r="W898" s="5"/>
      <c r="AB898" s="5"/>
      <c r="AG898" s="5"/>
    </row>
    <row r="899" customFormat="false" ht="12.75" hidden="false" customHeight="true" outlineLevel="0" collapsed="false">
      <c r="M899" s="5"/>
      <c r="R899" s="5"/>
      <c r="W899" s="5"/>
      <c r="AB899" s="5"/>
      <c r="AG899" s="5"/>
    </row>
    <row r="900" customFormat="false" ht="12.75" hidden="false" customHeight="true" outlineLevel="0" collapsed="false">
      <c r="M900" s="5"/>
      <c r="R900" s="5"/>
      <c r="W900" s="5"/>
      <c r="AB900" s="5"/>
      <c r="AG900" s="5"/>
    </row>
    <row r="901" customFormat="false" ht="12.75" hidden="false" customHeight="true" outlineLevel="0" collapsed="false">
      <c r="M901" s="5"/>
      <c r="R901" s="5"/>
      <c r="W901" s="5"/>
      <c r="AB901" s="5"/>
      <c r="AG901" s="5"/>
    </row>
    <row r="902" customFormat="false" ht="12.75" hidden="false" customHeight="true" outlineLevel="0" collapsed="false">
      <c r="M902" s="5"/>
      <c r="R902" s="5"/>
      <c r="W902" s="5"/>
      <c r="AB902" s="5"/>
      <c r="AG902" s="5"/>
    </row>
    <row r="903" customFormat="false" ht="12.75" hidden="false" customHeight="true" outlineLevel="0" collapsed="false">
      <c r="M903" s="5"/>
      <c r="R903" s="5"/>
      <c r="W903" s="5"/>
      <c r="AB903" s="5"/>
      <c r="AG903" s="5"/>
    </row>
    <row r="904" customFormat="false" ht="12.75" hidden="false" customHeight="true" outlineLevel="0" collapsed="false">
      <c r="M904" s="5"/>
      <c r="R904" s="5"/>
      <c r="W904" s="5"/>
      <c r="AB904" s="5"/>
      <c r="AG904" s="5"/>
    </row>
    <row r="905" customFormat="false" ht="12.75" hidden="false" customHeight="true" outlineLevel="0" collapsed="false">
      <c r="M905" s="5"/>
      <c r="R905" s="5"/>
      <c r="W905" s="5"/>
      <c r="AB905" s="5"/>
      <c r="AG905" s="5"/>
    </row>
    <row r="906" customFormat="false" ht="12.75" hidden="false" customHeight="true" outlineLevel="0" collapsed="false">
      <c r="M906" s="5"/>
      <c r="R906" s="5"/>
      <c r="W906" s="5"/>
      <c r="AB906" s="5"/>
      <c r="AG906" s="5"/>
    </row>
    <row r="907" customFormat="false" ht="12.75" hidden="false" customHeight="true" outlineLevel="0" collapsed="false">
      <c r="M907" s="5"/>
      <c r="R907" s="5"/>
      <c r="W907" s="5"/>
      <c r="AB907" s="5"/>
      <c r="AG907" s="5"/>
    </row>
    <row r="908" customFormat="false" ht="12.75" hidden="false" customHeight="true" outlineLevel="0" collapsed="false">
      <c r="M908" s="5"/>
      <c r="R908" s="5"/>
      <c r="W908" s="5"/>
      <c r="AB908" s="5"/>
      <c r="AG908" s="5"/>
    </row>
    <row r="909" customFormat="false" ht="12.75" hidden="false" customHeight="true" outlineLevel="0" collapsed="false">
      <c r="M909" s="5"/>
      <c r="R909" s="5"/>
      <c r="W909" s="5"/>
      <c r="AB909" s="5"/>
      <c r="AG909" s="5"/>
    </row>
    <row r="910" customFormat="false" ht="12.75" hidden="false" customHeight="true" outlineLevel="0" collapsed="false">
      <c r="M910" s="5"/>
      <c r="R910" s="5"/>
      <c r="W910" s="5"/>
      <c r="AB910" s="5"/>
      <c r="AG910" s="5"/>
    </row>
    <row r="911" customFormat="false" ht="12.75" hidden="false" customHeight="true" outlineLevel="0" collapsed="false">
      <c r="M911" s="5"/>
      <c r="R911" s="5"/>
      <c r="W911" s="5"/>
      <c r="AB911" s="5"/>
      <c r="AG911" s="5"/>
    </row>
    <row r="912" customFormat="false" ht="12.75" hidden="false" customHeight="true" outlineLevel="0" collapsed="false">
      <c r="M912" s="5"/>
      <c r="R912" s="5"/>
      <c r="W912" s="5"/>
      <c r="AB912" s="5"/>
      <c r="AG912" s="5"/>
    </row>
    <row r="913" customFormat="false" ht="12.75" hidden="false" customHeight="true" outlineLevel="0" collapsed="false">
      <c r="M913" s="5"/>
      <c r="R913" s="5"/>
      <c r="W913" s="5"/>
      <c r="AB913" s="5"/>
      <c r="AG913" s="5"/>
    </row>
    <row r="914" customFormat="false" ht="12.75" hidden="false" customHeight="true" outlineLevel="0" collapsed="false">
      <c r="M914" s="5"/>
      <c r="R914" s="5"/>
      <c r="W914" s="5"/>
      <c r="AB914" s="5"/>
      <c r="AG914" s="5"/>
    </row>
    <row r="915" customFormat="false" ht="12.75" hidden="false" customHeight="true" outlineLevel="0" collapsed="false">
      <c r="M915" s="5"/>
      <c r="R915" s="5"/>
      <c r="W915" s="5"/>
      <c r="AB915" s="5"/>
      <c r="AG915" s="5"/>
    </row>
    <row r="916" customFormat="false" ht="12.75" hidden="false" customHeight="true" outlineLevel="0" collapsed="false">
      <c r="M916" s="5"/>
      <c r="R916" s="5"/>
      <c r="W916" s="5"/>
      <c r="AB916" s="5"/>
      <c r="AG916" s="5"/>
    </row>
    <row r="917" customFormat="false" ht="12.75" hidden="false" customHeight="true" outlineLevel="0" collapsed="false">
      <c r="M917" s="5"/>
      <c r="R917" s="5"/>
      <c r="W917" s="5"/>
      <c r="AB917" s="5"/>
      <c r="AG917" s="5"/>
    </row>
    <row r="918" customFormat="false" ht="12.75" hidden="false" customHeight="true" outlineLevel="0" collapsed="false">
      <c r="M918" s="5"/>
      <c r="R918" s="5"/>
      <c r="W918" s="5"/>
      <c r="AB918" s="5"/>
      <c r="AG918" s="5"/>
    </row>
    <row r="919" customFormat="false" ht="12.75" hidden="false" customHeight="true" outlineLevel="0" collapsed="false">
      <c r="M919" s="5"/>
      <c r="R919" s="5"/>
      <c r="W919" s="5"/>
      <c r="AB919" s="5"/>
      <c r="AG919" s="5"/>
    </row>
    <row r="920" customFormat="false" ht="12.75" hidden="false" customHeight="true" outlineLevel="0" collapsed="false">
      <c r="M920" s="5"/>
      <c r="R920" s="5"/>
      <c r="W920" s="5"/>
      <c r="AB920" s="5"/>
      <c r="AG920" s="5"/>
    </row>
    <row r="921" customFormat="false" ht="12.75" hidden="false" customHeight="true" outlineLevel="0" collapsed="false">
      <c r="M921" s="5"/>
      <c r="R921" s="5"/>
      <c r="W921" s="5"/>
      <c r="AB921" s="5"/>
      <c r="AG921" s="5"/>
    </row>
    <row r="922" customFormat="false" ht="12.75" hidden="false" customHeight="true" outlineLevel="0" collapsed="false">
      <c r="M922" s="5"/>
      <c r="R922" s="5"/>
      <c r="W922" s="5"/>
      <c r="AB922" s="5"/>
      <c r="AG922" s="5"/>
    </row>
    <row r="923" customFormat="false" ht="12.75" hidden="false" customHeight="true" outlineLevel="0" collapsed="false">
      <c r="M923" s="5"/>
      <c r="R923" s="5"/>
      <c r="W923" s="5"/>
      <c r="AB923" s="5"/>
      <c r="AG923" s="5"/>
    </row>
    <row r="924" customFormat="false" ht="12.75" hidden="false" customHeight="true" outlineLevel="0" collapsed="false">
      <c r="M924" s="5"/>
      <c r="R924" s="5"/>
      <c r="W924" s="5"/>
      <c r="AB924" s="5"/>
      <c r="AG924" s="5"/>
    </row>
    <row r="925" customFormat="false" ht="12.75" hidden="false" customHeight="true" outlineLevel="0" collapsed="false">
      <c r="M925" s="5"/>
      <c r="R925" s="5"/>
      <c r="W925" s="5"/>
      <c r="AB925" s="5"/>
      <c r="AG925" s="5"/>
    </row>
    <row r="926" customFormat="false" ht="12.75" hidden="false" customHeight="true" outlineLevel="0" collapsed="false">
      <c r="M926" s="5"/>
      <c r="R926" s="5"/>
      <c r="W926" s="5"/>
      <c r="AB926" s="5"/>
      <c r="AG926" s="5"/>
    </row>
    <row r="927" customFormat="false" ht="12.75" hidden="false" customHeight="true" outlineLevel="0" collapsed="false">
      <c r="M927" s="5"/>
      <c r="R927" s="5"/>
      <c r="W927" s="5"/>
      <c r="AB927" s="5"/>
      <c r="AG927" s="5"/>
    </row>
    <row r="928" customFormat="false" ht="12.75" hidden="false" customHeight="true" outlineLevel="0" collapsed="false">
      <c r="M928" s="5"/>
      <c r="R928" s="5"/>
      <c r="W928" s="5"/>
      <c r="AB928" s="5"/>
      <c r="AG928" s="5"/>
    </row>
    <row r="929" customFormat="false" ht="12.75" hidden="false" customHeight="true" outlineLevel="0" collapsed="false">
      <c r="M929" s="5"/>
      <c r="R929" s="5"/>
      <c r="W929" s="5"/>
      <c r="AB929" s="5"/>
      <c r="AG929" s="5"/>
    </row>
    <row r="930" customFormat="false" ht="12.75" hidden="false" customHeight="true" outlineLevel="0" collapsed="false">
      <c r="M930" s="5"/>
      <c r="R930" s="5"/>
      <c r="W930" s="5"/>
      <c r="AB930" s="5"/>
      <c r="AG930" s="5"/>
    </row>
    <row r="931" customFormat="false" ht="12.75" hidden="false" customHeight="true" outlineLevel="0" collapsed="false">
      <c r="M931" s="5"/>
      <c r="R931" s="5"/>
      <c r="W931" s="5"/>
      <c r="AB931" s="5"/>
      <c r="AG931" s="5"/>
    </row>
    <row r="932" customFormat="false" ht="12.75" hidden="false" customHeight="true" outlineLevel="0" collapsed="false">
      <c r="M932" s="5"/>
      <c r="R932" s="5"/>
      <c r="W932" s="5"/>
      <c r="AB932" s="5"/>
      <c r="AG932" s="5"/>
    </row>
    <row r="933" customFormat="false" ht="12.75" hidden="false" customHeight="true" outlineLevel="0" collapsed="false">
      <c r="M933" s="5"/>
      <c r="R933" s="5"/>
      <c r="W933" s="5"/>
      <c r="AB933" s="5"/>
      <c r="AG933" s="5"/>
    </row>
    <row r="934" customFormat="false" ht="12.75" hidden="false" customHeight="true" outlineLevel="0" collapsed="false">
      <c r="M934" s="5"/>
      <c r="R934" s="5"/>
      <c r="W934" s="5"/>
      <c r="AB934" s="5"/>
      <c r="AG934" s="5"/>
    </row>
    <row r="935" customFormat="false" ht="12.75" hidden="false" customHeight="true" outlineLevel="0" collapsed="false">
      <c r="M935" s="5"/>
      <c r="R935" s="5"/>
      <c r="W935" s="5"/>
      <c r="AB935" s="5"/>
      <c r="AG935" s="5"/>
    </row>
    <row r="936" customFormat="false" ht="12.75" hidden="false" customHeight="true" outlineLevel="0" collapsed="false">
      <c r="M936" s="5"/>
      <c r="R936" s="5"/>
      <c r="W936" s="5"/>
      <c r="AB936" s="5"/>
      <c r="AG936" s="5"/>
    </row>
    <row r="937" customFormat="false" ht="12.75" hidden="false" customHeight="true" outlineLevel="0" collapsed="false">
      <c r="M937" s="5"/>
      <c r="R937" s="5"/>
      <c r="W937" s="5"/>
      <c r="AB937" s="5"/>
      <c r="AG937" s="5"/>
    </row>
    <row r="938" customFormat="false" ht="12.75" hidden="false" customHeight="true" outlineLevel="0" collapsed="false">
      <c r="M938" s="5"/>
      <c r="R938" s="5"/>
      <c r="W938" s="5"/>
      <c r="AB938" s="5"/>
      <c r="AG938" s="5"/>
    </row>
    <row r="939" customFormat="false" ht="12.75" hidden="false" customHeight="true" outlineLevel="0" collapsed="false">
      <c r="M939" s="5"/>
      <c r="R939" s="5"/>
      <c r="W939" s="5"/>
      <c r="AB939" s="5"/>
      <c r="AG939" s="5"/>
    </row>
    <row r="940" customFormat="false" ht="12.75" hidden="false" customHeight="true" outlineLevel="0" collapsed="false">
      <c r="M940" s="5"/>
      <c r="R940" s="5"/>
      <c r="W940" s="5"/>
      <c r="AB940" s="5"/>
      <c r="AG940" s="5"/>
    </row>
    <row r="941" customFormat="false" ht="12.75" hidden="false" customHeight="true" outlineLevel="0" collapsed="false">
      <c r="M941" s="5"/>
      <c r="R941" s="5"/>
      <c r="W941" s="5"/>
      <c r="AB941" s="5"/>
      <c r="AG941" s="5"/>
    </row>
    <row r="942" customFormat="false" ht="12.75" hidden="false" customHeight="true" outlineLevel="0" collapsed="false">
      <c r="M942" s="5"/>
      <c r="R942" s="5"/>
      <c r="W942" s="5"/>
      <c r="AB942" s="5"/>
      <c r="AG942" s="5"/>
    </row>
    <row r="943" customFormat="false" ht="12.75" hidden="false" customHeight="true" outlineLevel="0" collapsed="false">
      <c r="M943" s="5"/>
      <c r="R943" s="5"/>
      <c r="W943" s="5"/>
      <c r="AB943" s="5"/>
      <c r="AG943" s="5"/>
    </row>
    <row r="944" customFormat="false" ht="12.75" hidden="false" customHeight="true" outlineLevel="0" collapsed="false">
      <c r="M944" s="5"/>
      <c r="R944" s="5"/>
      <c r="W944" s="5"/>
      <c r="AB944" s="5"/>
      <c r="AG944" s="5"/>
    </row>
    <row r="945" customFormat="false" ht="12.75" hidden="false" customHeight="true" outlineLevel="0" collapsed="false">
      <c r="M945" s="5"/>
      <c r="R945" s="5"/>
      <c r="W945" s="5"/>
      <c r="AB945" s="5"/>
      <c r="AG945" s="5"/>
    </row>
    <row r="946" customFormat="false" ht="12.75" hidden="false" customHeight="true" outlineLevel="0" collapsed="false">
      <c r="M946" s="5"/>
      <c r="R946" s="5"/>
      <c r="W946" s="5"/>
      <c r="AB946" s="5"/>
      <c r="AG946" s="5"/>
    </row>
    <row r="947" customFormat="false" ht="12.75" hidden="false" customHeight="true" outlineLevel="0" collapsed="false">
      <c r="M947" s="5"/>
      <c r="R947" s="5"/>
      <c r="W947" s="5"/>
      <c r="AB947" s="5"/>
      <c r="AG947" s="5"/>
    </row>
    <row r="948" customFormat="false" ht="12.75" hidden="false" customHeight="true" outlineLevel="0" collapsed="false">
      <c r="M948" s="5"/>
      <c r="R948" s="5"/>
      <c r="W948" s="5"/>
      <c r="AB948" s="5"/>
      <c r="AG948" s="5"/>
    </row>
    <row r="949" customFormat="false" ht="12.75" hidden="false" customHeight="true" outlineLevel="0" collapsed="false">
      <c r="M949" s="5"/>
      <c r="R949" s="5"/>
      <c r="W949" s="5"/>
      <c r="AB949" s="5"/>
      <c r="AG949" s="5"/>
    </row>
    <row r="950" customFormat="false" ht="12.75" hidden="false" customHeight="true" outlineLevel="0" collapsed="false">
      <c r="M950" s="5"/>
      <c r="R950" s="5"/>
      <c r="W950" s="5"/>
      <c r="AB950" s="5"/>
      <c r="AG950" s="5"/>
    </row>
    <row r="951" customFormat="false" ht="12.75" hidden="false" customHeight="true" outlineLevel="0" collapsed="false">
      <c r="M951" s="5"/>
      <c r="R951" s="5"/>
      <c r="W951" s="5"/>
      <c r="AB951" s="5"/>
      <c r="AG951" s="5"/>
    </row>
    <row r="952" customFormat="false" ht="12.75" hidden="false" customHeight="true" outlineLevel="0" collapsed="false">
      <c r="M952" s="5"/>
      <c r="R952" s="5"/>
      <c r="W952" s="5"/>
      <c r="AB952" s="5"/>
      <c r="AG952" s="5"/>
    </row>
    <row r="953" customFormat="false" ht="12.75" hidden="false" customHeight="true" outlineLevel="0" collapsed="false">
      <c r="M953" s="5"/>
      <c r="R953" s="5"/>
      <c r="W953" s="5"/>
      <c r="AB953" s="5"/>
      <c r="AG953" s="5"/>
    </row>
    <row r="954" customFormat="false" ht="12.75" hidden="false" customHeight="true" outlineLevel="0" collapsed="false">
      <c r="M954" s="5"/>
      <c r="R954" s="5"/>
      <c r="W954" s="5"/>
      <c r="AB954" s="5"/>
      <c r="AG954" s="5"/>
    </row>
    <row r="955" customFormat="false" ht="12.75" hidden="false" customHeight="true" outlineLevel="0" collapsed="false">
      <c r="M955" s="5"/>
      <c r="R955" s="5"/>
      <c r="W955" s="5"/>
      <c r="AB955" s="5"/>
      <c r="AG955" s="5"/>
    </row>
    <row r="956" customFormat="false" ht="12.75" hidden="false" customHeight="true" outlineLevel="0" collapsed="false">
      <c r="M956" s="5"/>
      <c r="R956" s="5"/>
      <c r="W956" s="5"/>
      <c r="AB956" s="5"/>
      <c r="AG956" s="5"/>
    </row>
    <row r="957" customFormat="false" ht="12.75" hidden="false" customHeight="true" outlineLevel="0" collapsed="false">
      <c r="M957" s="5"/>
      <c r="R957" s="5"/>
      <c r="W957" s="5"/>
      <c r="AB957" s="5"/>
      <c r="AG957" s="5"/>
    </row>
    <row r="958" customFormat="false" ht="12.75" hidden="false" customHeight="true" outlineLevel="0" collapsed="false">
      <c r="M958" s="5"/>
      <c r="R958" s="5"/>
      <c r="W958" s="5"/>
      <c r="AB958" s="5"/>
      <c r="AG958" s="5"/>
    </row>
    <row r="959" customFormat="false" ht="12.75" hidden="false" customHeight="true" outlineLevel="0" collapsed="false">
      <c r="M959" s="5"/>
      <c r="R959" s="5"/>
      <c r="W959" s="5"/>
      <c r="AB959" s="5"/>
      <c r="AG959" s="5"/>
    </row>
    <row r="960" customFormat="false" ht="12.75" hidden="false" customHeight="true" outlineLevel="0" collapsed="false">
      <c r="M960" s="5"/>
      <c r="R960" s="5"/>
      <c r="W960" s="5"/>
      <c r="AB960" s="5"/>
      <c r="AG960" s="5"/>
    </row>
    <row r="961" customFormat="false" ht="12.75" hidden="false" customHeight="true" outlineLevel="0" collapsed="false">
      <c r="M961" s="5"/>
      <c r="R961" s="5"/>
      <c r="W961" s="5"/>
      <c r="AB961" s="5"/>
      <c r="AG961" s="5"/>
    </row>
    <row r="962" customFormat="false" ht="12.75" hidden="false" customHeight="true" outlineLevel="0" collapsed="false">
      <c r="M962" s="5"/>
      <c r="R962" s="5"/>
      <c r="W962" s="5"/>
      <c r="AB962" s="5"/>
      <c r="AG962" s="5"/>
    </row>
    <row r="963" customFormat="false" ht="12.75" hidden="false" customHeight="true" outlineLevel="0" collapsed="false">
      <c r="M963" s="5"/>
      <c r="R963" s="5"/>
      <c r="W963" s="5"/>
      <c r="AB963" s="5"/>
      <c r="AG963" s="5"/>
    </row>
    <row r="964" customFormat="false" ht="12.75" hidden="false" customHeight="true" outlineLevel="0" collapsed="false">
      <c r="M964" s="5"/>
      <c r="R964" s="5"/>
      <c r="W964" s="5"/>
      <c r="AB964" s="5"/>
      <c r="AG964" s="5"/>
    </row>
    <row r="965" customFormat="false" ht="12.75" hidden="false" customHeight="true" outlineLevel="0" collapsed="false">
      <c r="M965" s="5"/>
      <c r="R965" s="5"/>
      <c r="W965" s="5"/>
      <c r="AB965" s="5"/>
      <c r="AG965" s="5"/>
    </row>
    <row r="966" customFormat="false" ht="12.75" hidden="false" customHeight="true" outlineLevel="0" collapsed="false">
      <c r="M966" s="5"/>
      <c r="R966" s="5"/>
      <c r="W966" s="5"/>
      <c r="AB966" s="5"/>
      <c r="AG966" s="5"/>
    </row>
    <row r="967" customFormat="false" ht="12.75" hidden="false" customHeight="true" outlineLevel="0" collapsed="false">
      <c r="M967" s="5"/>
      <c r="R967" s="5"/>
      <c r="W967" s="5"/>
      <c r="AB967" s="5"/>
      <c r="AG967" s="5"/>
    </row>
    <row r="968" customFormat="false" ht="12.75" hidden="false" customHeight="true" outlineLevel="0" collapsed="false">
      <c r="M968" s="5"/>
      <c r="R968" s="5"/>
      <c r="W968" s="5"/>
      <c r="AB968" s="5"/>
      <c r="AG968" s="5"/>
    </row>
    <row r="969" customFormat="false" ht="12.75" hidden="false" customHeight="true" outlineLevel="0" collapsed="false">
      <c r="M969" s="5"/>
      <c r="R969" s="5"/>
      <c r="W969" s="5"/>
      <c r="AB969" s="5"/>
      <c r="AG969" s="5"/>
    </row>
    <row r="970" customFormat="false" ht="12.75" hidden="false" customHeight="true" outlineLevel="0" collapsed="false">
      <c r="M970" s="5"/>
      <c r="R970" s="5"/>
      <c r="W970" s="5"/>
      <c r="AB970" s="5"/>
      <c r="AG970" s="5"/>
    </row>
    <row r="971" customFormat="false" ht="12.75" hidden="false" customHeight="true" outlineLevel="0" collapsed="false">
      <c r="M971" s="5"/>
      <c r="R971" s="5"/>
      <c r="W971" s="5"/>
      <c r="AB971" s="5"/>
      <c r="AG971" s="5"/>
    </row>
    <row r="972" customFormat="false" ht="12.75" hidden="false" customHeight="true" outlineLevel="0" collapsed="false">
      <c r="M972" s="5"/>
      <c r="R972" s="5"/>
      <c r="W972" s="5"/>
      <c r="AB972" s="5"/>
      <c r="AG972" s="5"/>
    </row>
    <row r="973" customFormat="false" ht="12.75" hidden="false" customHeight="true" outlineLevel="0" collapsed="false">
      <c r="M973" s="5"/>
      <c r="R973" s="5"/>
      <c r="W973" s="5"/>
      <c r="AB973" s="5"/>
      <c r="AG973" s="5"/>
    </row>
    <row r="974" customFormat="false" ht="12.75" hidden="false" customHeight="true" outlineLevel="0" collapsed="false">
      <c r="M974" s="5"/>
      <c r="R974" s="5"/>
      <c r="W974" s="5"/>
      <c r="AB974" s="5"/>
      <c r="AG974" s="5"/>
    </row>
    <row r="975" customFormat="false" ht="12.75" hidden="false" customHeight="true" outlineLevel="0" collapsed="false">
      <c r="M975" s="5"/>
      <c r="R975" s="5"/>
      <c r="W975" s="5"/>
      <c r="AB975" s="5"/>
      <c r="AG975" s="5"/>
    </row>
    <row r="976" customFormat="false" ht="12.75" hidden="false" customHeight="true" outlineLevel="0" collapsed="false">
      <c r="M976" s="5"/>
      <c r="R976" s="5"/>
      <c r="W976" s="5"/>
      <c r="AB976" s="5"/>
      <c r="AG976" s="5"/>
    </row>
    <row r="977" customFormat="false" ht="12.75" hidden="false" customHeight="true" outlineLevel="0" collapsed="false">
      <c r="M977" s="5"/>
      <c r="R977" s="5"/>
      <c r="W977" s="5"/>
      <c r="AB977" s="5"/>
      <c r="AG977" s="5"/>
    </row>
    <row r="978" customFormat="false" ht="12.75" hidden="false" customHeight="true" outlineLevel="0" collapsed="false">
      <c r="M978" s="5"/>
      <c r="R978" s="5"/>
      <c r="W978" s="5"/>
      <c r="AB978" s="5"/>
      <c r="AG978" s="5"/>
    </row>
    <row r="979" customFormat="false" ht="12.75" hidden="false" customHeight="true" outlineLevel="0" collapsed="false">
      <c r="M979" s="5"/>
      <c r="R979" s="5"/>
      <c r="W979" s="5"/>
      <c r="AB979" s="5"/>
      <c r="AG979" s="5"/>
    </row>
    <row r="980" customFormat="false" ht="12.75" hidden="false" customHeight="true" outlineLevel="0" collapsed="false">
      <c r="M980" s="5"/>
      <c r="R980" s="5"/>
      <c r="W980" s="5"/>
      <c r="AB980" s="5"/>
      <c r="AG980" s="5"/>
    </row>
    <row r="981" customFormat="false" ht="12.75" hidden="false" customHeight="true" outlineLevel="0" collapsed="false">
      <c r="M981" s="5"/>
      <c r="R981" s="5"/>
      <c r="W981" s="5"/>
      <c r="AB981" s="5"/>
      <c r="AG981" s="5"/>
    </row>
    <row r="982" customFormat="false" ht="12.75" hidden="false" customHeight="true" outlineLevel="0" collapsed="false">
      <c r="M982" s="5"/>
      <c r="R982" s="5"/>
      <c r="W982" s="5"/>
      <c r="AB982" s="5"/>
      <c r="AG982" s="5"/>
    </row>
    <row r="983" customFormat="false" ht="12.75" hidden="false" customHeight="true" outlineLevel="0" collapsed="false">
      <c r="M983" s="5"/>
      <c r="R983" s="5"/>
      <c r="W983" s="5"/>
      <c r="AB983" s="5"/>
      <c r="AG983" s="5"/>
    </row>
    <row r="984" customFormat="false" ht="12.75" hidden="false" customHeight="true" outlineLevel="0" collapsed="false">
      <c r="M984" s="5"/>
      <c r="R984" s="5"/>
      <c r="W984" s="5"/>
      <c r="AB984" s="5"/>
      <c r="AG984" s="5"/>
    </row>
    <row r="985" customFormat="false" ht="12.75" hidden="false" customHeight="true" outlineLevel="0" collapsed="false">
      <c r="M985" s="5"/>
      <c r="R985" s="5"/>
      <c r="W985" s="5"/>
      <c r="AB985" s="5"/>
      <c r="AG985" s="5"/>
    </row>
    <row r="986" customFormat="false" ht="12.75" hidden="false" customHeight="true" outlineLevel="0" collapsed="false">
      <c r="M986" s="5"/>
      <c r="R986" s="5"/>
      <c r="W986" s="5"/>
      <c r="AB986" s="5"/>
      <c r="AG986" s="5"/>
    </row>
    <row r="987" customFormat="false" ht="12.75" hidden="false" customHeight="true" outlineLevel="0" collapsed="false">
      <c r="M987" s="5"/>
      <c r="R987" s="5"/>
      <c r="W987" s="5"/>
      <c r="AB987" s="5"/>
      <c r="AG987" s="5"/>
    </row>
    <row r="988" customFormat="false" ht="12.75" hidden="false" customHeight="true" outlineLevel="0" collapsed="false">
      <c r="M988" s="5"/>
      <c r="R988" s="5"/>
      <c r="W988" s="5"/>
      <c r="AB988" s="5"/>
      <c r="AG988" s="5"/>
    </row>
    <row r="989" customFormat="false" ht="12.75" hidden="false" customHeight="true" outlineLevel="0" collapsed="false">
      <c r="M989" s="5"/>
      <c r="R989" s="5"/>
      <c r="W989" s="5"/>
      <c r="AB989" s="5"/>
      <c r="AG989" s="5"/>
    </row>
    <row r="990" customFormat="false" ht="12.75" hidden="false" customHeight="true" outlineLevel="0" collapsed="false">
      <c r="M990" s="5"/>
      <c r="R990" s="5"/>
      <c r="W990" s="5"/>
      <c r="AB990" s="5"/>
      <c r="AG990" s="5"/>
    </row>
    <row r="991" customFormat="false" ht="12.75" hidden="false" customHeight="true" outlineLevel="0" collapsed="false">
      <c r="M991" s="5"/>
      <c r="R991" s="5"/>
      <c r="W991" s="5"/>
      <c r="AB991" s="5"/>
      <c r="AG991" s="5"/>
    </row>
    <row r="992" customFormat="false" ht="12.75" hidden="false" customHeight="true" outlineLevel="0" collapsed="false">
      <c r="M992" s="5"/>
      <c r="R992" s="5"/>
      <c r="W992" s="5"/>
      <c r="AB992" s="5"/>
      <c r="AG992" s="5"/>
    </row>
    <row r="993" customFormat="false" ht="12.75" hidden="false" customHeight="true" outlineLevel="0" collapsed="false">
      <c r="M993" s="5"/>
      <c r="R993" s="5"/>
      <c r="W993" s="5"/>
      <c r="AB993" s="5"/>
      <c r="AG993" s="5"/>
    </row>
    <row r="994" customFormat="false" ht="12.75" hidden="false" customHeight="true" outlineLevel="0" collapsed="false">
      <c r="M994" s="5"/>
      <c r="R994" s="5"/>
      <c r="W994" s="5"/>
      <c r="AB994" s="5"/>
      <c r="AG994" s="5"/>
    </row>
    <row r="995" customFormat="false" ht="12.75" hidden="false" customHeight="true" outlineLevel="0" collapsed="false">
      <c r="M995" s="5"/>
      <c r="R995" s="5"/>
      <c r="W995" s="5"/>
      <c r="AB995" s="5"/>
      <c r="AG995" s="5"/>
    </row>
    <row r="996" customFormat="false" ht="12.75" hidden="false" customHeight="true" outlineLevel="0" collapsed="false">
      <c r="M996" s="5"/>
      <c r="R996" s="5"/>
      <c r="W996" s="5"/>
      <c r="AB996" s="5"/>
      <c r="AG996" s="5"/>
    </row>
    <row r="997" customFormat="false" ht="12.75" hidden="false" customHeight="true" outlineLevel="0" collapsed="false">
      <c r="M997" s="5"/>
      <c r="R997" s="5"/>
      <c r="W997" s="5"/>
      <c r="AB997" s="5"/>
      <c r="AG997" s="5"/>
    </row>
    <row r="998" customFormat="false" ht="12.75" hidden="false" customHeight="true" outlineLevel="0" collapsed="false">
      <c r="M998" s="5"/>
      <c r="R998" s="5"/>
      <c r="W998" s="5"/>
      <c r="AB998" s="5"/>
      <c r="AG998" s="5"/>
    </row>
    <row r="999" customFormat="false" ht="12.75" hidden="false" customHeight="true" outlineLevel="0" collapsed="false">
      <c r="M999" s="5"/>
      <c r="R999" s="5"/>
      <c r="W999" s="5"/>
      <c r="AB999" s="5"/>
      <c r="AG999" s="5"/>
    </row>
    <row r="1000" customFormat="false" ht="12.75" hidden="false" customHeight="true" outlineLevel="0" collapsed="false">
      <c r="M1000" s="5"/>
      <c r="R1000" s="5"/>
      <c r="W1000" s="5"/>
      <c r="AB1000" s="5"/>
      <c r="AG1000" s="5"/>
    </row>
    <row r="1001" customFormat="false" ht="12.75" hidden="false" customHeight="true" outlineLevel="0" collapsed="false">
      <c r="M1001" s="5"/>
      <c r="R1001" s="5"/>
      <c r="W1001" s="5"/>
      <c r="AB1001" s="5"/>
      <c r="AG1001" s="5"/>
    </row>
    <row r="1002" customFormat="false" ht="12.75" hidden="false" customHeight="true" outlineLevel="0" collapsed="false">
      <c r="M1002" s="5"/>
      <c r="R1002" s="5"/>
      <c r="W1002" s="5"/>
      <c r="AB1002" s="5"/>
      <c r="AG1002" s="5"/>
    </row>
    <row r="1003" customFormat="false" ht="12.75" hidden="false" customHeight="true" outlineLevel="0" collapsed="false">
      <c r="M1003" s="5"/>
      <c r="R1003" s="5"/>
      <c r="W1003" s="5"/>
      <c r="AB1003" s="5"/>
      <c r="AG1003" s="5"/>
    </row>
    <row r="1004" customFormat="false" ht="12.75" hidden="false" customHeight="true" outlineLevel="0" collapsed="false">
      <c r="M1004" s="5"/>
      <c r="R1004" s="5"/>
      <c r="W1004" s="5"/>
      <c r="AB1004" s="5"/>
      <c r="AG1004" s="5"/>
    </row>
    <row r="1005" customFormat="false" ht="12.75" hidden="false" customHeight="true" outlineLevel="0" collapsed="false">
      <c r="M1005" s="5"/>
      <c r="R1005" s="5"/>
      <c r="W1005" s="5"/>
      <c r="AB1005" s="5"/>
      <c r="AG1005" s="5"/>
    </row>
    <row r="1006" customFormat="false" ht="12.75" hidden="false" customHeight="true" outlineLevel="0" collapsed="false">
      <c r="M1006" s="5"/>
      <c r="R1006" s="5"/>
      <c r="W1006" s="5"/>
      <c r="AB1006" s="5"/>
      <c r="AG1006" s="5"/>
    </row>
    <row r="1007" customFormat="false" ht="12.75" hidden="false" customHeight="true" outlineLevel="0" collapsed="false">
      <c r="M1007" s="5"/>
      <c r="R1007" s="5"/>
      <c r="W1007" s="5"/>
      <c r="AB1007" s="5"/>
      <c r="AG1007" s="5"/>
    </row>
    <row r="1008" customFormat="false" ht="12.75" hidden="false" customHeight="true" outlineLevel="0" collapsed="false">
      <c r="M1008" s="5"/>
      <c r="R1008" s="5"/>
      <c r="W1008" s="5"/>
      <c r="AB1008" s="5"/>
      <c r="AG1008" s="5"/>
    </row>
    <row r="1009" customFormat="false" ht="12.75" hidden="false" customHeight="true" outlineLevel="0" collapsed="false">
      <c r="M1009" s="5"/>
      <c r="R1009" s="5"/>
      <c r="W1009" s="5"/>
      <c r="AB1009" s="5"/>
      <c r="AG1009" s="5"/>
    </row>
    <row r="1010" customFormat="false" ht="12.75" hidden="false" customHeight="true" outlineLevel="0" collapsed="false">
      <c r="M1010" s="5"/>
      <c r="R1010" s="5"/>
      <c r="W1010" s="5"/>
      <c r="AB1010" s="5"/>
      <c r="AG1010" s="5"/>
    </row>
    <row r="1011" customFormat="false" ht="12.75" hidden="false" customHeight="true" outlineLevel="0" collapsed="false">
      <c r="M1011" s="5"/>
      <c r="R1011" s="5"/>
      <c r="W1011" s="5"/>
      <c r="AB1011" s="5"/>
      <c r="AG1011" s="5"/>
    </row>
    <row r="1012" customFormat="false" ht="12.75" hidden="false" customHeight="true" outlineLevel="0" collapsed="false">
      <c r="M1012" s="5"/>
      <c r="R1012" s="5"/>
      <c r="W1012" s="5"/>
      <c r="AB1012" s="5"/>
      <c r="AG1012" s="5"/>
    </row>
    <row r="1013" customFormat="false" ht="12.75" hidden="false" customHeight="true" outlineLevel="0" collapsed="false">
      <c r="M1013" s="5"/>
      <c r="R1013" s="5"/>
      <c r="W1013" s="5"/>
      <c r="AB1013" s="5"/>
      <c r="AG1013" s="5"/>
    </row>
    <row r="1014" customFormat="false" ht="12.75" hidden="false" customHeight="true" outlineLevel="0" collapsed="false">
      <c r="M1014" s="5"/>
      <c r="R1014" s="5"/>
      <c r="W1014" s="5"/>
      <c r="AB1014" s="5"/>
      <c r="AG1014" s="5"/>
    </row>
    <row r="1015" customFormat="false" ht="12.75" hidden="false" customHeight="true" outlineLevel="0" collapsed="false">
      <c r="M1015" s="5"/>
      <c r="R1015" s="5"/>
      <c r="W1015" s="5"/>
      <c r="AB1015" s="5"/>
      <c r="AG1015" s="5"/>
    </row>
    <row r="1016" customFormat="false" ht="12.75" hidden="false" customHeight="true" outlineLevel="0" collapsed="false">
      <c r="M1016" s="5"/>
      <c r="R1016" s="5"/>
      <c r="W1016" s="5"/>
      <c r="AB1016" s="5"/>
      <c r="AG1016" s="5"/>
    </row>
    <row r="1017" customFormat="false" ht="12.75" hidden="false" customHeight="true" outlineLevel="0" collapsed="false">
      <c r="M1017" s="5"/>
      <c r="R1017" s="5"/>
      <c r="W1017" s="5"/>
      <c r="AB1017" s="5"/>
      <c r="AG1017" s="5"/>
    </row>
    <row r="1018" customFormat="false" ht="12.75" hidden="false" customHeight="true" outlineLevel="0" collapsed="false">
      <c r="M1018" s="5"/>
      <c r="R1018" s="5"/>
      <c r="W1018" s="5"/>
      <c r="AB1018" s="5"/>
      <c r="AG1018" s="5"/>
    </row>
    <row r="1019" customFormat="false" ht="12.75" hidden="false" customHeight="true" outlineLevel="0" collapsed="false">
      <c r="M1019" s="5"/>
      <c r="R1019" s="5"/>
      <c r="W1019" s="5"/>
      <c r="AB1019" s="5"/>
      <c r="AG1019" s="5"/>
    </row>
    <row r="1020" customFormat="false" ht="12.75" hidden="false" customHeight="true" outlineLevel="0" collapsed="false">
      <c r="M1020" s="5"/>
      <c r="R1020" s="5"/>
      <c r="W1020" s="5"/>
      <c r="AB1020" s="5"/>
      <c r="AG1020" s="5"/>
    </row>
    <row r="1021" customFormat="false" ht="12.75" hidden="false" customHeight="true" outlineLevel="0" collapsed="false">
      <c r="M1021" s="5"/>
      <c r="R1021" s="5"/>
      <c r="W1021" s="5"/>
      <c r="AB1021" s="5"/>
      <c r="AG1021" s="5"/>
    </row>
    <row r="1022" customFormat="false" ht="12.75" hidden="false" customHeight="true" outlineLevel="0" collapsed="false">
      <c r="M1022" s="5"/>
      <c r="R1022" s="5"/>
      <c r="W1022" s="5"/>
      <c r="AB1022" s="5"/>
      <c r="AG1022" s="5"/>
    </row>
    <row r="1023" customFormat="false" ht="12.75" hidden="false" customHeight="true" outlineLevel="0" collapsed="false">
      <c r="M1023" s="5"/>
      <c r="R1023" s="5"/>
      <c r="W1023" s="5"/>
      <c r="AB1023" s="5"/>
      <c r="AG1023" s="5"/>
    </row>
    <row r="1024" customFormat="false" ht="12.75" hidden="false" customHeight="true" outlineLevel="0" collapsed="false">
      <c r="M1024" s="5"/>
      <c r="R1024" s="5"/>
      <c r="W1024" s="5"/>
      <c r="AB1024" s="5"/>
      <c r="AG1024" s="5"/>
    </row>
    <row r="1025" customFormat="false" ht="12.75" hidden="false" customHeight="true" outlineLevel="0" collapsed="false">
      <c r="M1025" s="5"/>
      <c r="R1025" s="5"/>
      <c r="W1025" s="5"/>
      <c r="AB1025" s="5"/>
      <c r="AG1025" s="5"/>
    </row>
    <row r="1026" customFormat="false" ht="12.75" hidden="false" customHeight="true" outlineLevel="0" collapsed="false">
      <c r="M1026" s="5"/>
      <c r="R1026" s="5"/>
      <c r="W1026" s="5"/>
      <c r="AB1026" s="5"/>
      <c r="AG1026" s="5"/>
    </row>
    <row r="1027" customFormat="false" ht="12.75" hidden="false" customHeight="true" outlineLevel="0" collapsed="false">
      <c r="M1027" s="5"/>
      <c r="R1027" s="5"/>
      <c r="W1027" s="5"/>
      <c r="AB1027" s="5"/>
      <c r="AG1027" s="5"/>
    </row>
    <row r="1028" customFormat="false" ht="12.75" hidden="false" customHeight="true" outlineLevel="0" collapsed="false">
      <c r="M1028" s="5"/>
      <c r="R1028" s="5"/>
      <c r="W1028" s="5"/>
      <c r="AB1028" s="5"/>
      <c r="AG1028" s="5"/>
    </row>
    <row r="1029" customFormat="false" ht="12.75" hidden="false" customHeight="true" outlineLevel="0" collapsed="false">
      <c r="M1029" s="5"/>
      <c r="R1029" s="5"/>
      <c r="W1029" s="5"/>
      <c r="AB1029" s="5"/>
      <c r="AG1029" s="5"/>
    </row>
    <row r="1030" customFormat="false" ht="12.75" hidden="false" customHeight="true" outlineLevel="0" collapsed="false">
      <c r="M1030" s="5"/>
      <c r="R1030" s="5"/>
      <c r="W1030" s="5"/>
      <c r="AB1030" s="5"/>
      <c r="AG1030" s="5"/>
    </row>
    <row r="1031" customFormat="false" ht="12.75" hidden="false" customHeight="true" outlineLevel="0" collapsed="false">
      <c r="M1031" s="5"/>
      <c r="R1031" s="5"/>
      <c r="W1031" s="5"/>
      <c r="AB1031" s="5"/>
      <c r="AG1031" s="5"/>
    </row>
    <row r="1032" customFormat="false" ht="12.75" hidden="false" customHeight="true" outlineLevel="0" collapsed="false">
      <c r="M1032" s="5"/>
      <c r="R1032" s="5"/>
      <c r="W1032" s="5"/>
      <c r="AB1032" s="5"/>
      <c r="AG1032" s="5"/>
    </row>
    <row r="1033" customFormat="false" ht="12.75" hidden="false" customHeight="true" outlineLevel="0" collapsed="false">
      <c r="M1033" s="5"/>
      <c r="R1033" s="5"/>
      <c r="W1033" s="5"/>
      <c r="AB1033" s="5"/>
      <c r="AG1033" s="5"/>
    </row>
    <row r="1034" customFormat="false" ht="12.75" hidden="false" customHeight="true" outlineLevel="0" collapsed="false">
      <c r="M1034" s="5"/>
      <c r="R1034" s="5"/>
      <c r="W1034" s="5"/>
      <c r="AB1034" s="5"/>
      <c r="AG1034" s="5"/>
    </row>
    <row r="1035" customFormat="false" ht="12.75" hidden="false" customHeight="true" outlineLevel="0" collapsed="false">
      <c r="M1035" s="5"/>
      <c r="R1035" s="5"/>
      <c r="W1035" s="5"/>
      <c r="AB1035" s="5"/>
      <c r="AG1035" s="5"/>
    </row>
    <row r="1036" customFormat="false" ht="12.75" hidden="false" customHeight="true" outlineLevel="0" collapsed="false">
      <c r="M1036" s="5"/>
      <c r="R1036" s="5"/>
      <c r="W1036" s="5"/>
      <c r="AB1036" s="5"/>
      <c r="AG1036" s="5"/>
    </row>
    <row r="1037" customFormat="false" ht="12.75" hidden="false" customHeight="true" outlineLevel="0" collapsed="false">
      <c r="M1037" s="5"/>
      <c r="R1037" s="5"/>
      <c r="W1037" s="5"/>
      <c r="AB1037" s="5"/>
      <c r="AG1037" s="5"/>
    </row>
    <row r="1038" customFormat="false" ht="12.75" hidden="false" customHeight="true" outlineLevel="0" collapsed="false">
      <c r="M1038" s="5"/>
      <c r="R1038" s="5"/>
      <c r="W1038" s="5"/>
      <c r="AB1038" s="5"/>
      <c r="AG1038" s="5"/>
    </row>
    <row r="1039" customFormat="false" ht="12.75" hidden="false" customHeight="true" outlineLevel="0" collapsed="false">
      <c r="M1039" s="5"/>
      <c r="R1039" s="5"/>
      <c r="W1039" s="5"/>
      <c r="AB1039" s="5"/>
      <c r="AG1039" s="5"/>
    </row>
    <row r="1040" customFormat="false" ht="12.75" hidden="false" customHeight="true" outlineLevel="0" collapsed="false">
      <c r="M1040" s="5"/>
      <c r="R1040" s="5"/>
      <c r="W1040" s="5"/>
      <c r="AB1040" s="5"/>
      <c r="AG1040" s="5"/>
    </row>
    <row r="1041" customFormat="false" ht="12.75" hidden="false" customHeight="true" outlineLevel="0" collapsed="false">
      <c r="M1041" s="5"/>
      <c r="R1041" s="5"/>
      <c r="W1041" s="5"/>
      <c r="AB1041" s="5"/>
      <c r="AG1041" s="5"/>
    </row>
    <row r="1042" customFormat="false" ht="12.75" hidden="false" customHeight="true" outlineLevel="0" collapsed="false">
      <c r="M1042" s="5"/>
      <c r="R1042" s="5"/>
      <c r="W1042" s="5"/>
      <c r="AB1042" s="5"/>
      <c r="AG1042" s="5"/>
    </row>
    <row r="1043" customFormat="false" ht="12.75" hidden="false" customHeight="true" outlineLevel="0" collapsed="false">
      <c r="M1043" s="5"/>
      <c r="R1043" s="5"/>
      <c r="W1043" s="5"/>
      <c r="AB1043" s="5"/>
      <c r="AG1043" s="5"/>
    </row>
    <row r="1044" customFormat="false" ht="12.75" hidden="false" customHeight="true" outlineLevel="0" collapsed="false">
      <c r="M1044" s="5"/>
      <c r="R1044" s="5"/>
      <c r="W1044" s="5"/>
      <c r="AB1044" s="5"/>
      <c r="AG1044" s="5"/>
    </row>
    <row r="1045" customFormat="false" ht="12.75" hidden="false" customHeight="true" outlineLevel="0" collapsed="false">
      <c r="M1045" s="5"/>
      <c r="R1045" s="5"/>
      <c r="W1045" s="5"/>
      <c r="AB1045" s="5"/>
      <c r="AG1045" s="5"/>
    </row>
    <row r="1046" customFormat="false" ht="12.75" hidden="false" customHeight="true" outlineLevel="0" collapsed="false">
      <c r="M1046" s="5"/>
      <c r="R1046" s="5"/>
      <c r="W1046" s="5"/>
      <c r="AB1046" s="5"/>
      <c r="AG1046" s="5"/>
    </row>
    <row r="1047" customFormat="false" ht="12.75" hidden="false" customHeight="true" outlineLevel="0" collapsed="false">
      <c r="M1047" s="5"/>
      <c r="R1047" s="5"/>
      <c r="W1047" s="5"/>
      <c r="AB1047" s="5"/>
      <c r="AG1047" s="5"/>
    </row>
    <row r="1048" customFormat="false" ht="12.75" hidden="false" customHeight="true" outlineLevel="0" collapsed="false">
      <c r="M1048" s="5"/>
      <c r="R1048" s="5"/>
      <c r="W1048" s="5"/>
      <c r="AB1048" s="5"/>
      <c r="AG1048" s="5"/>
    </row>
    <row r="1049" customFormat="false" ht="12.75" hidden="false" customHeight="true" outlineLevel="0" collapsed="false">
      <c r="M1049" s="5"/>
      <c r="R1049" s="5"/>
      <c r="W1049" s="5"/>
      <c r="AB1049" s="5"/>
      <c r="AG1049" s="5"/>
    </row>
    <row r="1050" customFormat="false" ht="12.75" hidden="false" customHeight="true" outlineLevel="0" collapsed="false">
      <c r="M1050" s="5"/>
      <c r="R1050" s="5"/>
      <c r="W1050" s="5"/>
      <c r="AB1050" s="5"/>
      <c r="AG1050" s="5"/>
    </row>
    <row r="1051" customFormat="false" ht="12.75" hidden="false" customHeight="true" outlineLevel="0" collapsed="false">
      <c r="M1051" s="5"/>
      <c r="R1051" s="5"/>
      <c r="W1051" s="5"/>
      <c r="AB1051" s="5"/>
      <c r="AG1051" s="5"/>
    </row>
    <row r="1052" customFormat="false" ht="12.75" hidden="false" customHeight="true" outlineLevel="0" collapsed="false">
      <c r="M1052" s="5"/>
      <c r="R1052" s="5"/>
      <c r="W1052" s="5"/>
      <c r="AB1052" s="5"/>
      <c r="AG1052" s="5"/>
    </row>
    <row r="1053" customFormat="false" ht="12.75" hidden="false" customHeight="true" outlineLevel="0" collapsed="false">
      <c r="M1053" s="5"/>
      <c r="R1053" s="5"/>
      <c r="W1053" s="5"/>
      <c r="AB1053" s="5"/>
      <c r="AG1053" s="5"/>
    </row>
    <row r="1054" customFormat="false" ht="12.75" hidden="false" customHeight="true" outlineLevel="0" collapsed="false">
      <c r="M1054" s="5"/>
      <c r="R1054" s="5"/>
      <c r="W1054" s="5"/>
      <c r="AB1054" s="5"/>
      <c r="AG1054" s="5"/>
    </row>
    <row r="1055" customFormat="false" ht="12.75" hidden="false" customHeight="true" outlineLevel="0" collapsed="false">
      <c r="M1055" s="5"/>
      <c r="R1055" s="5"/>
      <c r="W1055" s="5"/>
      <c r="AB1055" s="5"/>
      <c r="AG1055" s="5"/>
    </row>
    <row r="1056" customFormat="false" ht="12.75" hidden="false" customHeight="true" outlineLevel="0" collapsed="false">
      <c r="M1056" s="5"/>
      <c r="R1056" s="5"/>
      <c r="W1056" s="5"/>
      <c r="AB1056" s="5"/>
      <c r="AG1056" s="5"/>
    </row>
    <row r="1057" customFormat="false" ht="12.75" hidden="false" customHeight="true" outlineLevel="0" collapsed="false">
      <c r="M1057" s="5"/>
      <c r="R1057" s="5"/>
      <c r="W1057" s="5"/>
      <c r="AB1057" s="5"/>
      <c r="AG1057" s="5"/>
    </row>
    <row r="1058" customFormat="false" ht="12.75" hidden="false" customHeight="true" outlineLevel="0" collapsed="false">
      <c r="M1058" s="5"/>
      <c r="R1058" s="5"/>
      <c r="W1058" s="5"/>
      <c r="AB1058" s="5"/>
      <c r="AG1058" s="5"/>
    </row>
    <row r="1059" customFormat="false" ht="12.75" hidden="false" customHeight="true" outlineLevel="0" collapsed="false">
      <c r="M1059" s="5"/>
      <c r="R1059" s="5"/>
      <c r="W1059" s="5"/>
      <c r="AB1059" s="5"/>
      <c r="AG1059" s="5"/>
    </row>
    <row r="1060" customFormat="false" ht="12.75" hidden="false" customHeight="true" outlineLevel="0" collapsed="false">
      <c r="M1060" s="5"/>
      <c r="R1060" s="5"/>
      <c r="W1060" s="5"/>
      <c r="AB1060" s="5"/>
      <c r="AG1060" s="5"/>
    </row>
    <row r="1061" customFormat="false" ht="12.75" hidden="false" customHeight="true" outlineLevel="0" collapsed="false">
      <c r="M1061" s="5"/>
      <c r="R1061" s="5"/>
      <c r="W1061" s="5"/>
      <c r="AB1061" s="5"/>
      <c r="AG1061" s="5"/>
    </row>
    <row r="1062" customFormat="false" ht="12.75" hidden="false" customHeight="true" outlineLevel="0" collapsed="false">
      <c r="M1062" s="5"/>
      <c r="R1062" s="5"/>
      <c r="W1062" s="5"/>
      <c r="AB1062" s="5"/>
      <c r="AG1062" s="5"/>
    </row>
    <row r="1063" customFormat="false" ht="12.75" hidden="false" customHeight="true" outlineLevel="0" collapsed="false">
      <c r="M1063" s="5"/>
      <c r="R1063" s="5"/>
      <c r="W1063" s="5"/>
      <c r="AB1063" s="5"/>
      <c r="AG1063" s="5"/>
    </row>
    <row r="1064" customFormat="false" ht="12.75" hidden="false" customHeight="true" outlineLevel="0" collapsed="false">
      <c r="M1064" s="5"/>
      <c r="R1064" s="5"/>
      <c r="W1064" s="5"/>
      <c r="AB1064" s="5"/>
      <c r="AG1064" s="5"/>
    </row>
    <row r="1065" customFormat="false" ht="12.75" hidden="false" customHeight="true" outlineLevel="0" collapsed="false">
      <c r="M1065" s="5"/>
      <c r="R1065" s="5"/>
      <c r="W1065" s="5"/>
      <c r="AB1065" s="5"/>
      <c r="AG1065" s="5"/>
    </row>
    <row r="1066" customFormat="false" ht="12.75" hidden="false" customHeight="true" outlineLevel="0" collapsed="false">
      <c r="M1066" s="5"/>
      <c r="R1066" s="5"/>
      <c r="W1066" s="5"/>
      <c r="AB1066" s="5"/>
      <c r="AG1066" s="5"/>
    </row>
    <row r="1067" customFormat="false" ht="12.75" hidden="false" customHeight="true" outlineLevel="0" collapsed="false">
      <c r="M1067" s="5"/>
      <c r="R1067" s="5"/>
      <c r="W1067" s="5"/>
      <c r="AB1067" s="5"/>
      <c r="AG1067" s="5"/>
    </row>
    <row r="1068" customFormat="false" ht="12.75" hidden="false" customHeight="true" outlineLevel="0" collapsed="false">
      <c r="M1068" s="5"/>
      <c r="R1068" s="5"/>
      <c r="W1068" s="5"/>
      <c r="AB1068" s="5"/>
      <c r="AG1068" s="5"/>
    </row>
    <row r="1069" customFormat="false" ht="12.75" hidden="false" customHeight="true" outlineLevel="0" collapsed="false">
      <c r="M1069" s="5"/>
      <c r="R1069" s="5"/>
      <c r="W1069" s="5"/>
      <c r="AB1069" s="5"/>
      <c r="AG1069" s="5"/>
    </row>
    <row r="1070" customFormat="false" ht="12.75" hidden="false" customHeight="true" outlineLevel="0" collapsed="false">
      <c r="M1070" s="5"/>
      <c r="R1070" s="5"/>
      <c r="W1070" s="5"/>
      <c r="AB1070" s="5"/>
      <c r="AG1070" s="5"/>
    </row>
    <row r="1071" customFormat="false" ht="12.75" hidden="false" customHeight="true" outlineLevel="0" collapsed="false">
      <c r="M1071" s="5"/>
      <c r="R1071" s="5"/>
      <c r="W1071" s="5"/>
      <c r="AB1071" s="5"/>
      <c r="AG1071" s="5"/>
    </row>
    <row r="1072" customFormat="false" ht="12.75" hidden="false" customHeight="true" outlineLevel="0" collapsed="false">
      <c r="M1072" s="5"/>
      <c r="R1072" s="5"/>
      <c r="W1072" s="5"/>
      <c r="AB1072" s="5"/>
      <c r="AG1072" s="5"/>
    </row>
    <row r="1073" customFormat="false" ht="12.75" hidden="false" customHeight="true" outlineLevel="0" collapsed="false">
      <c r="M1073" s="5"/>
      <c r="R1073" s="5"/>
      <c r="W1073" s="5"/>
      <c r="AB1073" s="5"/>
      <c r="AG1073" s="5"/>
    </row>
    <row r="1074" customFormat="false" ht="12.75" hidden="false" customHeight="true" outlineLevel="0" collapsed="false">
      <c r="M1074" s="5"/>
      <c r="R1074" s="5"/>
      <c r="W1074" s="5"/>
      <c r="AB1074" s="5"/>
      <c r="AG1074" s="5"/>
    </row>
    <row r="1075" customFormat="false" ht="12.75" hidden="false" customHeight="true" outlineLevel="0" collapsed="false">
      <c r="M1075" s="5"/>
      <c r="R1075" s="5"/>
      <c r="W1075" s="5"/>
      <c r="AB1075" s="5"/>
      <c r="AG1075" s="5"/>
    </row>
    <row r="1076" customFormat="false" ht="12.75" hidden="false" customHeight="true" outlineLevel="0" collapsed="false">
      <c r="M1076" s="5"/>
      <c r="R1076" s="5"/>
      <c r="W1076" s="5"/>
      <c r="AB1076" s="5"/>
      <c r="AG1076" s="5"/>
    </row>
    <row r="1077" customFormat="false" ht="12.75" hidden="false" customHeight="true" outlineLevel="0" collapsed="false">
      <c r="M1077" s="5"/>
      <c r="R1077" s="5"/>
      <c r="W1077" s="5"/>
      <c r="AB1077" s="5"/>
      <c r="AG1077" s="5"/>
    </row>
    <row r="1078" customFormat="false" ht="12.75" hidden="false" customHeight="true" outlineLevel="0" collapsed="false">
      <c r="M1078" s="5"/>
      <c r="R1078" s="5"/>
      <c r="W1078" s="5"/>
      <c r="AB1078" s="5"/>
      <c r="AG1078" s="5"/>
    </row>
    <row r="1079" customFormat="false" ht="12.75" hidden="false" customHeight="true" outlineLevel="0" collapsed="false">
      <c r="M1079" s="5"/>
      <c r="R1079" s="5"/>
      <c r="W1079" s="5"/>
      <c r="AB1079" s="5"/>
      <c r="AG1079" s="5"/>
    </row>
    <row r="1080" customFormat="false" ht="12.75" hidden="false" customHeight="true" outlineLevel="0" collapsed="false">
      <c r="M1080" s="5"/>
      <c r="R1080" s="5"/>
      <c r="W1080" s="5"/>
      <c r="AB1080" s="5"/>
      <c r="AG1080" s="5"/>
    </row>
    <row r="1081" customFormat="false" ht="12.75" hidden="false" customHeight="true" outlineLevel="0" collapsed="false">
      <c r="M1081" s="5"/>
      <c r="R1081" s="5"/>
      <c r="W1081" s="5"/>
      <c r="AB1081" s="5"/>
      <c r="AG1081" s="5"/>
    </row>
    <row r="1082" customFormat="false" ht="12.75" hidden="false" customHeight="true" outlineLevel="0" collapsed="false">
      <c r="M1082" s="5"/>
      <c r="R1082" s="5"/>
      <c r="W1082" s="5"/>
      <c r="AB1082" s="5"/>
      <c r="AG1082" s="5"/>
    </row>
    <row r="1083" customFormat="false" ht="12.75" hidden="false" customHeight="true" outlineLevel="0" collapsed="false">
      <c r="M1083" s="5"/>
      <c r="R1083" s="5"/>
      <c r="W1083" s="5"/>
      <c r="AB1083" s="5"/>
      <c r="AG1083" s="5"/>
    </row>
    <row r="1084" customFormat="false" ht="12.75" hidden="false" customHeight="true" outlineLevel="0" collapsed="false">
      <c r="M1084" s="5"/>
      <c r="R1084" s="5"/>
      <c r="W1084" s="5"/>
      <c r="AB1084" s="5"/>
      <c r="AG1084" s="5"/>
    </row>
    <row r="1085" customFormat="false" ht="12.75" hidden="false" customHeight="true" outlineLevel="0" collapsed="false">
      <c r="M1085" s="5"/>
      <c r="R1085" s="5"/>
      <c r="W1085" s="5"/>
      <c r="AB1085" s="5"/>
      <c r="AG1085" s="5"/>
    </row>
    <row r="1086" customFormat="false" ht="12.75" hidden="false" customHeight="true" outlineLevel="0" collapsed="false">
      <c r="M1086" s="5"/>
      <c r="R1086" s="5"/>
      <c r="W1086" s="5"/>
      <c r="AB1086" s="5"/>
      <c r="AG1086" s="5"/>
    </row>
    <row r="1087" customFormat="false" ht="12.75" hidden="false" customHeight="true" outlineLevel="0" collapsed="false">
      <c r="M1087" s="5"/>
      <c r="R1087" s="5"/>
      <c r="W1087" s="5"/>
      <c r="AB1087" s="5"/>
      <c r="AG1087" s="5"/>
    </row>
    <row r="1088" customFormat="false" ht="12.75" hidden="false" customHeight="true" outlineLevel="0" collapsed="false">
      <c r="M1088" s="5"/>
      <c r="R1088" s="5"/>
      <c r="W1088" s="5"/>
      <c r="AB1088" s="5"/>
      <c r="AG1088" s="5"/>
    </row>
    <row r="1089" customFormat="false" ht="12.75" hidden="false" customHeight="true" outlineLevel="0" collapsed="false">
      <c r="M1089" s="5"/>
      <c r="R1089" s="5"/>
      <c r="W1089" s="5"/>
      <c r="AB1089" s="5"/>
      <c r="AG1089" s="5"/>
    </row>
    <row r="1090" customFormat="false" ht="12.75" hidden="false" customHeight="true" outlineLevel="0" collapsed="false">
      <c r="M1090" s="5"/>
      <c r="R1090" s="5"/>
      <c r="W1090" s="5"/>
      <c r="AB1090" s="5"/>
      <c r="AG1090" s="5"/>
    </row>
    <row r="1091" customFormat="false" ht="12.75" hidden="false" customHeight="true" outlineLevel="0" collapsed="false">
      <c r="M1091" s="5"/>
      <c r="R1091" s="5"/>
      <c r="W1091" s="5"/>
      <c r="AB1091" s="5"/>
      <c r="AG1091" s="5"/>
    </row>
    <row r="1092" customFormat="false" ht="12.75" hidden="false" customHeight="true" outlineLevel="0" collapsed="false">
      <c r="M1092" s="5"/>
      <c r="R1092" s="5"/>
      <c r="W1092" s="5"/>
      <c r="AB1092" s="5"/>
      <c r="AG1092" s="5"/>
    </row>
    <row r="1093" customFormat="false" ht="12.75" hidden="false" customHeight="true" outlineLevel="0" collapsed="false">
      <c r="M1093" s="5"/>
      <c r="R1093" s="5"/>
      <c r="W1093" s="5"/>
      <c r="AB1093" s="5"/>
      <c r="AG1093" s="5"/>
    </row>
    <row r="1094" customFormat="false" ht="12.75" hidden="false" customHeight="true" outlineLevel="0" collapsed="false">
      <c r="M1094" s="5"/>
      <c r="R1094" s="5"/>
      <c r="W1094" s="5"/>
      <c r="AB1094" s="5"/>
      <c r="AG1094" s="5"/>
    </row>
    <row r="1095" customFormat="false" ht="12.75" hidden="false" customHeight="true" outlineLevel="0" collapsed="false">
      <c r="M1095" s="5"/>
      <c r="R1095" s="5"/>
      <c r="W1095" s="5"/>
      <c r="AB1095" s="5"/>
      <c r="AG1095" s="5"/>
    </row>
    <row r="1096" customFormat="false" ht="12.75" hidden="false" customHeight="true" outlineLevel="0" collapsed="false">
      <c r="M1096" s="5"/>
      <c r="R1096" s="5"/>
      <c r="W1096" s="5"/>
      <c r="AB1096" s="5"/>
      <c r="AG1096" s="5"/>
    </row>
    <row r="1097" customFormat="false" ht="12.75" hidden="false" customHeight="true" outlineLevel="0" collapsed="false">
      <c r="M1097" s="5"/>
      <c r="R1097" s="5"/>
      <c r="W1097" s="5"/>
      <c r="AB1097" s="5"/>
      <c r="AG1097" s="5"/>
    </row>
    <row r="1098" customFormat="false" ht="12.75" hidden="false" customHeight="true" outlineLevel="0" collapsed="false">
      <c r="M1098" s="5"/>
      <c r="R1098" s="5"/>
      <c r="W1098" s="5"/>
      <c r="AB1098" s="5"/>
      <c r="AG1098" s="5"/>
    </row>
    <row r="1099" customFormat="false" ht="12.75" hidden="false" customHeight="true" outlineLevel="0" collapsed="false">
      <c r="M1099" s="5"/>
      <c r="R1099" s="5"/>
      <c r="W1099" s="5"/>
      <c r="AB1099" s="5"/>
      <c r="AG1099" s="5"/>
    </row>
    <row r="1100" customFormat="false" ht="12.75" hidden="false" customHeight="true" outlineLevel="0" collapsed="false">
      <c r="M1100" s="5"/>
      <c r="R1100" s="5"/>
      <c r="W1100" s="5"/>
      <c r="AB1100" s="5"/>
      <c r="AG1100" s="5"/>
    </row>
    <row r="1101" customFormat="false" ht="12.75" hidden="false" customHeight="true" outlineLevel="0" collapsed="false">
      <c r="M1101" s="5"/>
      <c r="R1101" s="5"/>
      <c r="W1101" s="5"/>
      <c r="AB1101" s="5"/>
      <c r="AG1101" s="5"/>
    </row>
    <row r="1102" customFormat="false" ht="12.75" hidden="false" customHeight="true" outlineLevel="0" collapsed="false">
      <c r="M1102" s="5"/>
      <c r="R1102" s="5"/>
      <c r="W1102" s="5"/>
      <c r="AB1102" s="5"/>
      <c r="AG1102" s="5"/>
    </row>
    <row r="1103" customFormat="false" ht="12.75" hidden="false" customHeight="true" outlineLevel="0" collapsed="false">
      <c r="M1103" s="5"/>
      <c r="R1103" s="5"/>
      <c r="W1103" s="5"/>
      <c r="AB1103" s="5"/>
      <c r="AG1103" s="5"/>
    </row>
    <row r="1104" customFormat="false" ht="12.75" hidden="false" customHeight="true" outlineLevel="0" collapsed="false">
      <c r="M1104" s="5"/>
      <c r="R1104" s="5"/>
      <c r="W1104" s="5"/>
      <c r="AB1104" s="5"/>
      <c r="AG1104" s="5"/>
    </row>
    <row r="1105" customFormat="false" ht="12.75" hidden="false" customHeight="true" outlineLevel="0" collapsed="false">
      <c r="M1105" s="5"/>
      <c r="R1105" s="5"/>
      <c r="W1105" s="5"/>
      <c r="AB1105" s="5"/>
      <c r="AG1105" s="5"/>
    </row>
    <row r="1106" customFormat="false" ht="12.75" hidden="false" customHeight="true" outlineLevel="0" collapsed="false">
      <c r="M1106" s="5"/>
      <c r="R1106" s="5"/>
      <c r="W1106" s="5"/>
      <c r="AB1106" s="5"/>
      <c r="AG1106" s="5"/>
    </row>
    <row r="1107" customFormat="false" ht="12.75" hidden="false" customHeight="true" outlineLevel="0" collapsed="false">
      <c r="M1107" s="5"/>
      <c r="R1107" s="5"/>
      <c r="W1107" s="5"/>
      <c r="AB1107" s="5"/>
      <c r="AG1107" s="5"/>
    </row>
    <row r="1108" customFormat="false" ht="12.75" hidden="false" customHeight="true" outlineLevel="0" collapsed="false">
      <c r="M1108" s="5"/>
      <c r="R1108" s="5"/>
      <c r="W1108" s="5"/>
      <c r="AB1108" s="5"/>
      <c r="AG1108" s="5"/>
    </row>
    <row r="1109" customFormat="false" ht="12.75" hidden="false" customHeight="true" outlineLevel="0" collapsed="false">
      <c r="M1109" s="5"/>
      <c r="R1109" s="5"/>
      <c r="W1109" s="5"/>
      <c r="AB1109" s="5"/>
      <c r="AG1109" s="5"/>
    </row>
    <row r="1110" customFormat="false" ht="12.75" hidden="false" customHeight="true" outlineLevel="0" collapsed="false">
      <c r="M1110" s="5"/>
      <c r="R1110" s="5"/>
      <c r="W1110" s="5"/>
      <c r="AB1110" s="5"/>
      <c r="AG1110" s="5"/>
    </row>
    <row r="1111" customFormat="false" ht="12.75" hidden="false" customHeight="true" outlineLevel="0" collapsed="false">
      <c r="M1111" s="5"/>
      <c r="R1111" s="5"/>
      <c r="W1111" s="5"/>
      <c r="AB1111" s="5"/>
      <c r="AG1111" s="5"/>
    </row>
    <row r="1112" customFormat="false" ht="12.75" hidden="false" customHeight="true" outlineLevel="0" collapsed="false">
      <c r="M1112" s="5"/>
      <c r="R1112" s="5"/>
      <c r="W1112" s="5"/>
      <c r="AB1112" s="5"/>
      <c r="AG1112" s="5"/>
    </row>
    <row r="1113" customFormat="false" ht="12.75" hidden="false" customHeight="true" outlineLevel="0" collapsed="false">
      <c r="M1113" s="5"/>
      <c r="R1113" s="5"/>
      <c r="W1113" s="5"/>
      <c r="AB1113" s="5"/>
      <c r="AG1113" s="5"/>
    </row>
    <row r="1114" customFormat="false" ht="12.75" hidden="false" customHeight="true" outlineLevel="0" collapsed="false">
      <c r="M1114" s="5"/>
      <c r="R1114" s="5"/>
      <c r="W1114" s="5"/>
      <c r="AB1114" s="5"/>
      <c r="AG1114" s="5"/>
    </row>
    <row r="1115" customFormat="false" ht="12.75" hidden="false" customHeight="true" outlineLevel="0" collapsed="false">
      <c r="M1115" s="5"/>
      <c r="R1115" s="5"/>
      <c r="W1115" s="5"/>
      <c r="AB1115" s="5"/>
      <c r="AG1115" s="5"/>
    </row>
    <row r="1116" customFormat="false" ht="12.75" hidden="false" customHeight="true" outlineLevel="0" collapsed="false">
      <c r="M1116" s="5"/>
      <c r="R1116" s="5"/>
      <c r="W1116" s="5"/>
      <c r="AB1116" s="5"/>
      <c r="AG1116" s="5"/>
    </row>
    <row r="1117" customFormat="false" ht="12.75" hidden="false" customHeight="true" outlineLevel="0" collapsed="false">
      <c r="M1117" s="5"/>
      <c r="R1117" s="5"/>
      <c r="W1117" s="5"/>
      <c r="AB1117" s="5"/>
      <c r="AG1117" s="5"/>
    </row>
    <row r="1118" customFormat="false" ht="12.75" hidden="false" customHeight="true" outlineLevel="0" collapsed="false">
      <c r="M1118" s="5"/>
      <c r="R1118" s="5"/>
      <c r="W1118" s="5"/>
      <c r="AB1118" s="5"/>
      <c r="AG1118" s="5"/>
    </row>
    <row r="1119" customFormat="false" ht="12.75" hidden="false" customHeight="true" outlineLevel="0" collapsed="false">
      <c r="M1119" s="5"/>
      <c r="R1119" s="5"/>
      <c r="W1119" s="5"/>
      <c r="AB1119" s="5"/>
      <c r="AG1119" s="5"/>
    </row>
    <row r="1120" customFormat="false" ht="12.75" hidden="false" customHeight="true" outlineLevel="0" collapsed="false">
      <c r="M1120" s="5"/>
      <c r="R1120" s="5"/>
      <c r="W1120" s="5"/>
      <c r="AB1120" s="5"/>
      <c r="AG1120" s="5"/>
    </row>
    <row r="1121" customFormat="false" ht="12.75" hidden="false" customHeight="true" outlineLevel="0" collapsed="false">
      <c r="M1121" s="5"/>
      <c r="R1121" s="5"/>
      <c r="W1121" s="5"/>
      <c r="AB1121" s="5"/>
      <c r="AG1121" s="5"/>
    </row>
    <row r="1122" customFormat="false" ht="12.75" hidden="false" customHeight="true" outlineLevel="0" collapsed="false">
      <c r="M1122" s="5"/>
      <c r="R1122" s="5"/>
      <c r="W1122" s="5"/>
      <c r="AB1122" s="5"/>
      <c r="AG1122" s="5"/>
    </row>
    <row r="1123" customFormat="false" ht="12.75" hidden="false" customHeight="true" outlineLevel="0" collapsed="false">
      <c r="M1123" s="5"/>
      <c r="R1123" s="5"/>
      <c r="W1123" s="5"/>
      <c r="AB1123" s="5"/>
      <c r="AG1123" s="5"/>
    </row>
    <row r="1124" customFormat="false" ht="12.75" hidden="false" customHeight="true" outlineLevel="0" collapsed="false">
      <c r="M1124" s="5"/>
      <c r="R1124" s="5"/>
      <c r="W1124" s="5"/>
      <c r="AB1124" s="5"/>
      <c r="AG1124" s="5"/>
    </row>
    <row r="1125" customFormat="false" ht="12.75" hidden="false" customHeight="true" outlineLevel="0" collapsed="false">
      <c r="M1125" s="5"/>
      <c r="R1125" s="5"/>
      <c r="W1125" s="5"/>
      <c r="AB1125" s="5"/>
      <c r="AG1125" s="5"/>
    </row>
    <row r="1126" customFormat="false" ht="12.75" hidden="false" customHeight="true" outlineLevel="0" collapsed="false">
      <c r="M1126" s="5"/>
      <c r="R1126" s="5"/>
      <c r="W1126" s="5"/>
      <c r="AB1126" s="5"/>
      <c r="AG1126" s="5"/>
    </row>
    <row r="1127" customFormat="false" ht="12.75" hidden="false" customHeight="true" outlineLevel="0" collapsed="false">
      <c r="M1127" s="5"/>
      <c r="R1127" s="5"/>
      <c r="W1127" s="5"/>
      <c r="AB1127" s="5"/>
      <c r="AG1127" s="5"/>
    </row>
    <row r="1128" customFormat="false" ht="12.75" hidden="false" customHeight="true" outlineLevel="0" collapsed="false">
      <c r="M1128" s="5"/>
      <c r="R1128" s="5"/>
      <c r="W1128" s="5"/>
      <c r="AB1128" s="5"/>
      <c r="AG1128" s="5"/>
    </row>
    <row r="1129" customFormat="false" ht="12.75" hidden="false" customHeight="true" outlineLevel="0" collapsed="false">
      <c r="M1129" s="5"/>
      <c r="R1129" s="5"/>
      <c r="W1129" s="5"/>
      <c r="AB1129" s="5"/>
      <c r="AG1129" s="5"/>
    </row>
    <row r="1130" customFormat="false" ht="12.75" hidden="false" customHeight="true" outlineLevel="0" collapsed="false">
      <c r="M1130" s="5"/>
      <c r="R1130" s="5"/>
      <c r="W1130" s="5"/>
      <c r="AB1130" s="5"/>
      <c r="AG1130" s="5"/>
    </row>
    <row r="1131" customFormat="false" ht="12.75" hidden="false" customHeight="true" outlineLevel="0" collapsed="false">
      <c r="M1131" s="5"/>
      <c r="R1131" s="5"/>
      <c r="W1131" s="5"/>
      <c r="AB1131" s="5"/>
      <c r="AG1131" s="5"/>
    </row>
    <row r="1132" customFormat="false" ht="12.75" hidden="false" customHeight="true" outlineLevel="0" collapsed="false">
      <c r="M1132" s="5"/>
      <c r="R1132" s="5"/>
      <c r="W1132" s="5"/>
      <c r="AB1132" s="5"/>
      <c r="AG1132" s="5"/>
    </row>
    <row r="1133" customFormat="false" ht="12.75" hidden="false" customHeight="true" outlineLevel="0" collapsed="false">
      <c r="M1133" s="5"/>
      <c r="R1133" s="5"/>
      <c r="W1133" s="5"/>
      <c r="AB1133" s="5"/>
      <c r="AG1133" s="5"/>
    </row>
    <row r="1134" customFormat="false" ht="12.75" hidden="false" customHeight="true" outlineLevel="0" collapsed="false">
      <c r="M1134" s="5"/>
      <c r="R1134" s="5"/>
      <c r="W1134" s="5"/>
      <c r="AB1134" s="5"/>
      <c r="AG1134" s="5"/>
    </row>
    <row r="1135" customFormat="false" ht="12.75" hidden="false" customHeight="true" outlineLevel="0" collapsed="false">
      <c r="M1135" s="5"/>
      <c r="R1135" s="5"/>
      <c r="W1135" s="5"/>
      <c r="AB1135" s="5"/>
      <c r="AG1135" s="5"/>
    </row>
    <row r="1136" customFormat="false" ht="12.75" hidden="false" customHeight="true" outlineLevel="0" collapsed="false">
      <c r="M1136" s="5"/>
      <c r="R1136" s="5"/>
      <c r="W1136" s="5"/>
      <c r="AB1136" s="5"/>
      <c r="AG1136" s="5"/>
    </row>
    <row r="1137" customFormat="false" ht="12.75" hidden="false" customHeight="true" outlineLevel="0" collapsed="false">
      <c r="M1137" s="5"/>
      <c r="R1137" s="5"/>
      <c r="W1137" s="5"/>
      <c r="AB1137" s="5"/>
      <c r="AG1137" s="5"/>
    </row>
    <row r="1138" customFormat="false" ht="12.75" hidden="false" customHeight="true" outlineLevel="0" collapsed="false">
      <c r="M1138" s="5"/>
      <c r="R1138" s="5"/>
      <c r="W1138" s="5"/>
      <c r="AB1138" s="5"/>
      <c r="AG1138" s="5"/>
    </row>
    <row r="1139" customFormat="false" ht="12.75" hidden="false" customHeight="true" outlineLevel="0" collapsed="false">
      <c r="M1139" s="5"/>
      <c r="R1139" s="5"/>
      <c r="W1139" s="5"/>
      <c r="AB1139" s="5"/>
      <c r="AG1139" s="5"/>
    </row>
    <row r="1140" customFormat="false" ht="12.75" hidden="false" customHeight="true" outlineLevel="0" collapsed="false">
      <c r="M1140" s="5"/>
      <c r="R1140" s="5"/>
      <c r="W1140" s="5"/>
      <c r="AB1140" s="5"/>
      <c r="AG1140" s="5"/>
    </row>
    <row r="1141" customFormat="false" ht="12.75" hidden="false" customHeight="true" outlineLevel="0" collapsed="false">
      <c r="M1141" s="5"/>
      <c r="R1141" s="5"/>
      <c r="W1141" s="5"/>
      <c r="AB1141" s="5"/>
      <c r="AG1141" s="5"/>
    </row>
    <row r="1142" customFormat="false" ht="12.75" hidden="false" customHeight="true" outlineLevel="0" collapsed="false">
      <c r="M1142" s="5"/>
      <c r="R1142" s="5"/>
      <c r="W1142" s="5"/>
      <c r="AB1142" s="5"/>
      <c r="AG1142" s="5"/>
    </row>
    <row r="1143" customFormat="false" ht="12.75" hidden="false" customHeight="true" outlineLevel="0" collapsed="false">
      <c r="M1143" s="5"/>
      <c r="R1143" s="5"/>
      <c r="W1143" s="5"/>
      <c r="AB1143" s="5"/>
      <c r="AG1143" s="5"/>
    </row>
    <row r="1144" customFormat="false" ht="12.75" hidden="false" customHeight="true" outlineLevel="0" collapsed="false">
      <c r="M1144" s="5"/>
      <c r="R1144" s="5"/>
      <c r="W1144" s="5"/>
      <c r="AB1144" s="5"/>
      <c r="AG1144" s="5"/>
    </row>
    <row r="1145" customFormat="false" ht="12.75" hidden="false" customHeight="true" outlineLevel="0" collapsed="false">
      <c r="M1145" s="5"/>
      <c r="R1145" s="5"/>
      <c r="W1145" s="5"/>
      <c r="AB1145" s="5"/>
      <c r="AG1145" s="5"/>
    </row>
    <row r="1146" customFormat="false" ht="12.75" hidden="false" customHeight="true" outlineLevel="0" collapsed="false">
      <c r="M1146" s="5"/>
      <c r="R1146" s="5"/>
      <c r="W1146" s="5"/>
      <c r="AB1146" s="5"/>
      <c r="AG1146" s="5"/>
    </row>
    <row r="1147" customFormat="false" ht="12.75" hidden="false" customHeight="true" outlineLevel="0" collapsed="false">
      <c r="M1147" s="5"/>
      <c r="R1147" s="5"/>
      <c r="W1147" s="5"/>
      <c r="AB1147" s="5"/>
      <c r="AG1147" s="5"/>
    </row>
    <row r="1148" customFormat="false" ht="12.75" hidden="false" customHeight="true" outlineLevel="0" collapsed="false">
      <c r="M1148" s="5"/>
      <c r="R1148" s="5"/>
      <c r="W1148" s="5"/>
      <c r="AB1148" s="5"/>
      <c r="AG1148" s="5"/>
    </row>
    <row r="1149" customFormat="false" ht="12.75" hidden="false" customHeight="true" outlineLevel="0" collapsed="false">
      <c r="M1149" s="5"/>
      <c r="R1149" s="5"/>
      <c r="W1149" s="5"/>
      <c r="AB1149" s="5"/>
      <c r="AG1149" s="5"/>
    </row>
    <row r="1150" customFormat="false" ht="12.75" hidden="false" customHeight="true" outlineLevel="0" collapsed="false">
      <c r="M1150" s="5"/>
      <c r="R1150" s="5"/>
      <c r="W1150" s="5"/>
      <c r="AB1150" s="5"/>
      <c r="AG1150" s="5"/>
    </row>
    <row r="1151" customFormat="false" ht="12.75" hidden="false" customHeight="true" outlineLevel="0" collapsed="false">
      <c r="M1151" s="5"/>
      <c r="R1151" s="5"/>
      <c r="W1151" s="5"/>
      <c r="AB1151" s="5"/>
      <c r="AG1151" s="5"/>
    </row>
    <row r="1152" customFormat="false" ht="12.75" hidden="false" customHeight="true" outlineLevel="0" collapsed="false">
      <c r="M1152" s="5"/>
      <c r="R1152" s="5"/>
      <c r="W1152" s="5"/>
      <c r="AB1152" s="5"/>
      <c r="AG1152" s="5"/>
    </row>
    <row r="1153" customFormat="false" ht="12.75" hidden="false" customHeight="true" outlineLevel="0" collapsed="false">
      <c r="M1153" s="5"/>
      <c r="R1153" s="5"/>
      <c r="W1153" s="5"/>
      <c r="AB1153" s="5"/>
      <c r="AG1153" s="5"/>
    </row>
    <row r="1154" customFormat="false" ht="12.75" hidden="false" customHeight="true" outlineLevel="0" collapsed="false">
      <c r="M1154" s="5"/>
      <c r="R1154" s="5"/>
      <c r="W1154" s="5"/>
      <c r="AB1154" s="5"/>
      <c r="AG1154" s="5"/>
    </row>
    <row r="1155" customFormat="false" ht="12.75" hidden="false" customHeight="true" outlineLevel="0" collapsed="false">
      <c r="M1155" s="5"/>
      <c r="R1155" s="5"/>
      <c r="W1155" s="5"/>
      <c r="AB1155" s="5"/>
      <c r="AG1155" s="5"/>
    </row>
    <row r="1156" customFormat="false" ht="12.75" hidden="false" customHeight="true" outlineLevel="0" collapsed="false">
      <c r="M1156" s="5"/>
      <c r="R1156" s="5"/>
      <c r="W1156" s="5"/>
      <c r="AB1156" s="5"/>
      <c r="AG1156" s="5"/>
    </row>
    <row r="1157" customFormat="false" ht="12.75" hidden="false" customHeight="true" outlineLevel="0" collapsed="false">
      <c r="M1157" s="5"/>
      <c r="R1157" s="5"/>
      <c r="W1157" s="5"/>
      <c r="AB1157" s="5"/>
      <c r="AG1157" s="5"/>
    </row>
    <row r="1158" customFormat="false" ht="12.75" hidden="false" customHeight="true" outlineLevel="0" collapsed="false">
      <c r="M1158" s="5"/>
      <c r="R1158" s="5"/>
      <c r="W1158" s="5"/>
      <c r="AB1158" s="5"/>
      <c r="AG1158" s="5"/>
    </row>
    <row r="1159" customFormat="false" ht="12.75" hidden="false" customHeight="true" outlineLevel="0" collapsed="false">
      <c r="M1159" s="5"/>
      <c r="R1159" s="5"/>
      <c r="W1159" s="5"/>
      <c r="AB1159" s="5"/>
      <c r="AG1159" s="5"/>
    </row>
    <row r="1160" customFormat="false" ht="12.75" hidden="false" customHeight="true" outlineLevel="0" collapsed="false">
      <c r="M1160" s="5"/>
      <c r="R1160" s="5"/>
      <c r="W1160" s="5"/>
      <c r="AB1160" s="5"/>
      <c r="AG1160" s="5"/>
    </row>
    <row r="1161" customFormat="false" ht="12.75" hidden="false" customHeight="true" outlineLevel="0" collapsed="false">
      <c r="M1161" s="5"/>
      <c r="R1161" s="5"/>
      <c r="W1161" s="5"/>
      <c r="AB1161" s="5"/>
      <c r="AG1161" s="5"/>
    </row>
    <row r="1162" customFormat="false" ht="12.75" hidden="false" customHeight="true" outlineLevel="0" collapsed="false">
      <c r="M1162" s="5"/>
      <c r="R1162" s="5"/>
      <c r="W1162" s="5"/>
      <c r="AB1162" s="5"/>
      <c r="AG1162" s="5"/>
    </row>
    <row r="1163" customFormat="false" ht="12.75" hidden="false" customHeight="true" outlineLevel="0" collapsed="false">
      <c r="M1163" s="5"/>
      <c r="R1163" s="5"/>
      <c r="W1163" s="5"/>
      <c r="AB1163" s="5"/>
      <c r="AG1163" s="5"/>
    </row>
    <row r="1164" customFormat="false" ht="12.75" hidden="false" customHeight="true" outlineLevel="0" collapsed="false">
      <c r="M1164" s="5"/>
      <c r="R1164" s="5"/>
      <c r="W1164" s="5"/>
      <c r="AB1164" s="5"/>
      <c r="AG1164" s="5"/>
    </row>
    <row r="1165" customFormat="false" ht="12.75" hidden="false" customHeight="true" outlineLevel="0" collapsed="false">
      <c r="M1165" s="5"/>
      <c r="R1165" s="5"/>
      <c r="W1165" s="5"/>
      <c r="AB1165" s="5"/>
      <c r="AG1165" s="5"/>
    </row>
    <row r="1166" customFormat="false" ht="12.75" hidden="false" customHeight="true" outlineLevel="0" collapsed="false">
      <c r="M1166" s="5"/>
      <c r="R1166" s="5"/>
      <c r="W1166" s="5"/>
      <c r="AB1166" s="5"/>
      <c r="AG1166" s="5"/>
    </row>
    <row r="1167" customFormat="false" ht="12.75" hidden="false" customHeight="true" outlineLevel="0" collapsed="false">
      <c r="M1167" s="5"/>
      <c r="R1167" s="5"/>
      <c r="W1167" s="5"/>
      <c r="AB1167" s="5"/>
      <c r="AG1167" s="5"/>
    </row>
    <row r="1168" customFormat="false" ht="12.75" hidden="false" customHeight="true" outlineLevel="0" collapsed="false">
      <c r="M1168" s="5"/>
      <c r="R1168" s="5"/>
      <c r="W1168" s="5"/>
      <c r="AB1168" s="5"/>
      <c r="AG1168" s="5"/>
    </row>
    <row r="1169" customFormat="false" ht="12.75" hidden="false" customHeight="true" outlineLevel="0" collapsed="false">
      <c r="M1169" s="5"/>
      <c r="R1169" s="5"/>
      <c r="W1169" s="5"/>
      <c r="AB1169" s="5"/>
      <c r="AG1169" s="5"/>
    </row>
    <row r="1170" customFormat="false" ht="12.75" hidden="false" customHeight="true" outlineLevel="0" collapsed="false">
      <c r="M1170" s="5"/>
      <c r="R1170" s="5"/>
      <c r="W1170" s="5"/>
      <c r="AB1170" s="5"/>
      <c r="AG1170" s="5"/>
    </row>
    <row r="1171" customFormat="false" ht="12.75" hidden="false" customHeight="true" outlineLevel="0" collapsed="false">
      <c r="M1171" s="5"/>
      <c r="R1171" s="5"/>
      <c r="W1171" s="5"/>
      <c r="AB1171" s="5"/>
      <c r="AG1171" s="5"/>
    </row>
    <row r="1172" customFormat="false" ht="12.75" hidden="false" customHeight="true" outlineLevel="0" collapsed="false">
      <c r="M1172" s="5"/>
      <c r="R1172" s="5"/>
      <c r="W1172" s="5"/>
      <c r="AB1172" s="5"/>
      <c r="AG1172" s="5"/>
    </row>
    <row r="1173" customFormat="false" ht="12.75" hidden="false" customHeight="true" outlineLevel="0" collapsed="false">
      <c r="M1173" s="5"/>
      <c r="R1173" s="5"/>
      <c r="W1173" s="5"/>
      <c r="AB1173" s="5"/>
      <c r="AG1173" s="5"/>
    </row>
    <row r="1174" customFormat="false" ht="12.75" hidden="false" customHeight="true" outlineLevel="0" collapsed="false">
      <c r="M1174" s="5"/>
      <c r="R1174" s="5"/>
      <c r="W1174" s="5"/>
      <c r="AB1174" s="5"/>
      <c r="AG1174" s="5"/>
    </row>
    <row r="1175" customFormat="false" ht="12.75" hidden="false" customHeight="true" outlineLevel="0" collapsed="false">
      <c r="M1175" s="5"/>
      <c r="R1175" s="5"/>
      <c r="W1175" s="5"/>
      <c r="AB1175" s="5"/>
      <c r="AG1175" s="5"/>
    </row>
    <row r="1176" customFormat="false" ht="12.75" hidden="false" customHeight="true" outlineLevel="0" collapsed="false">
      <c r="M1176" s="5"/>
      <c r="R1176" s="5"/>
      <c r="W1176" s="5"/>
      <c r="AB1176" s="5"/>
      <c r="AG1176" s="5"/>
    </row>
    <row r="1177" customFormat="false" ht="12.75" hidden="false" customHeight="true" outlineLevel="0" collapsed="false">
      <c r="M1177" s="5"/>
      <c r="R1177" s="5"/>
      <c r="W1177" s="5"/>
      <c r="AB1177" s="5"/>
      <c r="AG1177" s="5"/>
    </row>
    <row r="1178" customFormat="false" ht="12.75" hidden="false" customHeight="true" outlineLevel="0" collapsed="false">
      <c r="M1178" s="5"/>
      <c r="R1178" s="5"/>
      <c r="W1178" s="5"/>
      <c r="AB1178" s="5"/>
      <c r="AG1178" s="5"/>
    </row>
    <row r="1179" customFormat="false" ht="12.75" hidden="false" customHeight="true" outlineLevel="0" collapsed="false">
      <c r="M1179" s="5"/>
      <c r="R1179" s="5"/>
      <c r="W1179" s="5"/>
      <c r="AB1179" s="5"/>
      <c r="AG1179" s="5"/>
    </row>
    <row r="1180" customFormat="false" ht="12.75" hidden="false" customHeight="true" outlineLevel="0" collapsed="false">
      <c r="M1180" s="5"/>
      <c r="R1180" s="5"/>
      <c r="W1180" s="5"/>
      <c r="AB1180" s="5"/>
      <c r="AG1180" s="5"/>
    </row>
    <row r="1181" customFormat="false" ht="12.75" hidden="false" customHeight="true" outlineLevel="0" collapsed="false">
      <c r="M1181" s="5"/>
      <c r="R1181" s="5"/>
      <c r="W1181" s="5"/>
      <c r="AB1181" s="5"/>
      <c r="AG1181" s="5"/>
    </row>
    <row r="1182" customFormat="false" ht="12.75" hidden="false" customHeight="true" outlineLevel="0" collapsed="false">
      <c r="M1182" s="5"/>
      <c r="R1182" s="5"/>
      <c r="W1182" s="5"/>
      <c r="AB1182" s="5"/>
      <c r="AG1182" s="5"/>
    </row>
    <row r="1183" customFormat="false" ht="12.75" hidden="false" customHeight="true" outlineLevel="0" collapsed="false">
      <c r="M1183" s="5"/>
      <c r="R1183" s="5"/>
      <c r="W1183" s="5"/>
      <c r="AB1183" s="5"/>
      <c r="AG1183" s="5"/>
    </row>
    <row r="1184" customFormat="false" ht="12.75" hidden="false" customHeight="true" outlineLevel="0" collapsed="false">
      <c r="M1184" s="5"/>
      <c r="R1184" s="5"/>
      <c r="W1184" s="5"/>
      <c r="AB1184" s="5"/>
      <c r="AG1184" s="5"/>
    </row>
    <row r="1185" customFormat="false" ht="12.75" hidden="false" customHeight="true" outlineLevel="0" collapsed="false">
      <c r="M1185" s="5"/>
      <c r="R1185" s="5"/>
      <c r="W1185" s="5"/>
      <c r="AB1185" s="5"/>
      <c r="AG1185" s="5"/>
    </row>
    <row r="1186" customFormat="false" ht="12.75" hidden="false" customHeight="true" outlineLevel="0" collapsed="false">
      <c r="M1186" s="5"/>
      <c r="R1186" s="5"/>
      <c r="W1186" s="5"/>
      <c r="AB1186" s="5"/>
      <c r="AG1186" s="5"/>
    </row>
    <row r="1187" customFormat="false" ht="12.75" hidden="false" customHeight="true" outlineLevel="0" collapsed="false">
      <c r="M1187" s="5"/>
      <c r="R1187" s="5"/>
      <c r="W1187" s="5"/>
      <c r="AB1187" s="5"/>
      <c r="AG1187" s="5"/>
    </row>
    <row r="1188" customFormat="false" ht="12.75" hidden="false" customHeight="true" outlineLevel="0" collapsed="false">
      <c r="M1188" s="5"/>
      <c r="R1188" s="5"/>
      <c r="W1188" s="5"/>
      <c r="AB1188" s="5"/>
      <c r="AG1188" s="5"/>
    </row>
    <row r="1189" customFormat="false" ht="12.75" hidden="false" customHeight="true" outlineLevel="0" collapsed="false">
      <c r="M1189" s="5"/>
      <c r="R1189" s="5"/>
      <c r="W1189" s="5"/>
      <c r="AB1189" s="5"/>
      <c r="AG1189" s="5"/>
    </row>
    <row r="1190" customFormat="false" ht="12.75" hidden="false" customHeight="true" outlineLevel="0" collapsed="false">
      <c r="M1190" s="5"/>
      <c r="R1190" s="5"/>
      <c r="W1190" s="5"/>
      <c r="AB1190" s="5"/>
      <c r="AG1190" s="5"/>
    </row>
    <row r="1191" customFormat="false" ht="12.75" hidden="false" customHeight="true" outlineLevel="0" collapsed="false">
      <c r="M1191" s="5"/>
      <c r="R1191" s="5"/>
      <c r="W1191" s="5"/>
      <c r="AB1191" s="5"/>
      <c r="AG1191" s="5"/>
    </row>
    <row r="1192" customFormat="false" ht="12.75" hidden="false" customHeight="true" outlineLevel="0" collapsed="false">
      <c r="M1192" s="5"/>
      <c r="R1192" s="5"/>
      <c r="W1192" s="5"/>
      <c r="AB1192" s="5"/>
      <c r="AG1192" s="5"/>
    </row>
    <row r="1193" customFormat="false" ht="12.75" hidden="false" customHeight="true" outlineLevel="0" collapsed="false">
      <c r="M1193" s="5"/>
      <c r="R1193" s="5"/>
      <c r="W1193" s="5"/>
      <c r="AB1193" s="5"/>
      <c r="AG1193" s="5"/>
    </row>
    <row r="1194" customFormat="false" ht="12.75" hidden="false" customHeight="true" outlineLevel="0" collapsed="false">
      <c r="M1194" s="5"/>
      <c r="R1194" s="5"/>
      <c r="W1194" s="5"/>
      <c r="AB1194" s="5"/>
      <c r="AG1194" s="5"/>
    </row>
    <row r="1195" customFormat="false" ht="12.75" hidden="false" customHeight="true" outlineLevel="0" collapsed="false">
      <c r="M1195" s="5"/>
      <c r="R1195" s="5"/>
      <c r="W1195" s="5"/>
      <c r="AB1195" s="5"/>
      <c r="AG1195" s="5"/>
    </row>
    <row r="1196" customFormat="false" ht="12.75" hidden="false" customHeight="true" outlineLevel="0" collapsed="false">
      <c r="M1196" s="5"/>
      <c r="R1196" s="5"/>
      <c r="W1196" s="5"/>
      <c r="AB1196" s="5"/>
      <c r="AG1196" s="5"/>
    </row>
    <row r="1197" customFormat="false" ht="12.75" hidden="false" customHeight="true" outlineLevel="0" collapsed="false">
      <c r="M1197" s="5"/>
      <c r="R1197" s="5"/>
      <c r="W1197" s="5"/>
      <c r="AB1197" s="5"/>
      <c r="AG1197" s="5"/>
    </row>
    <row r="1198" customFormat="false" ht="12.75" hidden="false" customHeight="true" outlineLevel="0" collapsed="false">
      <c r="M1198" s="5"/>
      <c r="R1198" s="5"/>
      <c r="W1198" s="5"/>
      <c r="AB1198" s="5"/>
      <c r="AG1198" s="5"/>
    </row>
    <row r="1199" customFormat="false" ht="12.75" hidden="false" customHeight="true" outlineLevel="0" collapsed="false">
      <c r="M1199" s="5"/>
      <c r="R1199" s="5"/>
      <c r="W1199" s="5"/>
      <c r="AB1199" s="5"/>
      <c r="AG1199" s="5"/>
    </row>
    <row r="1200" customFormat="false" ht="12.75" hidden="false" customHeight="true" outlineLevel="0" collapsed="false">
      <c r="M1200" s="5"/>
      <c r="R1200" s="5"/>
      <c r="W1200" s="5"/>
      <c r="AB1200" s="5"/>
      <c r="AG1200" s="5"/>
    </row>
    <row r="1201" customFormat="false" ht="12.75" hidden="false" customHeight="true" outlineLevel="0" collapsed="false">
      <c r="M1201" s="5"/>
      <c r="R1201" s="5"/>
      <c r="W1201" s="5"/>
      <c r="AB1201" s="5"/>
      <c r="AG1201" s="5"/>
    </row>
    <row r="1202" customFormat="false" ht="12.75" hidden="false" customHeight="true" outlineLevel="0" collapsed="false">
      <c r="M1202" s="5"/>
      <c r="R1202" s="5"/>
      <c r="W1202" s="5"/>
      <c r="AB1202" s="5"/>
      <c r="AG1202" s="5"/>
    </row>
    <row r="1203" customFormat="false" ht="12.75" hidden="false" customHeight="true" outlineLevel="0" collapsed="false">
      <c r="M1203" s="5"/>
      <c r="R1203" s="5"/>
      <c r="W1203" s="5"/>
      <c r="AB1203" s="5"/>
      <c r="AG1203" s="5"/>
    </row>
    <row r="1204" customFormat="false" ht="12.75" hidden="false" customHeight="true" outlineLevel="0" collapsed="false">
      <c r="M1204" s="5"/>
      <c r="R1204" s="5"/>
      <c r="W1204" s="5"/>
      <c r="AB1204" s="5"/>
      <c r="AG1204" s="5"/>
    </row>
    <row r="1205" customFormat="false" ht="12.75" hidden="false" customHeight="true" outlineLevel="0" collapsed="false">
      <c r="M1205" s="5"/>
      <c r="R1205" s="5"/>
      <c r="W1205" s="5"/>
      <c r="AB1205" s="5"/>
      <c r="AG1205" s="5"/>
    </row>
    <row r="1206" customFormat="false" ht="12.75" hidden="false" customHeight="true" outlineLevel="0" collapsed="false">
      <c r="M1206" s="5"/>
      <c r="R1206" s="5"/>
      <c r="W1206" s="5"/>
      <c r="AB1206" s="5"/>
      <c r="AG1206" s="5"/>
    </row>
    <row r="1207" customFormat="false" ht="12.75" hidden="false" customHeight="true" outlineLevel="0" collapsed="false">
      <c r="M1207" s="5"/>
      <c r="R1207" s="5"/>
      <c r="W1207" s="5"/>
      <c r="AB1207" s="5"/>
      <c r="AG1207" s="5"/>
    </row>
    <row r="1208" customFormat="false" ht="12.75" hidden="false" customHeight="true" outlineLevel="0" collapsed="false">
      <c r="M1208" s="5"/>
      <c r="R1208" s="5"/>
      <c r="W1208" s="5"/>
      <c r="AB1208" s="5"/>
      <c r="AG1208" s="5"/>
    </row>
    <row r="1209" customFormat="false" ht="12.75" hidden="false" customHeight="true" outlineLevel="0" collapsed="false">
      <c r="M1209" s="5"/>
      <c r="R1209" s="5"/>
      <c r="W1209" s="5"/>
      <c r="AB1209" s="5"/>
      <c r="AG1209" s="5"/>
    </row>
    <row r="1210" customFormat="false" ht="12.75" hidden="false" customHeight="true" outlineLevel="0" collapsed="false">
      <c r="M1210" s="5"/>
      <c r="R1210" s="5"/>
      <c r="W1210" s="5"/>
      <c r="AB1210" s="5"/>
      <c r="AG1210" s="5"/>
    </row>
    <row r="1211" customFormat="false" ht="12.75" hidden="false" customHeight="true" outlineLevel="0" collapsed="false">
      <c r="M1211" s="5"/>
      <c r="R1211" s="5"/>
      <c r="W1211" s="5"/>
      <c r="AB1211" s="5"/>
      <c r="AG1211" s="5"/>
    </row>
    <row r="1212" customFormat="false" ht="12.75" hidden="false" customHeight="true" outlineLevel="0" collapsed="false">
      <c r="M1212" s="5"/>
      <c r="R1212" s="5"/>
      <c r="W1212" s="5"/>
      <c r="AB1212" s="5"/>
      <c r="AG1212" s="5"/>
    </row>
    <row r="1213" customFormat="false" ht="12.75" hidden="false" customHeight="true" outlineLevel="0" collapsed="false">
      <c r="M1213" s="5"/>
      <c r="R1213" s="5"/>
      <c r="W1213" s="5"/>
      <c r="AB1213" s="5"/>
      <c r="AG1213" s="5"/>
    </row>
    <row r="1214" customFormat="false" ht="12.75" hidden="false" customHeight="true" outlineLevel="0" collapsed="false">
      <c r="M1214" s="5"/>
      <c r="R1214" s="5"/>
      <c r="W1214" s="5"/>
      <c r="AB1214" s="5"/>
      <c r="AG1214" s="5"/>
    </row>
    <row r="1215" customFormat="false" ht="12.75" hidden="false" customHeight="true" outlineLevel="0" collapsed="false">
      <c r="M1215" s="5"/>
      <c r="R1215" s="5"/>
      <c r="W1215" s="5"/>
      <c r="AB1215" s="5"/>
      <c r="AG1215" s="5"/>
    </row>
    <row r="1216" customFormat="false" ht="12.75" hidden="false" customHeight="true" outlineLevel="0" collapsed="false">
      <c r="M1216" s="5"/>
      <c r="R1216" s="5"/>
      <c r="W1216" s="5"/>
      <c r="AB1216" s="5"/>
      <c r="AG1216" s="5"/>
    </row>
    <row r="1217" customFormat="false" ht="12.75" hidden="false" customHeight="true" outlineLevel="0" collapsed="false">
      <c r="M1217" s="5"/>
      <c r="R1217" s="5"/>
      <c r="W1217" s="5"/>
      <c r="AB1217" s="5"/>
      <c r="AG1217" s="5"/>
    </row>
    <row r="1218" customFormat="false" ht="12.75" hidden="false" customHeight="true" outlineLevel="0" collapsed="false">
      <c r="M1218" s="5"/>
      <c r="R1218" s="5"/>
      <c r="W1218" s="5"/>
      <c r="AB1218" s="5"/>
      <c r="AG1218" s="5"/>
    </row>
    <row r="1219" customFormat="false" ht="12.75" hidden="false" customHeight="true" outlineLevel="0" collapsed="false">
      <c r="M1219" s="5"/>
      <c r="R1219" s="5"/>
      <c r="W1219" s="5"/>
      <c r="AB1219" s="5"/>
      <c r="AG1219" s="5"/>
    </row>
    <row r="1220" customFormat="false" ht="12.75" hidden="false" customHeight="true" outlineLevel="0" collapsed="false">
      <c r="M1220" s="5"/>
      <c r="R1220" s="5"/>
      <c r="W1220" s="5"/>
      <c r="AB1220" s="5"/>
      <c r="AG1220" s="5"/>
    </row>
    <row r="1221" customFormat="false" ht="12.75" hidden="false" customHeight="true" outlineLevel="0" collapsed="false">
      <c r="M1221" s="5"/>
      <c r="R1221" s="5"/>
      <c r="W1221" s="5"/>
      <c r="AB1221" s="5"/>
      <c r="AG1221" s="5"/>
    </row>
    <row r="1222" customFormat="false" ht="12.75" hidden="false" customHeight="true" outlineLevel="0" collapsed="false">
      <c r="M1222" s="5"/>
      <c r="R1222" s="5"/>
      <c r="W1222" s="5"/>
      <c r="AB1222" s="5"/>
      <c r="AG1222" s="5"/>
    </row>
    <row r="1223" customFormat="false" ht="12.75" hidden="false" customHeight="true" outlineLevel="0" collapsed="false">
      <c r="M1223" s="5"/>
      <c r="R1223" s="5"/>
      <c r="W1223" s="5"/>
      <c r="AB1223" s="5"/>
      <c r="AG1223" s="5"/>
    </row>
    <row r="1224" customFormat="false" ht="12.75" hidden="false" customHeight="true" outlineLevel="0" collapsed="false">
      <c r="M1224" s="5"/>
      <c r="R1224" s="5"/>
      <c r="W1224" s="5"/>
      <c r="AB1224" s="5"/>
      <c r="AG1224" s="5"/>
    </row>
    <row r="1225" customFormat="false" ht="12.75" hidden="false" customHeight="true" outlineLevel="0" collapsed="false">
      <c r="M1225" s="5"/>
      <c r="R1225" s="5"/>
      <c r="W1225" s="5"/>
      <c r="AB1225" s="5"/>
      <c r="AG1225" s="5"/>
    </row>
    <row r="1226" customFormat="false" ht="12.75" hidden="false" customHeight="true" outlineLevel="0" collapsed="false">
      <c r="M1226" s="5"/>
      <c r="R1226" s="5"/>
      <c r="W1226" s="5"/>
      <c r="AB1226" s="5"/>
      <c r="AG1226" s="5"/>
    </row>
    <row r="1227" customFormat="false" ht="12.75" hidden="false" customHeight="true" outlineLevel="0" collapsed="false">
      <c r="M1227" s="5"/>
      <c r="R1227" s="5"/>
      <c r="W1227" s="5"/>
      <c r="AB1227" s="5"/>
      <c r="AG1227" s="5"/>
    </row>
    <row r="1228" customFormat="false" ht="12.75" hidden="false" customHeight="true" outlineLevel="0" collapsed="false">
      <c r="M1228" s="5"/>
      <c r="R1228" s="5"/>
      <c r="W1228" s="5"/>
      <c r="AB1228" s="5"/>
      <c r="AG1228" s="5"/>
    </row>
    <row r="1229" customFormat="false" ht="12.75" hidden="false" customHeight="true" outlineLevel="0" collapsed="false">
      <c r="M1229" s="5"/>
      <c r="R1229" s="5"/>
      <c r="W1229" s="5"/>
      <c r="AB1229" s="5"/>
      <c r="AG1229" s="5"/>
    </row>
    <row r="1230" customFormat="false" ht="12.75" hidden="false" customHeight="true" outlineLevel="0" collapsed="false">
      <c r="M1230" s="5"/>
      <c r="R1230" s="5"/>
      <c r="W1230" s="5"/>
      <c r="AB1230" s="5"/>
      <c r="AG1230" s="5"/>
    </row>
    <row r="1231" customFormat="false" ht="12.75" hidden="false" customHeight="true" outlineLevel="0" collapsed="false">
      <c r="M1231" s="5"/>
      <c r="R1231" s="5"/>
      <c r="W1231" s="5"/>
      <c r="AB1231" s="5"/>
      <c r="AG1231" s="5"/>
    </row>
    <row r="1232" customFormat="false" ht="12.75" hidden="false" customHeight="true" outlineLevel="0" collapsed="false">
      <c r="M1232" s="5"/>
      <c r="R1232" s="5"/>
      <c r="W1232" s="5"/>
      <c r="AB1232" s="5"/>
      <c r="AG1232" s="5"/>
    </row>
    <row r="1233" customFormat="false" ht="12.75" hidden="false" customHeight="true" outlineLevel="0" collapsed="false">
      <c r="M1233" s="5"/>
      <c r="R1233" s="5"/>
      <c r="W1233" s="5"/>
      <c r="AB1233" s="5"/>
      <c r="AG1233" s="5"/>
    </row>
    <row r="1234" customFormat="false" ht="12.75" hidden="false" customHeight="true" outlineLevel="0" collapsed="false">
      <c r="M1234" s="5"/>
      <c r="R1234" s="5"/>
      <c r="W1234" s="5"/>
      <c r="AB1234" s="5"/>
      <c r="AG1234" s="5"/>
    </row>
    <row r="1235" customFormat="false" ht="12.75" hidden="false" customHeight="true" outlineLevel="0" collapsed="false">
      <c r="M1235" s="5"/>
      <c r="R1235" s="5"/>
      <c r="W1235" s="5"/>
      <c r="AB1235" s="5"/>
      <c r="AG1235" s="5"/>
    </row>
    <row r="1236" customFormat="false" ht="12.75" hidden="false" customHeight="true" outlineLevel="0" collapsed="false">
      <c r="M1236" s="5"/>
      <c r="R1236" s="5"/>
      <c r="W1236" s="5"/>
      <c r="AB1236" s="5"/>
      <c r="AG1236" s="5"/>
    </row>
    <row r="1237" customFormat="false" ht="12.75" hidden="false" customHeight="true" outlineLevel="0" collapsed="false">
      <c r="M1237" s="5"/>
      <c r="R1237" s="5"/>
      <c r="W1237" s="5"/>
      <c r="AB1237" s="5"/>
      <c r="AG1237" s="5"/>
    </row>
    <row r="1238" customFormat="false" ht="12.75" hidden="false" customHeight="true" outlineLevel="0" collapsed="false">
      <c r="M1238" s="5"/>
      <c r="R1238" s="5"/>
      <c r="W1238" s="5"/>
      <c r="AB1238" s="5"/>
      <c r="AG1238" s="5"/>
    </row>
    <row r="1239" customFormat="false" ht="12.75" hidden="false" customHeight="true" outlineLevel="0" collapsed="false">
      <c r="M1239" s="5"/>
      <c r="R1239" s="5"/>
      <c r="W1239" s="5"/>
      <c r="AB1239" s="5"/>
      <c r="AG1239" s="5"/>
    </row>
    <row r="1240" customFormat="false" ht="12.75" hidden="false" customHeight="true" outlineLevel="0" collapsed="false">
      <c r="M1240" s="5"/>
      <c r="R1240" s="5"/>
      <c r="W1240" s="5"/>
      <c r="AB1240" s="5"/>
      <c r="AG1240" s="5"/>
    </row>
    <row r="1241" customFormat="false" ht="12.75" hidden="false" customHeight="true" outlineLevel="0" collapsed="false">
      <c r="M1241" s="5"/>
      <c r="R1241" s="5"/>
      <c r="W1241" s="5"/>
      <c r="AB1241" s="5"/>
      <c r="AG1241" s="5"/>
    </row>
    <row r="1242" customFormat="false" ht="12.75" hidden="false" customHeight="true" outlineLevel="0" collapsed="false">
      <c r="M1242" s="5"/>
      <c r="R1242" s="5"/>
      <c r="W1242" s="5"/>
      <c r="AB1242" s="5"/>
      <c r="AG1242" s="5"/>
    </row>
    <row r="1243" customFormat="false" ht="12.75" hidden="false" customHeight="true" outlineLevel="0" collapsed="false">
      <c r="M1243" s="5"/>
      <c r="R1243" s="5"/>
      <c r="W1243" s="5"/>
      <c r="AB1243" s="5"/>
      <c r="AG1243" s="5"/>
    </row>
    <row r="1244" customFormat="false" ht="12.75" hidden="false" customHeight="true" outlineLevel="0" collapsed="false">
      <c r="M1244" s="5"/>
      <c r="R1244" s="5"/>
      <c r="W1244" s="5"/>
      <c r="AB1244" s="5"/>
      <c r="AG1244" s="5"/>
    </row>
    <row r="1245" customFormat="false" ht="12.75" hidden="false" customHeight="true" outlineLevel="0" collapsed="false">
      <c r="M1245" s="5"/>
      <c r="R1245" s="5"/>
      <c r="W1245" s="5"/>
      <c r="AB1245" s="5"/>
      <c r="AG1245" s="5"/>
    </row>
    <row r="1246" customFormat="false" ht="12.75" hidden="false" customHeight="true" outlineLevel="0" collapsed="false">
      <c r="M1246" s="5"/>
      <c r="R1246" s="5"/>
      <c r="W1246" s="5"/>
      <c r="AB1246" s="5"/>
      <c r="AG1246" s="5"/>
    </row>
    <row r="1247" customFormat="false" ht="12.75" hidden="false" customHeight="true" outlineLevel="0" collapsed="false">
      <c r="M1247" s="5"/>
      <c r="R1247" s="5"/>
      <c r="W1247" s="5"/>
      <c r="AB1247" s="5"/>
      <c r="AG1247" s="5"/>
    </row>
    <row r="1248" customFormat="false" ht="12.75" hidden="false" customHeight="true" outlineLevel="0" collapsed="false">
      <c r="M1248" s="5"/>
      <c r="R1248" s="5"/>
      <c r="W1248" s="5"/>
      <c r="AB1248" s="5"/>
      <c r="AG1248" s="5"/>
    </row>
    <row r="1249" customFormat="false" ht="12.75" hidden="false" customHeight="true" outlineLevel="0" collapsed="false">
      <c r="M1249" s="5"/>
      <c r="R1249" s="5"/>
      <c r="W1249" s="5"/>
      <c r="AB1249" s="5"/>
      <c r="AG1249" s="5"/>
    </row>
    <row r="1250" customFormat="false" ht="12.75" hidden="false" customHeight="true" outlineLevel="0" collapsed="false">
      <c r="M1250" s="5"/>
      <c r="R1250" s="5"/>
      <c r="W1250" s="5"/>
      <c r="AB1250" s="5"/>
      <c r="AG1250" s="5"/>
    </row>
    <row r="1251" customFormat="false" ht="12.75" hidden="false" customHeight="true" outlineLevel="0" collapsed="false">
      <c r="M1251" s="5"/>
      <c r="R1251" s="5"/>
      <c r="W1251" s="5"/>
      <c r="AB1251" s="5"/>
      <c r="AG1251" s="5"/>
    </row>
    <row r="1252" customFormat="false" ht="12.75" hidden="false" customHeight="true" outlineLevel="0" collapsed="false">
      <c r="M1252" s="5"/>
      <c r="R1252" s="5"/>
      <c r="W1252" s="5"/>
      <c r="AB1252" s="5"/>
      <c r="AG1252" s="5"/>
    </row>
    <row r="1253" customFormat="false" ht="12.75" hidden="false" customHeight="true" outlineLevel="0" collapsed="false">
      <c r="M1253" s="5"/>
      <c r="R1253" s="5"/>
      <c r="W1253" s="5"/>
      <c r="AB1253" s="5"/>
      <c r="AG1253" s="5"/>
    </row>
    <row r="1254" customFormat="false" ht="12.75" hidden="false" customHeight="true" outlineLevel="0" collapsed="false">
      <c r="M1254" s="5"/>
      <c r="R1254" s="5"/>
      <c r="W1254" s="5"/>
      <c r="AB1254" s="5"/>
      <c r="AG1254" s="5"/>
    </row>
    <row r="1255" customFormat="false" ht="12.75" hidden="false" customHeight="true" outlineLevel="0" collapsed="false">
      <c r="M1255" s="5"/>
      <c r="R1255" s="5"/>
      <c r="W1255" s="5"/>
      <c r="AB1255" s="5"/>
      <c r="AG1255" s="5"/>
    </row>
    <row r="1256" customFormat="false" ht="12.75" hidden="false" customHeight="true" outlineLevel="0" collapsed="false">
      <c r="M1256" s="5"/>
      <c r="R1256" s="5"/>
      <c r="W1256" s="5"/>
      <c r="AB1256" s="5"/>
      <c r="AG1256" s="5"/>
    </row>
    <row r="1257" customFormat="false" ht="12.75" hidden="false" customHeight="true" outlineLevel="0" collapsed="false">
      <c r="M1257" s="5"/>
      <c r="R1257" s="5"/>
      <c r="W1257" s="5"/>
      <c r="AB1257" s="5"/>
      <c r="AG1257" s="5"/>
    </row>
    <row r="1258" customFormat="false" ht="12.75" hidden="false" customHeight="true" outlineLevel="0" collapsed="false">
      <c r="M1258" s="5"/>
      <c r="R1258" s="5"/>
      <c r="W1258" s="5"/>
      <c r="AB1258" s="5"/>
      <c r="AG1258" s="5"/>
    </row>
    <row r="1259" customFormat="false" ht="12.75" hidden="false" customHeight="true" outlineLevel="0" collapsed="false">
      <c r="M1259" s="5"/>
      <c r="R1259" s="5"/>
      <c r="W1259" s="5"/>
      <c r="AB1259" s="5"/>
      <c r="AG1259" s="5"/>
    </row>
    <row r="1260" customFormat="false" ht="12.75" hidden="false" customHeight="true" outlineLevel="0" collapsed="false">
      <c r="M1260" s="5"/>
      <c r="R1260" s="5"/>
      <c r="W1260" s="5"/>
      <c r="AB1260" s="5"/>
      <c r="AG1260" s="5"/>
    </row>
    <row r="1261" customFormat="false" ht="12.75" hidden="false" customHeight="true" outlineLevel="0" collapsed="false">
      <c r="M1261" s="5"/>
      <c r="R1261" s="5"/>
      <c r="W1261" s="5"/>
      <c r="AB1261" s="5"/>
      <c r="AG1261" s="5"/>
    </row>
    <row r="1262" customFormat="false" ht="12.75" hidden="false" customHeight="true" outlineLevel="0" collapsed="false">
      <c r="M1262" s="5"/>
      <c r="R1262" s="5"/>
      <c r="W1262" s="5"/>
      <c r="AB1262" s="5"/>
      <c r="AG1262" s="5"/>
    </row>
    <row r="1263" customFormat="false" ht="12.75" hidden="false" customHeight="true" outlineLevel="0" collapsed="false">
      <c r="M1263" s="5"/>
      <c r="R1263" s="5"/>
      <c r="W1263" s="5"/>
      <c r="AB1263" s="5"/>
      <c r="AG1263" s="5"/>
    </row>
    <row r="1264" customFormat="false" ht="12.75" hidden="false" customHeight="true" outlineLevel="0" collapsed="false">
      <c r="M1264" s="5"/>
      <c r="R1264" s="5"/>
      <c r="W1264" s="5"/>
      <c r="AB1264" s="5"/>
      <c r="AG1264" s="5"/>
    </row>
    <row r="1265" customFormat="false" ht="12.75" hidden="false" customHeight="true" outlineLevel="0" collapsed="false">
      <c r="M1265" s="5"/>
      <c r="R1265" s="5"/>
      <c r="W1265" s="5"/>
      <c r="AB1265" s="5"/>
      <c r="AG1265" s="5"/>
    </row>
    <row r="1266" customFormat="false" ht="12.75" hidden="false" customHeight="true" outlineLevel="0" collapsed="false">
      <c r="M1266" s="5"/>
      <c r="R1266" s="5"/>
      <c r="W1266" s="5"/>
      <c r="AB1266" s="5"/>
      <c r="AG1266" s="5"/>
    </row>
    <row r="1267" customFormat="false" ht="12.75" hidden="false" customHeight="true" outlineLevel="0" collapsed="false">
      <c r="M1267" s="5"/>
      <c r="R1267" s="5"/>
      <c r="W1267" s="5"/>
      <c r="AB1267" s="5"/>
      <c r="AG1267" s="5"/>
    </row>
    <row r="1268" customFormat="false" ht="12.75" hidden="false" customHeight="true" outlineLevel="0" collapsed="false">
      <c r="M1268" s="5"/>
      <c r="R1268" s="5"/>
      <c r="W1268" s="5"/>
      <c r="AB1268" s="5"/>
      <c r="AG1268" s="5"/>
    </row>
    <row r="1269" customFormat="false" ht="12.75" hidden="false" customHeight="true" outlineLevel="0" collapsed="false">
      <c r="M1269" s="5"/>
      <c r="R1269" s="5"/>
      <c r="W1269" s="5"/>
      <c r="AB1269" s="5"/>
      <c r="AG1269" s="5"/>
    </row>
    <row r="1270" customFormat="false" ht="12.75" hidden="false" customHeight="true" outlineLevel="0" collapsed="false">
      <c r="M1270" s="5"/>
      <c r="R1270" s="5"/>
      <c r="W1270" s="5"/>
      <c r="AB1270" s="5"/>
      <c r="AG1270" s="5"/>
    </row>
    <row r="1271" customFormat="false" ht="12.75" hidden="false" customHeight="true" outlineLevel="0" collapsed="false">
      <c r="M1271" s="5"/>
      <c r="R1271" s="5"/>
      <c r="W1271" s="5"/>
      <c r="AB1271" s="5"/>
      <c r="AG1271" s="5"/>
    </row>
    <row r="1272" customFormat="false" ht="12.75" hidden="false" customHeight="true" outlineLevel="0" collapsed="false">
      <c r="M1272" s="5"/>
      <c r="R1272" s="5"/>
      <c r="W1272" s="5"/>
      <c r="AB1272" s="5"/>
      <c r="AG1272" s="5"/>
    </row>
    <row r="1273" customFormat="false" ht="12.75" hidden="false" customHeight="true" outlineLevel="0" collapsed="false">
      <c r="M1273" s="5"/>
      <c r="R1273" s="5"/>
      <c r="W1273" s="5"/>
      <c r="AB1273" s="5"/>
      <c r="AG1273" s="5"/>
    </row>
    <row r="1274" customFormat="false" ht="12.75" hidden="false" customHeight="true" outlineLevel="0" collapsed="false">
      <c r="M1274" s="5"/>
      <c r="R1274" s="5"/>
      <c r="W1274" s="5"/>
      <c r="AB1274" s="5"/>
      <c r="AG1274" s="5"/>
    </row>
    <row r="1275" customFormat="false" ht="12.75" hidden="false" customHeight="true" outlineLevel="0" collapsed="false">
      <c r="M1275" s="5"/>
      <c r="R1275" s="5"/>
      <c r="W1275" s="5"/>
      <c r="AB1275" s="5"/>
      <c r="AG1275" s="5"/>
    </row>
    <row r="1276" customFormat="false" ht="12.75" hidden="false" customHeight="true" outlineLevel="0" collapsed="false">
      <c r="M1276" s="5"/>
      <c r="R1276" s="5"/>
      <c r="W1276" s="5"/>
      <c r="AB1276" s="5"/>
      <c r="AG1276" s="5"/>
    </row>
    <row r="1277" customFormat="false" ht="12.75" hidden="false" customHeight="true" outlineLevel="0" collapsed="false">
      <c r="M1277" s="5"/>
      <c r="R1277" s="5"/>
      <c r="W1277" s="5"/>
      <c r="AB1277" s="5"/>
      <c r="AG1277" s="5"/>
    </row>
    <row r="1278" customFormat="false" ht="12.75" hidden="false" customHeight="true" outlineLevel="0" collapsed="false">
      <c r="M1278" s="5"/>
      <c r="R1278" s="5"/>
      <c r="W1278" s="5"/>
      <c r="AB1278" s="5"/>
      <c r="AG1278" s="5"/>
    </row>
    <row r="1279" customFormat="false" ht="12.75" hidden="false" customHeight="true" outlineLevel="0" collapsed="false">
      <c r="M1279" s="5"/>
      <c r="R1279" s="5"/>
      <c r="W1279" s="5"/>
      <c r="AB1279" s="5"/>
      <c r="AG1279" s="5"/>
    </row>
    <row r="1280" customFormat="false" ht="12.75" hidden="false" customHeight="true" outlineLevel="0" collapsed="false">
      <c r="M1280" s="5"/>
      <c r="R1280" s="5"/>
      <c r="W1280" s="5"/>
      <c r="AB1280" s="5"/>
      <c r="AG1280" s="5"/>
    </row>
    <row r="1281" customFormat="false" ht="12.75" hidden="false" customHeight="true" outlineLevel="0" collapsed="false">
      <c r="M1281" s="5"/>
      <c r="R1281" s="5"/>
      <c r="W1281" s="5"/>
      <c r="AB1281" s="5"/>
      <c r="AG1281" s="5"/>
    </row>
    <row r="1282" customFormat="false" ht="12.75" hidden="false" customHeight="true" outlineLevel="0" collapsed="false">
      <c r="M1282" s="5"/>
      <c r="R1282" s="5"/>
      <c r="W1282" s="5"/>
      <c r="AB1282" s="5"/>
      <c r="AG1282" s="5"/>
    </row>
    <row r="1283" customFormat="false" ht="12.75" hidden="false" customHeight="true" outlineLevel="0" collapsed="false">
      <c r="M1283" s="5"/>
      <c r="R1283" s="5"/>
      <c r="W1283" s="5"/>
      <c r="AB1283" s="5"/>
      <c r="AG1283" s="5"/>
    </row>
    <row r="1284" customFormat="false" ht="12.75" hidden="false" customHeight="true" outlineLevel="0" collapsed="false">
      <c r="M1284" s="5"/>
      <c r="R1284" s="5"/>
      <c r="W1284" s="5"/>
      <c r="AB1284" s="5"/>
      <c r="AG1284" s="5"/>
    </row>
    <row r="1285" customFormat="false" ht="12.75" hidden="false" customHeight="true" outlineLevel="0" collapsed="false">
      <c r="M1285" s="5"/>
      <c r="R1285" s="5"/>
      <c r="W1285" s="5"/>
      <c r="AB1285" s="5"/>
      <c r="AG1285" s="5"/>
    </row>
    <row r="1286" customFormat="false" ht="12.75" hidden="false" customHeight="true" outlineLevel="0" collapsed="false">
      <c r="M1286" s="5"/>
      <c r="R1286" s="5"/>
      <c r="W1286" s="5"/>
      <c r="AB1286" s="5"/>
      <c r="AG1286" s="5"/>
    </row>
    <row r="1287" customFormat="false" ht="12.75" hidden="false" customHeight="true" outlineLevel="0" collapsed="false">
      <c r="M1287" s="5"/>
      <c r="R1287" s="5"/>
      <c r="W1287" s="5"/>
      <c r="AB1287" s="5"/>
      <c r="AG1287" s="5"/>
    </row>
    <row r="1288" customFormat="false" ht="12.75" hidden="false" customHeight="true" outlineLevel="0" collapsed="false">
      <c r="M1288" s="5"/>
      <c r="R1288" s="5"/>
      <c r="W1288" s="5"/>
      <c r="AB1288" s="5"/>
      <c r="AG1288" s="5"/>
    </row>
    <row r="1289" customFormat="false" ht="12.75" hidden="false" customHeight="true" outlineLevel="0" collapsed="false">
      <c r="M1289" s="5"/>
      <c r="R1289" s="5"/>
      <c r="W1289" s="5"/>
      <c r="AB1289" s="5"/>
      <c r="AG1289" s="5"/>
    </row>
    <row r="1290" customFormat="false" ht="12.75" hidden="false" customHeight="true" outlineLevel="0" collapsed="false">
      <c r="M1290" s="5"/>
      <c r="R1290" s="5"/>
      <c r="W1290" s="5"/>
      <c r="AB1290" s="5"/>
      <c r="AG1290" s="5"/>
    </row>
    <row r="1291" customFormat="false" ht="12.75" hidden="false" customHeight="true" outlineLevel="0" collapsed="false">
      <c r="M1291" s="5"/>
      <c r="R1291" s="5"/>
      <c r="W1291" s="5"/>
      <c r="AB1291" s="5"/>
      <c r="AG1291" s="5"/>
    </row>
    <row r="1292" customFormat="false" ht="12.75" hidden="false" customHeight="true" outlineLevel="0" collapsed="false">
      <c r="M1292" s="5"/>
      <c r="R1292" s="5"/>
      <c r="W1292" s="5"/>
      <c r="AB1292" s="5"/>
      <c r="AG1292" s="5"/>
    </row>
    <row r="1293" customFormat="false" ht="12.75" hidden="false" customHeight="true" outlineLevel="0" collapsed="false">
      <c r="M1293" s="5"/>
      <c r="R1293" s="5"/>
      <c r="W1293" s="5"/>
      <c r="AB1293" s="5"/>
      <c r="AG1293" s="5"/>
    </row>
    <row r="1294" customFormat="false" ht="12.75" hidden="false" customHeight="true" outlineLevel="0" collapsed="false">
      <c r="M1294" s="5"/>
      <c r="R1294" s="5"/>
      <c r="W1294" s="5"/>
      <c r="AB1294" s="5"/>
      <c r="AG1294" s="5"/>
    </row>
    <row r="1295" customFormat="false" ht="12.75" hidden="false" customHeight="true" outlineLevel="0" collapsed="false">
      <c r="M1295" s="5"/>
      <c r="R1295" s="5"/>
      <c r="W1295" s="5"/>
      <c r="AB1295" s="5"/>
      <c r="AG1295" s="5"/>
    </row>
    <row r="1296" customFormat="false" ht="12.75" hidden="false" customHeight="true" outlineLevel="0" collapsed="false">
      <c r="M1296" s="5"/>
      <c r="R1296" s="5"/>
      <c r="W1296" s="5"/>
      <c r="AB1296" s="5"/>
      <c r="AG1296" s="5"/>
    </row>
    <row r="1297" customFormat="false" ht="12.75" hidden="false" customHeight="true" outlineLevel="0" collapsed="false">
      <c r="M1297" s="5"/>
      <c r="R1297" s="5"/>
      <c r="W1297" s="5"/>
      <c r="AB1297" s="5"/>
      <c r="AG1297" s="5"/>
    </row>
    <row r="1298" customFormat="false" ht="12.75" hidden="false" customHeight="true" outlineLevel="0" collapsed="false">
      <c r="M1298" s="5"/>
      <c r="R1298" s="5"/>
      <c r="W1298" s="5"/>
      <c r="AB1298" s="5"/>
      <c r="AG1298" s="5"/>
    </row>
    <row r="1299" customFormat="false" ht="12.75" hidden="false" customHeight="true" outlineLevel="0" collapsed="false">
      <c r="M1299" s="5"/>
      <c r="R1299" s="5"/>
      <c r="W1299" s="5"/>
      <c r="AB1299" s="5"/>
      <c r="AG1299" s="5"/>
    </row>
    <row r="1300" customFormat="false" ht="12.75" hidden="false" customHeight="true" outlineLevel="0" collapsed="false">
      <c r="M1300" s="5"/>
      <c r="R1300" s="5"/>
      <c r="W1300" s="5"/>
      <c r="AB1300" s="5"/>
      <c r="AG1300" s="5"/>
    </row>
    <row r="1301" customFormat="false" ht="12.75" hidden="false" customHeight="true" outlineLevel="0" collapsed="false">
      <c r="M1301" s="5"/>
      <c r="R1301" s="5"/>
      <c r="W1301" s="5"/>
      <c r="AB1301" s="5"/>
      <c r="AG1301" s="5"/>
    </row>
    <row r="1302" customFormat="false" ht="12.75" hidden="false" customHeight="true" outlineLevel="0" collapsed="false">
      <c r="M1302" s="5"/>
      <c r="R1302" s="5"/>
      <c r="W1302" s="5"/>
      <c r="AB1302" s="5"/>
      <c r="AG1302" s="5"/>
    </row>
    <row r="1303" customFormat="false" ht="12.75" hidden="false" customHeight="true" outlineLevel="0" collapsed="false">
      <c r="M1303" s="5"/>
      <c r="R1303" s="5"/>
      <c r="W1303" s="5"/>
      <c r="AB1303" s="5"/>
      <c r="AG1303" s="5"/>
    </row>
    <row r="1304" customFormat="false" ht="12.75" hidden="false" customHeight="true" outlineLevel="0" collapsed="false">
      <c r="M1304" s="5"/>
      <c r="R1304" s="5"/>
      <c r="W1304" s="5"/>
      <c r="AB1304" s="5"/>
      <c r="AG1304" s="5"/>
    </row>
    <row r="1305" customFormat="false" ht="12.75" hidden="false" customHeight="true" outlineLevel="0" collapsed="false">
      <c r="M1305" s="5"/>
      <c r="R1305" s="5"/>
      <c r="W1305" s="5"/>
      <c r="AB1305" s="5"/>
      <c r="AG1305" s="5"/>
    </row>
    <row r="1306" customFormat="false" ht="12.75" hidden="false" customHeight="true" outlineLevel="0" collapsed="false">
      <c r="M1306" s="5"/>
      <c r="R1306" s="5"/>
      <c r="W1306" s="5"/>
      <c r="AB1306" s="5"/>
      <c r="AG1306" s="5"/>
    </row>
    <row r="1307" customFormat="false" ht="12.75" hidden="false" customHeight="true" outlineLevel="0" collapsed="false">
      <c r="M1307" s="5"/>
      <c r="R1307" s="5"/>
      <c r="W1307" s="5"/>
      <c r="AB1307" s="5"/>
      <c r="AG1307" s="5"/>
    </row>
    <row r="1308" customFormat="false" ht="12.75" hidden="false" customHeight="true" outlineLevel="0" collapsed="false">
      <c r="M1308" s="5"/>
      <c r="R1308" s="5"/>
      <c r="W1308" s="5"/>
      <c r="AB1308" s="5"/>
      <c r="AG1308" s="5"/>
    </row>
    <row r="1309" customFormat="false" ht="12.75" hidden="false" customHeight="true" outlineLevel="0" collapsed="false">
      <c r="M1309" s="5"/>
      <c r="R1309" s="5"/>
      <c r="W1309" s="5"/>
      <c r="AB1309" s="5"/>
      <c r="AG1309" s="5"/>
    </row>
    <row r="1310" customFormat="false" ht="12.75" hidden="false" customHeight="true" outlineLevel="0" collapsed="false">
      <c r="M1310" s="5"/>
      <c r="R1310" s="5"/>
      <c r="W1310" s="5"/>
      <c r="AB1310" s="5"/>
      <c r="AG1310" s="5"/>
    </row>
    <row r="1311" customFormat="false" ht="12.75" hidden="false" customHeight="true" outlineLevel="0" collapsed="false">
      <c r="M1311" s="5"/>
      <c r="R1311" s="5"/>
      <c r="W1311" s="5"/>
      <c r="AB1311" s="5"/>
      <c r="AG1311" s="5"/>
    </row>
    <row r="1312" customFormat="false" ht="12.75" hidden="false" customHeight="true" outlineLevel="0" collapsed="false">
      <c r="M1312" s="5"/>
      <c r="R1312" s="5"/>
      <c r="W1312" s="5"/>
      <c r="AB1312" s="5"/>
      <c r="AG1312" s="5"/>
    </row>
    <row r="1313" customFormat="false" ht="12.75" hidden="false" customHeight="true" outlineLevel="0" collapsed="false">
      <c r="M1313" s="5"/>
      <c r="R1313" s="5"/>
      <c r="W1313" s="5"/>
      <c r="AB1313" s="5"/>
      <c r="AG1313" s="5"/>
    </row>
    <row r="1314" customFormat="false" ht="12.75" hidden="false" customHeight="true" outlineLevel="0" collapsed="false">
      <c r="M1314" s="5"/>
      <c r="R1314" s="5"/>
      <c r="W1314" s="5"/>
      <c r="AB1314" s="5"/>
      <c r="AG1314" s="5"/>
    </row>
    <row r="1315" customFormat="false" ht="12.75" hidden="false" customHeight="true" outlineLevel="0" collapsed="false">
      <c r="M1315" s="5"/>
      <c r="R1315" s="5"/>
      <c r="W1315" s="5"/>
      <c r="AB1315" s="5"/>
      <c r="AG1315" s="5"/>
    </row>
    <row r="1316" customFormat="false" ht="12.75" hidden="false" customHeight="true" outlineLevel="0" collapsed="false">
      <c r="M1316" s="5"/>
      <c r="R1316" s="5"/>
      <c r="W1316" s="5"/>
      <c r="AB1316" s="5"/>
      <c r="AG1316" s="5"/>
    </row>
    <row r="1317" customFormat="false" ht="12.75" hidden="false" customHeight="true" outlineLevel="0" collapsed="false">
      <c r="M1317" s="5"/>
      <c r="R1317" s="5"/>
      <c r="W1317" s="5"/>
      <c r="AB1317" s="5"/>
      <c r="AG1317" s="5"/>
    </row>
    <row r="1318" customFormat="false" ht="12.75" hidden="false" customHeight="true" outlineLevel="0" collapsed="false">
      <c r="M1318" s="5"/>
      <c r="R1318" s="5"/>
      <c r="W1318" s="5"/>
      <c r="AB1318" s="5"/>
      <c r="AG1318" s="5"/>
    </row>
    <row r="1319" customFormat="false" ht="12.75" hidden="false" customHeight="true" outlineLevel="0" collapsed="false">
      <c r="M1319" s="5"/>
      <c r="R1319" s="5"/>
      <c r="W1319" s="5"/>
      <c r="AB1319" s="5"/>
      <c r="AG1319" s="5"/>
    </row>
    <row r="1320" customFormat="false" ht="12.75" hidden="false" customHeight="true" outlineLevel="0" collapsed="false">
      <c r="M1320" s="5"/>
      <c r="R1320" s="5"/>
      <c r="W1320" s="5"/>
      <c r="AB1320" s="5"/>
      <c r="AG1320" s="5"/>
    </row>
    <row r="1321" customFormat="false" ht="12.75" hidden="false" customHeight="true" outlineLevel="0" collapsed="false">
      <c r="M1321" s="5"/>
      <c r="R1321" s="5"/>
      <c r="W1321" s="5"/>
      <c r="AB1321" s="5"/>
      <c r="AG1321" s="5"/>
    </row>
    <row r="1322" customFormat="false" ht="12.75" hidden="false" customHeight="true" outlineLevel="0" collapsed="false">
      <c r="M1322" s="5"/>
      <c r="R1322" s="5"/>
      <c r="W1322" s="5"/>
      <c r="AB1322" s="5"/>
      <c r="AG1322" s="5"/>
    </row>
    <row r="1323" customFormat="false" ht="12.75" hidden="false" customHeight="true" outlineLevel="0" collapsed="false">
      <c r="M1323" s="5"/>
      <c r="R1323" s="5"/>
      <c r="W1323" s="5"/>
      <c r="AB1323" s="5"/>
      <c r="AG1323" s="5"/>
    </row>
    <row r="1324" customFormat="false" ht="12.75" hidden="false" customHeight="true" outlineLevel="0" collapsed="false">
      <c r="M1324" s="5"/>
      <c r="R1324" s="5"/>
      <c r="W1324" s="5"/>
      <c r="AB1324" s="5"/>
      <c r="AG1324" s="5"/>
    </row>
    <row r="1325" customFormat="false" ht="12.75" hidden="false" customHeight="true" outlineLevel="0" collapsed="false">
      <c r="M1325" s="5"/>
      <c r="R1325" s="5"/>
      <c r="W1325" s="5"/>
      <c r="AB1325" s="5"/>
      <c r="AG1325" s="5"/>
    </row>
    <row r="1326" customFormat="false" ht="12.75" hidden="false" customHeight="true" outlineLevel="0" collapsed="false">
      <c r="M1326" s="5"/>
      <c r="R1326" s="5"/>
      <c r="W1326" s="5"/>
      <c r="AB1326" s="5"/>
      <c r="AG1326" s="5"/>
    </row>
    <row r="1327" customFormat="false" ht="12.75" hidden="false" customHeight="true" outlineLevel="0" collapsed="false">
      <c r="M1327" s="5"/>
      <c r="R1327" s="5"/>
      <c r="W1327" s="5"/>
      <c r="AB1327" s="5"/>
      <c r="AG1327" s="5"/>
    </row>
    <row r="1328" customFormat="false" ht="12.75" hidden="false" customHeight="true" outlineLevel="0" collapsed="false">
      <c r="M1328" s="5"/>
      <c r="R1328" s="5"/>
      <c r="W1328" s="5"/>
      <c r="AB1328" s="5"/>
      <c r="AG1328" s="5"/>
    </row>
    <row r="1329" customFormat="false" ht="12.75" hidden="false" customHeight="true" outlineLevel="0" collapsed="false">
      <c r="M1329" s="5"/>
      <c r="R1329" s="5"/>
      <c r="W1329" s="5"/>
      <c r="AB1329" s="5"/>
      <c r="AG1329" s="5"/>
    </row>
    <row r="1330" customFormat="false" ht="12.75" hidden="false" customHeight="true" outlineLevel="0" collapsed="false">
      <c r="M1330" s="5"/>
      <c r="R1330" s="5"/>
      <c r="W1330" s="5"/>
      <c r="AB1330" s="5"/>
      <c r="AG1330" s="5"/>
    </row>
    <row r="1331" customFormat="false" ht="12.75" hidden="false" customHeight="true" outlineLevel="0" collapsed="false">
      <c r="M1331" s="5"/>
      <c r="R1331" s="5"/>
      <c r="W1331" s="5"/>
      <c r="AB1331" s="5"/>
      <c r="AG1331" s="5"/>
    </row>
    <row r="1332" customFormat="false" ht="12.75" hidden="false" customHeight="true" outlineLevel="0" collapsed="false">
      <c r="M1332" s="5"/>
      <c r="R1332" s="5"/>
      <c r="W1332" s="5"/>
      <c r="AB1332" s="5"/>
      <c r="AG1332" s="5"/>
    </row>
    <row r="1333" customFormat="false" ht="12.75" hidden="false" customHeight="true" outlineLevel="0" collapsed="false">
      <c r="M1333" s="5"/>
      <c r="R1333" s="5"/>
      <c r="W1333" s="5"/>
      <c r="AB1333" s="5"/>
      <c r="AG1333" s="5"/>
    </row>
    <row r="1334" customFormat="false" ht="12.75" hidden="false" customHeight="true" outlineLevel="0" collapsed="false">
      <c r="M1334" s="5"/>
      <c r="R1334" s="5"/>
      <c r="W1334" s="5"/>
      <c r="AB1334" s="5"/>
      <c r="AG1334" s="5"/>
    </row>
    <row r="1335" customFormat="false" ht="12.75" hidden="false" customHeight="true" outlineLevel="0" collapsed="false">
      <c r="M1335" s="5"/>
      <c r="R1335" s="5"/>
      <c r="W1335" s="5"/>
      <c r="AB1335" s="5"/>
      <c r="AG1335" s="5"/>
    </row>
    <row r="1336" customFormat="false" ht="12.75" hidden="false" customHeight="true" outlineLevel="0" collapsed="false">
      <c r="M1336" s="5"/>
      <c r="R1336" s="5"/>
      <c r="W1336" s="5"/>
      <c r="AB1336" s="5"/>
      <c r="AG1336" s="5"/>
    </row>
    <row r="1337" customFormat="false" ht="12.75" hidden="false" customHeight="true" outlineLevel="0" collapsed="false">
      <c r="M1337" s="5"/>
      <c r="R1337" s="5"/>
      <c r="W1337" s="5"/>
      <c r="AB1337" s="5"/>
      <c r="AG1337" s="5"/>
    </row>
    <row r="1338" customFormat="false" ht="12.75" hidden="false" customHeight="true" outlineLevel="0" collapsed="false">
      <c r="M1338" s="5"/>
      <c r="R1338" s="5"/>
      <c r="W1338" s="5"/>
      <c r="AB1338" s="5"/>
      <c r="AG1338" s="5"/>
    </row>
    <row r="1339" customFormat="false" ht="12.75" hidden="false" customHeight="true" outlineLevel="0" collapsed="false">
      <c r="M1339" s="5"/>
      <c r="R1339" s="5"/>
      <c r="W1339" s="5"/>
      <c r="AB1339" s="5"/>
      <c r="AG1339" s="5"/>
    </row>
    <row r="1340" customFormat="false" ht="12.75" hidden="false" customHeight="true" outlineLevel="0" collapsed="false">
      <c r="M1340" s="5"/>
      <c r="R1340" s="5"/>
      <c r="W1340" s="5"/>
      <c r="AB1340" s="5"/>
      <c r="AG1340" s="5"/>
    </row>
    <row r="1341" customFormat="false" ht="12.75" hidden="false" customHeight="true" outlineLevel="0" collapsed="false">
      <c r="M1341" s="5"/>
      <c r="R1341" s="5"/>
      <c r="W1341" s="5"/>
      <c r="AB1341" s="5"/>
      <c r="AG1341" s="5"/>
    </row>
    <row r="1342" customFormat="false" ht="12.75" hidden="false" customHeight="true" outlineLevel="0" collapsed="false">
      <c r="M1342" s="5"/>
      <c r="R1342" s="5"/>
      <c r="W1342" s="5"/>
      <c r="AB1342" s="5"/>
      <c r="AG1342" s="5"/>
    </row>
    <row r="1343" customFormat="false" ht="12.75" hidden="false" customHeight="true" outlineLevel="0" collapsed="false">
      <c r="M1343" s="5"/>
      <c r="R1343" s="5"/>
      <c r="W1343" s="5"/>
      <c r="AB1343" s="5"/>
      <c r="AG1343" s="5"/>
    </row>
    <row r="1344" customFormat="false" ht="12.75" hidden="false" customHeight="true" outlineLevel="0" collapsed="false">
      <c r="M1344" s="5"/>
      <c r="R1344" s="5"/>
      <c r="W1344" s="5"/>
      <c r="AB1344" s="5"/>
      <c r="AG1344" s="5"/>
    </row>
    <row r="1345" customFormat="false" ht="12.75" hidden="false" customHeight="true" outlineLevel="0" collapsed="false">
      <c r="M1345" s="5"/>
      <c r="R1345" s="5"/>
      <c r="W1345" s="5"/>
      <c r="AB1345" s="5"/>
      <c r="AG1345" s="5"/>
    </row>
    <row r="1346" customFormat="false" ht="12.75" hidden="false" customHeight="true" outlineLevel="0" collapsed="false">
      <c r="M1346" s="5"/>
      <c r="R1346" s="5"/>
      <c r="W1346" s="5"/>
      <c r="AB1346" s="5"/>
      <c r="AG1346" s="5"/>
    </row>
    <row r="1347" customFormat="false" ht="12.75" hidden="false" customHeight="true" outlineLevel="0" collapsed="false">
      <c r="M1347" s="5"/>
      <c r="R1347" s="5"/>
      <c r="W1347" s="5"/>
      <c r="AB1347" s="5"/>
      <c r="AG1347" s="5"/>
    </row>
    <row r="1348" customFormat="false" ht="12.75" hidden="false" customHeight="true" outlineLevel="0" collapsed="false">
      <c r="M1348" s="5"/>
      <c r="R1348" s="5"/>
      <c r="W1348" s="5"/>
      <c r="AB1348" s="5"/>
      <c r="AG1348" s="5"/>
    </row>
    <row r="1349" customFormat="false" ht="12.75" hidden="false" customHeight="true" outlineLevel="0" collapsed="false">
      <c r="M1349" s="5"/>
      <c r="R1349" s="5"/>
      <c r="W1349" s="5"/>
      <c r="AB1349" s="5"/>
      <c r="AG1349" s="5"/>
    </row>
    <row r="1350" customFormat="false" ht="12.75" hidden="false" customHeight="true" outlineLevel="0" collapsed="false">
      <c r="M1350" s="5"/>
      <c r="R1350" s="5"/>
      <c r="W1350" s="5"/>
      <c r="AB1350" s="5"/>
      <c r="AG1350" s="5"/>
    </row>
    <row r="1351" customFormat="false" ht="12.75" hidden="false" customHeight="true" outlineLevel="0" collapsed="false">
      <c r="M1351" s="5"/>
      <c r="R1351" s="5"/>
      <c r="W1351" s="5"/>
      <c r="AB1351" s="5"/>
      <c r="AG1351" s="5"/>
    </row>
    <row r="1352" customFormat="false" ht="12.75" hidden="false" customHeight="true" outlineLevel="0" collapsed="false">
      <c r="M1352" s="5"/>
      <c r="R1352" s="5"/>
      <c r="W1352" s="5"/>
      <c r="AB1352" s="5"/>
      <c r="AG1352" s="5"/>
    </row>
    <row r="1353" customFormat="false" ht="12.75" hidden="false" customHeight="true" outlineLevel="0" collapsed="false">
      <c r="M1353" s="5"/>
      <c r="R1353" s="5"/>
      <c r="W1353" s="5"/>
      <c r="AB1353" s="5"/>
      <c r="AG1353" s="5"/>
    </row>
    <row r="1354" customFormat="false" ht="12.75" hidden="false" customHeight="true" outlineLevel="0" collapsed="false">
      <c r="M1354" s="5"/>
      <c r="R1354" s="5"/>
      <c r="W1354" s="5"/>
      <c r="AB1354" s="5"/>
      <c r="AG1354" s="5"/>
    </row>
    <row r="1355" customFormat="false" ht="12.75" hidden="false" customHeight="true" outlineLevel="0" collapsed="false">
      <c r="M1355" s="5"/>
      <c r="R1355" s="5"/>
      <c r="W1355" s="5"/>
      <c r="AB1355" s="5"/>
      <c r="AG1355" s="5"/>
    </row>
    <row r="1356" customFormat="false" ht="12.75" hidden="false" customHeight="true" outlineLevel="0" collapsed="false">
      <c r="M1356" s="5"/>
      <c r="R1356" s="5"/>
      <c r="W1356" s="5"/>
      <c r="AB1356" s="5"/>
      <c r="AG1356" s="5"/>
    </row>
    <row r="1357" customFormat="false" ht="12.75" hidden="false" customHeight="true" outlineLevel="0" collapsed="false">
      <c r="M1357" s="5"/>
      <c r="R1357" s="5"/>
      <c r="W1357" s="5"/>
      <c r="AB1357" s="5"/>
      <c r="AG1357" s="5"/>
    </row>
    <row r="1358" customFormat="false" ht="12.75" hidden="false" customHeight="true" outlineLevel="0" collapsed="false">
      <c r="M1358" s="5"/>
      <c r="R1358" s="5"/>
      <c r="W1358" s="5"/>
      <c r="AB1358" s="5"/>
      <c r="AG1358" s="5"/>
    </row>
    <row r="1359" customFormat="false" ht="12.75" hidden="false" customHeight="true" outlineLevel="0" collapsed="false">
      <c r="M1359" s="5"/>
      <c r="R1359" s="5"/>
      <c r="W1359" s="5"/>
      <c r="AB1359" s="5"/>
      <c r="AG1359" s="5"/>
    </row>
    <row r="1360" customFormat="false" ht="12.75" hidden="false" customHeight="true" outlineLevel="0" collapsed="false">
      <c r="M1360" s="5"/>
      <c r="R1360" s="5"/>
      <c r="W1360" s="5"/>
      <c r="AB1360" s="5"/>
      <c r="AG1360" s="5"/>
    </row>
    <row r="1361" customFormat="false" ht="12.75" hidden="false" customHeight="true" outlineLevel="0" collapsed="false">
      <c r="M1361" s="5"/>
      <c r="R1361" s="5"/>
      <c r="W1361" s="5"/>
      <c r="AB1361" s="5"/>
      <c r="AG1361" s="5"/>
    </row>
    <row r="1362" customFormat="false" ht="12.75" hidden="false" customHeight="true" outlineLevel="0" collapsed="false">
      <c r="M1362" s="5"/>
      <c r="R1362" s="5"/>
      <c r="W1362" s="5"/>
      <c r="AB1362" s="5"/>
      <c r="AG1362" s="5"/>
    </row>
    <row r="1363" customFormat="false" ht="12.75" hidden="false" customHeight="true" outlineLevel="0" collapsed="false">
      <c r="M1363" s="5"/>
      <c r="R1363" s="5"/>
      <c r="W1363" s="5"/>
      <c r="AB1363" s="5"/>
      <c r="AG1363" s="5"/>
    </row>
    <row r="1364" customFormat="false" ht="12.75" hidden="false" customHeight="true" outlineLevel="0" collapsed="false">
      <c r="M1364" s="5"/>
      <c r="R1364" s="5"/>
      <c r="W1364" s="5"/>
      <c r="AB1364" s="5"/>
      <c r="AG1364" s="5"/>
    </row>
    <row r="1365" customFormat="false" ht="12.75" hidden="false" customHeight="true" outlineLevel="0" collapsed="false">
      <c r="M1365" s="5"/>
      <c r="R1365" s="5"/>
      <c r="W1365" s="5"/>
      <c r="AB1365" s="5"/>
      <c r="AG1365" s="5"/>
    </row>
    <row r="1366" customFormat="false" ht="12.75" hidden="false" customHeight="true" outlineLevel="0" collapsed="false">
      <c r="M1366" s="5"/>
      <c r="R1366" s="5"/>
      <c r="W1366" s="5"/>
      <c r="AB1366" s="5"/>
      <c r="AG1366" s="5"/>
    </row>
    <row r="1367" customFormat="false" ht="12.75" hidden="false" customHeight="true" outlineLevel="0" collapsed="false">
      <c r="M1367" s="5"/>
      <c r="R1367" s="5"/>
      <c r="W1367" s="5"/>
      <c r="AB1367" s="5"/>
      <c r="AG1367" s="5"/>
    </row>
    <row r="1368" customFormat="false" ht="12.75" hidden="false" customHeight="true" outlineLevel="0" collapsed="false">
      <c r="M1368" s="5"/>
      <c r="R1368" s="5"/>
      <c r="W1368" s="5"/>
      <c r="AB1368" s="5"/>
      <c r="AG1368" s="5"/>
    </row>
    <row r="1369" customFormat="false" ht="12.75" hidden="false" customHeight="true" outlineLevel="0" collapsed="false">
      <c r="M1369" s="5"/>
      <c r="R1369" s="5"/>
      <c r="W1369" s="5"/>
      <c r="AB1369" s="5"/>
      <c r="AG1369" s="5"/>
    </row>
    <row r="1370" customFormat="false" ht="12.75" hidden="false" customHeight="true" outlineLevel="0" collapsed="false">
      <c r="M1370" s="5"/>
      <c r="R1370" s="5"/>
      <c r="W1370" s="5"/>
      <c r="AB1370" s="5"/>
      <c r="AG1370" s="5"/>
    </row>
    <row r="1371" customFormat="false" ht="12.75" hidden="false" customHeight="true" outlineLevel="0" collapsed="false">
      <c r="M1371" s="5"/>
      <c r="R1371" s="5"/>
      <c r="W1371" s="5"/>
      <c r="AB1371" s="5"/>
      <c r="AG1371" s="5"/>
    </row>
    <row r="1372" customFormat="false" ht="12.75" hidden="false" customHeight="true" outlineLevel="0" collapsed="false">
      <c r="M1372" s="5"/>
      <c r="R1372" s="5"/>
      <c r="W1372" s="5"/>
      <c r="AB1372" s="5"/>
      <c r="AG1372" s="5"/>
    </row>
    <row r="1373" customFormat="false" ht="12.75" hidden="false" customHeight="true" outlineLevel="0" collapsed="false">
      <c r="M1373" s="5"/>
      <c r="R1373" s="5"/>
      <c r="W1373" s="5"/>
      <c r="AB1373" s="5"/>
      <c r="AG1373" s="5"/>
    </row>
    <row r="1374" customFormat="false" ht="12.75" hidden="false" customHeight="true" outlineLevel="0" collapsed="false">
      <c r="M1374" s="5"/>
      <c r="R1374" s="5"/>
      <c r="W1374" s="5"/>
      <c r="AB1374" s="5"/>
      <c r="AG1374" s="5"/>
    </row>
    <row r="1375" customFormat="false" ht="12.75" hidden="false" customHeight="true" outlineLevel="0" collapsed="false">
      <c r="M1375" s="5"/>
      <c r="R1375" s="5"/>
      <c r="W1375" s="5"/>
      <c r="AB1375" s="5"/>
      <c r="AG1375" s="5"/>
    </row>
    <row r="1376" customFormat="false" ht="12.75" hidden="false" customHeight="true" outlineLevel="0" collapsed="false">
      <c r="M1376" s="5"/>
      <c r="R1376" s="5"/>
      <c r="W1376" s="5"/>
      <c r="AB1376" s="5"/>
      <c r="AG1376" s="5"/>
    </row>
    <row r="1377" customFormat="false" ht="12.75" hidden="false" customHeight="true" outlineLevel="0" collapsed="false">
      <c r="M1377" s="5"/>
      <c r="R1377" s="5"/>
      <c r="W1377" s="5"/>
      <c r="AB1377" s="5"/>
      <c r="AG1377" s="5"/>
    </row>
    <row r="1378" customFormat="false" ht="12.75" hidden="false" customHeight="true" outlineLevel="0" collapsed="false">
      <c r="M1378" s="5"/>
      <c r="R1378" s="5"/>
      <c r="W1378" s="5"/>
      <c r="AB1378" s="5"/>
      <c r="AG1378" s="5"/>
    </row>
    <row r="1379" customFormat="false" ht="12.75" hidden="false" customHeight="true" outlineLevel="0" collapsed="false">
      <c r="M1379" s="5"/>
      <c r="R1379" s="5"/>
      <c r="W1379" s="5"/>
      <c r="AB1379" s="5"/>
      <c r="AG1379" s="5"/>
    </row>
    <row r="1380" customFormat="false" ht="12.75" hidden="false" customHeight="true" outlineLevel="0" collapsed="false">
      <c r="M1380" s="5"/>
      <c r="R1380" s="5"/>
      <c r="W1380" s="5"/>
      <c r="AB1380" s="5"/>
      <c r="AG1380" s="5"/>
    </row>
    <row r="1381" customFormat="false" ht="12.75" hidden="false" customHeight="true" outlineLevel="0" collapsed="false">
      <c r="M1381" s="5"/>
      <c r="R1381" s="5"/>
      <c r="W1381" s="5"/>
      <c r="AB1381" s="5"/>
      <c r="AG1381" s="5"/>
    </row>
    <row r="1382" customFormat="false" ht="12.75" hidden="false" customHeight="true" outlineLevel="0" collapsed="false">
      <c r="M1382" s="5"/>
      <c r="R1382" s="5"/>
      <c r="W1382" s="5"/>
      <c r="AB1382" s="5"/>
      <c r="AG1382" s="5"/>
    </row>
    <row r="1383" customFormat="false" ht="12.75" hidden="false" customHeight="true" outlineLevel="0" collapsed="false">
      <c r="M1383" s="5"/>
      <c r="R1383" s="5"/>
      <c r="W1383" s="5"/>
      <c r="AB1383" s="5"/>
      <c r="AG1383" s="5"/>
    </row>
    <row r="1384" customFormat="false" ht="12.75" hidden="false" customHeight="true" outlineLevel="0" collapsed="false">
      <c r="M1384" s="5"/>
      <c r="R1384" s="5"/>
      <c r="W1384" s="5"/>
      <c r="AB1384" s="5"/>
      <c r="AG1384" s="5"/>
    </row>
    <row r="1385" customFormat="false" ht="12.75" hidden="false" customHeight="true" outlineLevel="0" collapsed="false">
      <c r="M1385" s="5"/>
      <c r="R1385" s="5"/>
      <c r="W1385" s="5"/>
      <c r="AB1385" s="5"/>
      <c r="AG1385" s="5"/>
    </row>
    <row r="1386" customFormat="false" ht="12.75" hidden="false" customHeight="true" outlineLevel="0" collapsed="false">
      <c r="M1386" s="5"/>
      <c r="R1386" s="5"/>
      <c r="W1386" s="5"/>
      <c r="AB1386" s="5"/>
      <c r="AG1386" s="5"/>
    </row>
    <row r="1387" customFormat="false" ht="12.75" hidden="false" customHeight="true" outlineLevel="0" collapsed="false">
      <c r="M1387" s="5"/>
      <c r="R1387" s="5"/>
      <c r="W1387" s="5"/>
      <c r="AB1387" s="5"/>
      <c r="AG1387" s="5"/>
    </row>
    <row r="1388" customFormat="false" ht="12.75" hidden="false" customHeight="true" outlineLevel="0" collapsed="false">
      <c r="M1388" s="5"/>
      <c r="R1388" s="5"/>
      <c r="W1388" s="5"/>
      <c r="AB1388" s="5"/>
      <c r="AG1388" s="5"/>
    </row>
    <row r="1389" customFormat="false" ht="12.75" hidden="false" customHeight="true" outlineLevel="0" collapsed="false">
      <c r="M1389" s="5"/>
      <c r="R1389" s="5"/>
      <c r="W1389" s="5"/>
      <c r="AB1389" s="5"/>
      <c r="AG1389" s="5"/>
    </row>
    <row r="1390" customFormat="false" ht="12.75" hidden="false" customHeight="true" outlineLevel="0" collapsed="false">
      <c r="M1390" s="5"/>
      <c r="R1390" s="5"/>
      <c r="W1390" s="5"/>
      <c r="AB1390" s="5"/>
      <c r="AG1390" s="5"/>
    </row>
    <row r="1391" customFormat="false" ht="12.75" hidden="false" customHeight="true" outlineLevel="0" collapsed="false">
      <c r="M1391" s="5"/>
      <c r="R1391" s="5"/>
      <c r="W1391" s="5"/>
      <c r="AB1391" s="5"/>
      <c r="AG1391" s="5"/>
    </row>
    <row r="1392" customFormat="false" ht="12.75" hidden="false" customHeight="true" outlineLevel="0" collapsed="false">
      <c r="M1392" s="5"/>
      <c r="R1392" s="5"/>
      <c r="W1392" s="5"/>
      <c r="AB1392" s="5"/>
      <c r="AG1392" s="5"/>
    </row>
    <row r="1393" customFormat="false" ht="12.75" hidden="false" customHeight="true" outlineLevel="0" collapsed="false">
      <c r="M1393" s="5"/>
      <c r="R1393" s="5"/>
      <c r="W1393" s="5"/>
      <c r="AB1393" s="5"/>
      <c r="AG1393" s="5"/>
    </row>
    <row r="1394" customFormat="false" ht="12.75" hidden="false" customHeight="true" outlineLevel="0" collapsed="false">
      <c r="M1394" s="5"/>
      <c r="R1394" s="5"/>
      <c r="W1394" s="5"/>
      <c r="AB1394" s="5"/>
      <c r="AG1394" s="5"/>
    </row>
    <row r="1395" customFormat="false" ht="12.75" hidden="false" customHeight="true" outlineLevel="0" collapsed="false">
      <c r="M1395" s="5"/>
      <c r="R1395" s="5"/>
      <c r="W1395" s="5"/>
      <c r="AB1395" s="5"/>
      <c r="AG1395" s="5"/>
    </row>
    <row r="1396" customFormat="false" ht="12.75" hidden="false" customHeight="true" outlineLevel="0" collapsed="false">
      <c r="M1396" s="5"/>
      <c r="R1396" s="5"/>
      <c r="W1396" s="5"/>
      <c r="AB1396" s="5"/>
      <c r="AG1396" s="5"/>
    </row>
    <row r="1397" customFormat="false" ht="12.75" hidden="false" customHeight="true" outlineLevel="0" collapsed="false">
      <c r="M1397" s="5"/>
      <c r="R1397" s="5"/>
      <c r="W1397" s="5"/>
      <c r="AB1397" s="5"/>
      <c r="AG1397" s="5"/>
    </row>
    <row r="1398" customFormat="false" ht="12.75" hidden="false" customHeight="true" outlineLevel="0" collapsed="false">
      <c r="M1398" s="5"/>
      <c r="R1398" s="5"/>
      <c r="W1398" s="5"/>
      <c r="AB1398" s="5"/>
      <c r="AG1398" s="5"/>
    </row>
    <row r="1399" customFormat="false" ht="12.75" hidden="false" customHeight="true" outlineLevel="0" collapsed="false">
      <c r="M1399" s="5"/>
      <c r="R1399" s="5"/>
      <c r="W1399" s="5"/>
      <c r="AB1399" s="5"/>
      <c r="AG1399" s="5"/>
    </row>
    <row r="1400" customFormat="false" ht="12.75" hidden="false" customHeight="true" outlineLevel="0" collapsed="false">
      <c r="M1400" s="5"/>
      <c r="R1400" s="5"/>
      <c r="W1400" s="5"/>
      <c r="AB1400" s="5"/>
      <c r="AG1400" s="5"/>
    </row>
    <row r="1401" customFormat="false" ht="12.75" hidden="false" customHeight="true" outlineLevel="0" collapsed="false">
      <c r="M1401" s="5"/>
      <c r="R1401" s="5"/>
      <c r="W1401" s="5"/>
      <c r="AB1401" s="5"/>
      <c r="AG1401" s="5"/>
    </row>
    <row r="1402" customFormat="false" ht="12.75" hidden="false" customHeight="true" outlineLevel="0" collapsed="false">
      <c r="M1402" s="5"/>
      <c r="R1402" s="5"/>
      <c r="W1402" s="5"/>
      <c r="AB1402" s="5"/>
      <c r="AG1402" s="5"/>
    </row>
    <row r="1403" customFormat="false" ht="12.75" hidden="false" customHeight="true" outlineLevel="0" collapsed="false">
      <c r="M1403" s="5"/>
      <c r="R1403" s="5"/>
      <c r="W1403" s="5"/>
      <c r="AB1403" s="5"/>
      <c r="AG1403" s="5"/>
    </row>
    <row r="1404" customFormat="false" ht="12.75" hidden="false" customHeight="true" outlineLevel="0" collapsed="false">
      <c r="M1404" s="5"/>
      <c r="R1404" s="5"/>
      <c r="W1404" s="5"/>
      <c r="AB1404" s="5"/>
      <c r="AG1404" s="5"/>
    </row>
    <row r="1405" customFormat="false" ht="12.75" hidden="false" customHeight="true" outlineLevel="0" collapsed="false">
      <c r="M1405" s="5"/>
      <c r="R1405" s="5"/>
      <c r="W1405" s="5"/>
      <c r="AB1405" s="5"/>
      <c r="AG1405" s="5"/>
    </row>
    <row r="1406" customFormat="false" ht="12.75" hidden="false" customHeight="true" outlineLevel="0" collapsed="false">
      <c r="M1406" s="5"/>
      <c r="R1406" s="5"/>
      <c r="W1406" s="5"/>
      <c r="AB1406" s="5"/>
      <c r="AG1406" s="5"/>
    </row>
    <row r="1407" customFormat="false" ht="12.75" hidden="false" customHeight="true" outlineLevel="0" collapsed="false">
      <c r="M1407" s="5"/>
      <c r="R1407" s="5"/>
      <c r="W1407" s="5"/>
      <c r="AB1407" s="5"/>
      <c r="AG1407" s="5"/>
    </row>
    <row r="1408" customFormat="false" ht="12.75" hidden="false" customHeight="true" outlineLevel="0" collapsed="false">
      <c r="M1408" s="5"/>
      <c r="R1408" s="5"/>
      <c r="W1408" s="5"/>
      <c r="AB1408" s="5"/>
      <c r="AG1408" s="5"/>
    </row>
    <row r="1409" customFormat="false" ht="12.75" hidden="false" customHeight="true" outlineLevel="0" collapsed="false">
      <c r="M1409" s="5"/>
      <c r="R1409" s="5"/>
      <c r="W1409" s="5"/>
      <c r="AB1409" s="5"/>
      <c r="AG1409" s="5"/>
    </row>
    <row r="1410" customFormat="false" ht="12.75" hidden="false" customHeight="true" outlineLevel="0" collapsed="false">
      <c r="M1410" s="5"/>
      <c r="R1410" s="5"/>
      <c r="W1410" s="5"/>
      <c r="AB1410" s="5"/>
      <c r="AG1410" s="5"/>
    </row>
    <row r="1411" customFormat="false" ht="12.75" hidden="false" customHeight="true" outlineLevel="0" collapsed="false">
      <c r="M1411" s="5"/>
      <c r="R1411" s="5"/>
      <c r="W1411" s="5"/>
      <c r="AB1411" s="5"/>
      <c r="AG1411" s="5"/>
    </row>
    <row r="1412" customFormat="false" ht="12.75" hidden="false" customHeight="true" outlineLevel="0" collapsed="false">
      <c r="M1412" s="5"/>
      <c r="R1412" s="5"/>
      <c r="W1412" s="5"/>
      <c r="AB1412" s="5"/>
      <c r="AG1412" s="5"/>
    </row>
    <row r="1413" customFormat="false" ht="12.75" hidden="false" customHeight="true" outlineLevel="0" collapsed="false">
      <c r="M1413" s="5"/>
      <c r="R1413" s="5"/>
      <c r="W1413" s="5"/>
      <c r="AB1413" s="5"/>
      <c r="AG1413" s="5"/>
    </row>
    <row r="1414" customFormat="false" ht="12.75" hidden="false" customHeight="true" outlineLevel="0" collapsed="false">
      <c r="M1414" s="5"/>
      <c r="R1414" s="5"/>
      <c r="W1414" s="5"/>
      <c r="AB1414" s="5"/>
      <c r="AG1414" s="5"/>
    </row>
    <row r="1415" customFormat="false" ht="12.75" hidden="false" customHeight="true" outlineLevel="0" collapsed="false">
      <c r="M1415" s="5"/>
      <c r="R1415" s="5"/>
      <c r="W1415" s="5"/>
      <c r="AB1415" s="5"/>
      <c r="AG1415" s="5"/>
    </row>
    <row r="1416" customFormat="false" ht="12.75" hidden="false" customHeight="true" outlineLevel="0" collapsed="false">
      <c r="M1416" s="5"/>
      <c r="R1416" s="5"/>
      <c r="W1416" s="5"/>
      <c r="AB1416" s="5"/>
      <c r="AG1416" s="5"/>
    </row>
    <row r="1417" customFormat="false" ht="12.75" hidden="false" customHeight="true" outlineLevel="0" collapsed="false">
      <c r="M1417" s="5"/>
      <c r="R1417" s="5"/>
      <c r="W1417" s="5"/>
      <c r="AB1417" s="5"/>
      <c r="AG1417" s="5"/>
    </row>
    <row r="1418" customFormat="false" ht="12.75" hidden="false" customHeight="true" outlineLevel="0" collapsed="false">
      <c r="M1418" s="5"/>
      <c r="R1418" s="5"/>
      <c r="W1418" s="5"/>
      <c r="AB1418" s="5"/>
      <c r="AG1418" s="5"/>
    </row>
    <row r="1419" customFormat="false" ht="12.75" hidden="false" customHeight="true" outlineLevel="0" collapsed="false">
      <c r="M1419" s="5"/>
      <c r="R1419" s="5"/>
      <c r="W1419" s="5"/>
      <c r="AB1419" s="5"/>
      <c r="AG1419" s="5"/>
    </row>
    <row r="1420" customFormat="false" ht="12.75" hidden="false" customHeight="true" outlineLevel="0" collapsed="false">
      <c r="M1420" s="5"/>
      <c r="R1420" s="5"/>
      <c r="W1420" s="5"/>
      <c r="AB1420" s="5"/>
      <c r="AG1420" s="5"/>
    </row>
    <row r="1421" customFormat="false" ht="12.75" hidden="false" customHeight="true" outlineLevel="0" collapsed="false">
      <c r="M1421" s="5"/>
      <c r="R1421" s="5"/>
      <c r="W1421" s="5"/>
      <c r="AB1421" s="5"/>
      <c r="AG1421" s="5"/>
    </row>
    <row r="1422" customFormat="false" ht="12.75" hidden="false" customHeight="true" outlineLevel="0" collapsed="false">
      <c r="M1422" s="5"/>
      <c r="R1422" s="5"/>
      <c r="W1422" s="5"/>
      <c r="AB1422" s="5"/>
      <c r="AG1422" s="5"/>
    </row>
    <row r="1423" customFormat="false" ht="12.75" hidden="false" customHeight="true" outlineLevel="0" collapsed="false">
      <c r="M1423" s="5"/>
      <c r="R1423" s="5"/>
      <c r="W1423" s="5"/>
      <c r="AB1423" s="5"/>
      <c r="AG1423" s="5"/>
    </row>
    <row r="1424" customFormat="false" ht="12.75" hidden="false" customHeight="true" outlineLevel="0" collapsed="false">
      <c r="M1424" s="5"/>
      <c r="R1424" s="5"/>
      <c r="W1424" s="5"/>
      <c r="AB1424" s="5"/>
      <c r="AG1424" s="5"/>
    </row>
    <row r="1425" customFormat="false" ht="12.75" hidden="false" customHeight="true" outlineLevel="0" collapsed="false">
      <c r="M1425" s="5"/>
      <c r="R1425" s="5"/>
      <c r="W1425" s="5"/>
      <c r="AB1425" s="5"/>
      <c r="AG1425" s="5"/>
    </row>
    <row r="1426" customFormat="false" ht="12.75" hidden="false" customHeight="true" outlineLevel="0" collapsed="false">
      <c r="M1426" s="5"/>
      <c r="R1426" s="5"/>
      <c r="W1426" s="5"/>
      <c r="AB1426" s="5"/>
      <c r="AG1426" s="5"/>
    </row>
    <row r="1427" customFormat="false" ht="12.75" hidden="false" customHeight="true" outlineLevel="0" collapsed="false">
      <c r="M1427" s="5"/>
      <c r="R1427" s="5"/>
      <c r="W1427" s="5"/>
      <c r="AB1427" s="5"/>
      <c r="AG1427" s="5"/>
    </row>
    <row r="1428" customFormat="false" ht="12.75" hidden="false" customHeight="true" outlineLevel="0" collapsed="false">
      <c r="M1428" s="5"/>
      <c r="R1428" s="5"/>
      <c r="W1428" s="5"/>
      <c r="AB1428" s="5"/>
      <c r="AG1428" s="5"/>
    </row>
    <row r="1429" customFormat="false" ht="12.75" hidden="false" customHeight="true" outlineLevel="0" collapsed="false">
      <c r="M1429" s="5"/>
      <c r="R1429" s="5"/>
      <c r="W1429" s="5"/>
      <c r="AB1429" s="5"/>
      <c r="AG1429" s="5"/>
    </row>
    <row r="1430" customFormat="false" ht="12.75" hidden="false" customHeight="true" outlineLevel="0" collapsed="false">
      <c r="M1430" s="5"/>
      <c r="R1430" s="5"/>
      <c r="W1430" s="5"/>
      <c r="AB1430" s="5"/>
      <c r="AG1430" s="5"/>
    </row>
    <row r="1431" customFormat="false" ht="12.75" hidden="false" customHeight="true" outlineLevel="0" collapsed="false">
      <c r="M1431" s="5"/>
      <c r="R1431" s="5"/>
      <c r="W1431" s="5"/>
      <c r="AB1431" s="5"/>
      <c r="AG1431" s="5"/>
    </row>
    <row r="1432" customFormat="false" ht="12.75" hidden="false" customHeight="true" outlineLevel="0" collapsed="false">
      <c r="M1432" s="5"/>
      <c r="R1432" s="5"/>
      <c r="W1432" s="5"/>
      <c r="AB1432" s="5"/>
      <c r="AG1432" s="5"/>
    </row>
    <row r="1433" customFormat="false" ht="12.75" hidden="false" customHeight="true" outlineLevel="0" collapsed="false">
      <c r="M1433" s="5"/>
      <c r="R1433" s="5"/>
      <c r="W1433" s="5"/>
      <c r="AB1433" s="5"/>
      <c r="AG1433" s="5"/>
    </row>
    <row r="1434" customFormat="false" ht="12.75" hidden="false" customHeight="true" outlineLevel="0" collapsed="false">
      <c r="M1434" s="5"/>
      <c r="R1434" s="5"/>
      <c r="W1434" s="5"/>
      <c r="AB1434" s="5"/>
      <c r="AG1434" s="5"/>
    </row>
    <row r="1435" customFormat="false" ht="12.75" hidden="false" customHeight="true" outlineLevel="0" collapsed="false">
      <c r="M1435" s="5"/>
      <c r="R1435" s="5"/>
      <c r="W1435" s="5"/>
      <c r="AB1435" s="5"/>
      <c r="AG1435" s="5"/>
    </row>
    <row r="1436" customFormat="false" ht="12.75" hidden="false" customHeight="true" outlineLevel="0" collapsed="false">
      <c r="M1436" s="5"/>
      <c r="R1436" s="5"/>
      <c r="W1436" s="5"/>
      <c r="AB1436" s="5"/>
      <c r="AG1436" s="5"/>
    </row>
    <row r="1437" customFormat="false" ht="12.75" hidden="false" customHeight="true" outlineLevel="0" collapsed="false">
      <c r="M1437" s="5"/>
      <c r="R1437" s="5"/>
      <c r="W1437" s="5"/>
      <c r="AB1437" s="5"/>
      <c r="AG1437" s="5"/>
    </row>
    <row r="1438" customFormat="false" ht="12.75" hidden="false" customHeight="true" outlineLevel="0" collapsed="false">
      <c r="M1438" s="5"/>
      <c r="R1438" s="5"/>
      <c r="W1438" s="5"/>
      <c r="AB1438" s="5"/>
      <c r="AG1438" s="5"/>
    </row>
    <row r="1439" customFormat="false" ht="12.75" hidden="false" customHeight="true" outlineLevel="0" collapsed="false">
      <c r="M1439" s="5"/>
      <c r="R1439" s="5"/>
      <c r="W1439" s="5"/>
      <c r="AB1439" s="5"/>
      <c r="AG1439" s="5"/>
    </row>
    <row r="1440" customFormat="false" ht="12.75" hidden="false" customHeight="true" outlineLevel="0" collapsed="false">
      <c r="M1440" s="5"/>
      <c r="R1440" s="5"/>
      <c r="W1440" s="5"/>
      <c r="AB1440" s="5"/>
      <c r="AG1440" s="5"/>
    </row>
    <row r="1441" customFormat="false" ht="12.75" hidden="false" customHeight="true" outlineLevel="0" collapsed="false">
      <c r="M1441" s="5"/>
      <c r="R1441" s="5"/>
      <c r="W1441" s="5"/>
      <c r="AB1441" s="5"/>
      <c r="AG1441" s="5"/>
    </row>
    <row r="1442" customFormat="false" ht="12.75" hidden="false" customHeight="true" outlineLevel="0" collapsed="false">
      <c r="M1442" s="5"/>
      <c r="R1442" s="5"/>
      <c r="W1442" s="5"/>
      <c r="AB1442" s="5"/>
      <c r="AG1442" s="5"/>
    </row>
    <row r="1443" customFormat="false" ht="12.75" hidden="false" customHeight="true" outlineLevel="0" collapsed="false">
      <c r="M1443" s="5"/>
      <c r="R1443" s="5"/>
      <c r="W1443" s="5"/>
      <c r="AB1443" s="5"/>
      <c r="AG1443" s="5"/>
    </row>
    <row r="1444" customFormat="false" ht="12.75" hidden="false" customHeight="true" outlineLevel="0" collapsed="false">
      <c r="M1444" s="5"/>
      <c r="R1444" s="5"/>
      <c r="W1444" s="5"/>
      <c r="AB1444" s="5"/>
      <c r="AG1444" s="5"/>
    </row>
    <row r="1445" customFormat="false" ht="12.75" hidden="false" customHeight="true" outlineLevel="0" collapsed="false">
      <c r="M1445" s="5"/>
      <c r="R1445" s="5"/>
      <c r="W1445" s="5"/>
      <c r="AB1445" s="5"/>
      <c r="AG1445" s="5"/>
    </row>
    <row r="1446" customFormat="false" ht="12.75" hidden="false" customHeight="true" outlineLevel="0" collapsed="false">
      <c r="M1446" s="5"/>
      <c r="R1446" s="5"/>
      <c r="W1446" s="5"/>
      <c r="AB1446" s="5"/>
      <c r="AG1446" s="5"/>
    </row>
    <row r="1447" customFormat="false" ht="12.75" hidden="false" customHeight="true" outlineLevel="0" collapsed="false">
      <c r="M1447" s="5"/>
      <c r="R1447" s="5"/>
      <c r="W1447" s="5"/>
      <c r="AB1447" s="5"/>
      <c r="AG1447" s="5"/>
    </row>
    <row r="1448" customFormat="false" ht="12.75" hidden="false" customHeight="true" outlineLevel="0" collapsed="false">
      <c r="M1448" s="5"/>
      <c r="R1448" s="5"/>
      <c r="W1448" s="5"/>
      <c r="AB1448" s="5"/>
      <c r="AG1448" s="5"/>
    </row>
    <row r="1449" customFormat="false" ht="12.75" hidden="false" customHeight="true" outlineLevel="0" collapsed="false">
      <c r="M1449" s="5"/>
      <c r="R1449" s="5"/>
      <c r="W1449" s="5"/>
      <c r="AB1449" s="5"/>
      <c r="AG1449" s="5"/>
    </row>
    <row r="1450" customFormat="false" ht="12.75" hidden="false" customHeight="true" outlineLevel="0" collapsed="false">
      <c r="M1450" s="5"/>
      <c r="R1450" s="5"/>
      <c r="W1450" s="5"/>
      <c r="AB1450" s="5"/>
      <c r="AG1450" s="5"/>
    </row>
    <row r="1451" customFormat="false" ht="12.75" hidden="false" customHeight="true" outlineLevel="0" collapsed="false">
      <c r="M1451" s="5"/>
      <c r="R1451" s="5"/>
      <c r="W1451" s="5"/>
      <c r="AB1451" s="5"/>
      <c r="AG1451" s="5"/>
    </row>
    <row r="1452" customFormat="false" ht="12.75" hidden="false" customHeight="true" outlineLevel="0" collapsed="false">
      <c r="M1452" s="5"/>
      <c r="R1452" s="5"/>
      <c r="W1452" s="5"/>
      <c r="AB1452" s="5"/>
      <c r="AG1452" s="5"/>
    </row>
    <row r="1453" customFormat="false" ht="12.75" hidden="false" customHeight="true" outlineLevel="0" collapsed="false">
      <c r="M1453" s="5"/>
      <c r="R1453" s="5"/>
      <c r="W1453" s="5"/>
      <c r="AB1453" s="5"/>
      <c r="AG1453" s="5"/>
    </row>
    <row r="1454" customFormat="false" ht="12.75" hidden="false" customHeight="true" outlineLevel="0" collapsed="false">
      <c r="M1454" s="5"/>
      <c r="R1454" s="5"/>
      <c r="W1454" s="5"/>
      <c r="AB1454" s="5"/>
      <c r="AG1454" s="5"/>
    </row>
    <row r="1455" customFormat="false" ht="12.75" hidden="false" customHeight="true" outlineLevel="0" collapsed="false">
      <c r="M1455" s="5"/>
      <c r="R1455" s="5"/>
      <c r="W1455" s="5"/>
      <c r="AB1455" s="5"/>
      <c r="AG1455" s="5"/>
    </row>
    <row r="1456" customFormat="false" ht="12.75" hidden="false" customHeight="true" outlineLevel="0" collapsed="false">
      <c r="M1456" s="5"/>
      <c r="R1456" s="5"/>
      <c r="W1456" s="5"/>
      <c r="AB1456" s="5"/>
      <c r="AG1456" s="5"/>
    </row>
    <row r="1457" customFormat="false" ht="12.75" hidden="false" customHeight="true" outlineLevel="0" collapsed="false">
      <c r="M1457" s="5"/>
      <c r="R1457" s="5"/>
      <c r="W1457" s="5"/>
      <c r="AB1457" s="5"/>
      <c r="AG1457" s="5"/>
    </row>
    <row r="1458" customFormat="false" ht="12.75" hidden="false" customHeight="true" outlineLevel="0" collapsed="false">
      <c r="M1458" s="5"/>
      <c r="R1458" s="5"/>
      <c r="W1458" s="5"/>
      <c r="AB1458" s="5"/>
      <c r="AG1458" s="5"/>
    </row>
    <row r="1459" customFormat="false" ht="12.75" hidden="false" customHeight="true" outlineLevel="0" collapsed="false">
      <c r="M1459" s="5"/>
      <c r="R1459" s="5"/>
      <c r="W1459" s="5"/>
      <c r="AB1459" s="5"/>
      <c r="AG1459" s="5"/>
    </row>
    <row r="1460" customFormat="false" ht="12.75" hidden="false" customHeight="true" outlineLevel="0" collapsed="false">
      <c r="M1460" s="5"/>
      <c r="R1460" s="5"/>
      <c r="W1460" s="5"/>
      <c r="AB1460" s="5"/>
      <c r="AG1460" s="5"/>
    </row>
    <row r="1461" customFormat="false" ht="12.75" hidden="false" customHeight="true" outlineLevel="0" collapsed="false">
      <c r="M1461" s="5"/>
      <c r="R1461" s="5"/>
      <c r="W1461" s="5"/>
      <c r="AB1461" s="5"/>
      <c r="AG1461" s="5"/>
    </row>
    <row r="1462" customFormat="false" ht="12.75" hidden="false" customHeight="true" outlineLevel="0" collapsed="false">
      <c r="M1462" s="5"/>
      <c r="R1462" s="5"/>
      <c r="W1462" s="5"/>
      <c r="AB1462" s="5"/>
      <c r="AG1462" s="5"/>
    </row>
    <row r="1463" customFormat="false" ht="12.75" hidden="false" customHeight="true" outlineLevel="0" collapsed="false">
      <c r="M1463" s="5"/>
      <c r="R1463" s="5"/>
      <c r="W1463" s="5"/>
      <c r="AB1463" s="5"/>
      <c r="AG1463" s="5"/>
    </row>
    <row r="1464" customFormat="false" ht="12.75" hidden="false" customHeight="true" outlineLevel="0" collapsed="false">
      <c r="M1464" s="5"/>
      <c r="R1464" s="5"/>
      <c r="W1464" s="5"/>
      <c r="AB1464" s="5"/>
      <c r="AG1464" s="5"/>
    </row>
    <row r="1465" customFormat="false" ht="12.75" hidden="false" customHeight="true" outlineLevel="0" collapsed="false">
      <c r="M1465" s="5"/>
      <c r="R1465" s="5"/>
      <c r="W1465" s="5"/>
      <c r="AB1465" s="5"/>
      <c r="AG1465" s="5"/>
    </row>
    <row r="1466" customFormat="false" ht="12.75" hidden="false" customHeight="true" outlineLevel="0" collapsed="false">
      <c r="M1466" s="5"/>
      <c r="R1466" s="5"/>
      <c r="W1466" s="5"/>
      <c r="AB1466" s="5"/>
      <c r="AG1466" s="5"/>
    </row>
    <row r="1467" customFormat="false" ht="12.75" hidden="false" customHeight="true" outlineLevel="0" collapsed="false">
      <c r="M1467" s="5"/>
      <c r="R1467" s="5"/>
      <c r="W1467" s="5"/>
      <c r="AB1467" s="5"/>
      <c r="AG1467" s="5"/>
    </row>
    <row r="1468" customFormat="false" ht="12.75" hidden="false" customHeight="true" outlineLevel="0" collapsed="false">
      <c r="M1468" s="5"/>
      <c r="R1468" s="5"/>
      <c r="W1468" s="5"/>
      <c r="AB1468" s="5"/>
      <c r="AG1468" s="5"/>
    </row>
    <row r="1469" customFormat="false" ht="12.75" hidden="false" customHeight="true" outlineLevel="0" collapsed="false">
      <c r="M1469" s="5"/>
      <c r="R1469" s="5"/>
      <c r="W1469" s="5"/>
      <c r="AB1469" s="5"/>
      <c r="AG1469" s="5"/>
    </row>
    <row r="1470" customFormat="false" ht="12.75" hidden="false" customHeight="true" outlineLevel="0" collapsed="false">
      <c r="M1470" s="5"/>
      <c r="R1470" s="5"/>
      <c r="W1470" s="5"/>
      <c r="AB1470" s="5"/>
      <c r="AG1470" s="5"/>
    </row>
    <row r="1471" customFormat="false" ht="12.75" hidden="false" customHeight="true" outlineLevel="0" collapsed="false">
      <c r="M1471" s="5"/>
      <c r="R1471" s="5"/>
      <c r="W1471" s="5"/>
      <c r="AB1471" s="5"/>
      <c r="AG1471" s="5"/>
    </row>
    <row r="1472" customFormat="false" ht="12.75" hidden="false" customHeight="true" outlineLevel="0" collapsed="false">
      <c r="M1472" s="5"/>
      <c r="R1472" s="5"/>
      <c r="W1472" s="5"/>
      <c r="AB1472" s="5"/>
      <c r="AG1472" s="5"/>
    </row>
    <row r="1473" customFormat="false" ht="12.75" hidden="false" customHeight="true" outlineLevel="0" collapsed="false">
      <c r="M1473" s="5"/>
      <c r="R1473" s="5"/>
      <c r="W1473" s="5"/>
      <c r="AB1473" s="5"/>
      <c r="AG1473" s="5"/>
    </row>
    <row r="1474" customFormat="false" ht="12.75" hidden="false" customHeight="true" outlineLevel="0" collapsed="false">
      <c r="M1474" s="5"/>
      <c r="R1474" s="5"/>
      <c r="W1474" s="5"/>
      <c r="AB1474" s="5"/>
      <c r="AG1474" s="5"/>
    </row>
    <row r="1475" customFormat="false" ht="12.75" hidden="false" customHeight="true" outlineLevel="0" collapsed="false">
      <c r="M1475" s="5"/>
      <c r="R1475" s="5"/>
      <c r="W1475" s="5"/>
      <c r="AB1475" s="5"/>
      <c r="AG1475" s="5"/>
    </row>
    <row r="1476" customFormat="false" ht="12.75" hidden="false" customHeight="true" outlineLevel="0" collapsed="false">
      <c r="M1476" s="5"/>
      <c r="R1476" s="5"/>
      <c r="W1476" s="5"/>
      <c r="AB1476" s="5"/>
      <c r="AG1476" s="5"/>
    </row>
    <row r="1477" customFormat="false" ht="12.75" hidden="false" customHeight="true" outlineLevel="0" collapsed="false">
      <c r="M1477" s="5"/>
      <c r="R1477" s="5"/>
      <c r="W1477" s="5"/>
      <c r="AB1477" s="5"/>
      <c r="AG1477" s="5"/>
    </row>
    <row r="1478" customFormat="false" ht="12.75" hidden="false" customHeight="true" outlineLevel="0" collapsed="false">
      <c r="M1478" s="5"/>
      <c r="R1478" s="5"/>
      <c r="W1478" s="5"/>
      <c r="AB1478" s="5"/>
      <c r="AG1478" s="5"/>
    </row>
    <row r="1479" customFormat="false" ht="12.75" hidden="false" customHeight="true" outlineLevel="0" collapsed="false">
      <c r="M1479" s="5"/>
      <c r="R1479" s="5"/>
      <c r="W1479" s="5"/>
      <c r="AB1479" s="5"/>
      <c r="AG1479" s="5"/>
    </row>
    <row r="1480" customFormat="false" ht="12.75" hidden="false" customHeight="true" outlineLevel="0" collapsed="false">
      <c r="M1480" s="5"/>
      <c r="R1480" s="5"/>
      <c r="W1480" s="5"/>
      <c r="AB1480" s="5"/>
      <c r="AG1480" s="5"/>
    </row>
    <row r="1481" customFormat="false" ht="12.75" hidden="false" customHeight="true" outlineLevel="0" collapsed="false">
      <c r="M1481" s="5"/>
      <c r="R1481" s="5"/>
      <c r="W1481" s="5"/>
      <c r="AB1481" s="5"/>
      <c r="AG1481" s="5"/>
    </row>
    <row r="1482" customFormat="false" ht="12.75" hidden="false" customHeight="true" outlineLevel="0" collapsed="false">
      <c r="M1482" s="5"/>
      <c r="R1482" s="5"/>
      <c r="W1482" s="5"/>
      <c r="AB1482" s="5"/>
      <c r="AG1482" s="5"/>
    </row>
    <row r="1483" customFormat="false" ht="12.75" hidden="false" customHeight="true" outlineLevel="0" collapsed="false">
      <c r="M1483" s="5"/>
      <c r="R1483" s="5"/>
      <c r="W1483" s="5"/>
      <c r="AB1483" s="5"/>
      <c r="AG1483" s="5"/>
    </row>
    <row r="1484" customFormat="false" ht="12.75" hidden="false" customHeight="true" outlineLevel="0" collapsed="false">
      <c r="M1484" s="5"/>
      <c r="R1484" s="5"/>
      <c r="W1484" s="5"/>
      <c r="AB1484" s="5"/>
      <c r="AG1484" s="5"/>
    </row>
    <row r="1485" customFormat="false" ht="12.75" hidden="false" customHeight="true" outlineLevel="0" collapsed="false">
      <c r="M1485" s="5"/>
      <c r="R1485" s="5"/>
      <c r="W1485" s="5"/>
      <c r="AB1485" s="5"/>
      <c r="AG1485" s="5"/>
    </row>
    <row r="1486" customFormat="false" ht="12.75" hidden="false" customHeight="true" outlineLevel="0" collapsed="false">
      <c r="M1486" s="5"/>
      <c r="R1486" s="5"/>
      <c r="W1486" s="5"/>
      <c r="AB1486" s="5"/>
      <c r="AG1486" s="5"/>
    </row>
    <row r="1487" customFormat="false" ht="12.75" hidden="false" customHeight="true" outlineLevel="0" collapsed="false">
      <c r="M1487" s="5"/>
      <c r="R1487" s="5"/>
      <c r="W1487" s="5"/>
      <c r="AB1487" s="5"/>
      <c r="AG1487" s="5"/>
    </row>
    <row r="1488" customFormat="false" ht="12.75" hidden="false" customHeight="true" outlineLevel="0" collapsed="false">
      <c r="M1488" s="5"/>
      <c r="R1488" s="5"/>
      <c r="W1488" s="5"/>
      <c r="AB1488" s="5"/>
      <c r="AG1488" s="5"/>
    </row>
    <row r="1489" customFormat="false" ht="12.75" hidden="false" customHeight="true" outlineLevel="0" collapsed="false">
      <c r="M1489" s="5"/>
      <c r="R1489" s="5"/>
      <c r="W1489" s="5"/>
      <c r="AB1489" s="5"/>
      <c r="AG1489" s="5"/>
    </row>
    <row r="1490" customFormat="false" ht="12.75" hidden="false" customHeight="true" outlineLevel="0" collapsed="false">
      <c r="M1490" s="5"/>
      <c r="R1490" s="5"/>
      <c r="W1490" s="5"/>
      <c r="AB1490" s="5"/>
      <c r="AG1490" s="5"/>
    </row>
    <row r="1491" customFormat="false" ht="12.75" hidden="false" customHeight="true" outlineLevel="0" collapsed="false">
      <c r="M1491" s="5"/>
      <c r="R1491" s="5"/>
      <c r="W1491" s="5"/>
      <c r="AB1491" s="5"/>
      <c r="AG1491" s="5"/>
    </row>
    <row r="1492" customFormat="false" ht="12.75" hidden="false" customHeight="true" outlineLevel="0" collapsed="false">
      <c r="M1492" s="5"/>
      <c r="R1492" s="5"/>
      <c r="W1492" s="5"/>
      <c r="AB1492" s="5"/>
      <c r="AG1492" s="5"/>
    </row>
    <row r="1493" customFormat="false" ht="12.75" hidden="false" customHeight="true" outlineLevel="0" collapsed="false">
      <c r="M1493" s="5"/>
      <c r="R1493" s="5"/>
      <c r="W1493" s="5"/>
      <c r="AB1493" s="5"/>
      <c r="AG1493" s="5"/>
    </row>
    <row r="1494" customFormat="false" ht="12.75" hidden="false" customHeight="true" outlineLevel="0" collapsed="false">
      <c r="M1494" s="5"/>
      <c r="R1494" s="5"/>
      <c r="W1494" s="5"/>
      <c r="AB1494" s="5"/>
      <c r="AG1494" s="5"/>
    </row>
    <row r="1495" customFormat="false" ht="12.75" hidden="false" customHeight="true" outlineLevel="0" collapsed="false">
      <c r="M1495" s="5"/>
      <c r="R1495" s="5"/>
      <c r="W1495" s="5"/>
      <c r="AB1495" s="5"/>
      <c r="AG1495" s="5"/>
    </row>
    <row r="1496" customFormat="false" ht="12.75" hidden="false" customHeight="true" outlineLevel="0" collapsed="false">
      <c r="M1496" s="5"/>
      <c r="R1496" s="5"/>
      <c r="W1496" s="5"/>
      <c r="AB1496" s="5"/>
      <c r="AG1496" s="5"/>
    </row>
    <row r="1497" customFormat="false" ht="12.75" hidden="false" customHeight="true" outlineLevel="0" collapsed="false">
      <c r="M1497" s="5"/>
      <c r="R1497" s="5"/>
      <c r="W1497" s="5"/>
      <c r="AB1497" s="5"/>
      <c r="AG1497" s="5"/>
    </row>
    <row r="1498" customFormat="false" ht="12.75" hidden="false" customHeight="true" outlineLevel="0" collapsed="false">
      <c r="M1498" s="5"/>
      <c r="R1498" s="5"/>
      <c r="W1498" s="5"/>
      <c r="AB1498" s="5"/>
      <c r="AG1498" s="5"/>
    </row>
    <row r="1499" customFormat="false" ht="12.75" hidden="false" customHeight="true" outlineLevel="0" collapsed="false">
      <c r="M1499" s="5"/>
      <c r="R1499" s="5"/>
      <c r="W1499" s="5"/>
      <c r="AB1499" s="5"/>
      <c r="AG1499" s="5"/>
    </row>
    <row r="1500" customFormat="false" ht="12.75" hidden="false" customHeight="true" outlineLevel="0" collapsed="false">
      <c r="M1500" s="5"/>
      <c r="R1500" s="5"/>
      <c r="W1500" s="5"/>
      <c r="AB1500" s="5"/>
      <c r="AG1500" s="5"/>
    </row>
    <row r="1501" customFormat="false" ht="12.75" hidden="false" customHeight="true" outlineLevel="0" collapsed="false">
      <c r="M1501" s="5"/>
      <c r="R1501" s="5"/>
      <c r="W1501" s="5"/>
      <c r="AB1501" s="5"/>
      <c r="AG1501" s="5"/>
    </row>
    <row r="1502" customFormat="false" ht="12.75" hidden="false" customHeight="true" outlineLevel="0" collapsed="false">
      <c r="M1502" s="5"/>
      <c r="R1502" s="5"/>
      <c r="W1502" s="5"/>
      <c r="AB1502" s="5"/>
      <c r="AG1502" s="5"/>
    </row>
    <row r="1503" customFormat="false" ht="12.75" hidden="false" customHeight="true" outlineLevel="0" collapsed="false">
      <c r="M1503" s="5"/>
      <c r="R1503" s="5"/>
      <c r="W1503" s="5"/>
      <c r="AB1503" s="5"/>
      <c r="AG1503" s="5"/>
    </row>
    <row r="1504" customFormat="false" ht="12.75" hidden="false" customHeight="true" outlineLevel="0" collapsed="false">
      <c r="M1504" s="5"/>
      <c r="R1504" s="5"/>
      <c r="W1504" s="5"/>
      <c r="AB1504" s="5"/>
      <c r="AG1504" s="5"/>
    </row>
    <row r="1505" customFormat="false" ht="12.75" hidden="false" customHeight="true" outlineLevel="0" collapsed="false">
      <c r="M1505" s="5"/>
      <c r="R1505" s="5"/>
      <c r="W1505" s="5"/>
      <c r="AB1505" s="5"/>
      <c r="AG1505" s="5"/>
    </row>
    <row r="1506" customFormat="false" ht="12.75" hidden="false" customHeight="true" outlineLevel="0" collapsed="false">
      <c r="M1506" s="5"/>
      <c r="R1506" s="5"/>
      <c r="W1506" s="5"/>
      <c r="AB1506" s="5"/>
      <c r="AG1506" s="5"/>
    </row>
    <row r="1507" customFormat="false" ht="12.75" hidden="false" customHeight="true" outlineLevel="0" collapsed="false">
      <c r="M1507" s="5"/>
      <c r="R1507" s="5"/>
      <c r="W1507" s="5"/>
      <c r="AB1507" s="5"/>
      <c r="AG1507" s="5"/>
    </row>
    <row r="1508" customFormat="false" ht="12.75" hidden="false" customHeight="true" outlineLevel="0" collapsed="false">
      <c r="M1508" s="5"/>
      <c r="R1508" s="5"/>
      <c r="W1508" s="5"/>
      <c r="AB1508" s="5"/>
      <c r="AG1508" s="5"/>
    </row>
    <row r="1509" customFormat="false" ht="12.75" hidden="false" customHeight="true" outlineLevel="0" collapsed="false">
      <c r="M1509" s="5"/>
      <c r="R1509" s="5"/>
      <c r="W1509" s="5"/>
      <c r="AB1509" s="5"/>
      <c r="AG1509" s="5"/>
    </row>
    <row r="1510" customFormat="false" ht="12.75" hidden="false" customHeight="true" outlineLevel="0" collapsed="false">
      <c r="M1510" s="5"/>
      <c r="R1510" s="5"/>
      <c r="W1510" s="5"/>
      <c r="AB1510" s="5"/>
      <c r="AG1510" s="5"/>
    </row>
    <row r="1511" customFormat="false" ht="12.75" hidden="false" customHeight="true" outlineLevel="0" collapsed="false">
      <c r="M1511" s="5"/>
      <c r="R1511" s="5"/>
      <c r="W1511" s="5"/>
      <c r="AB1511" s="5"/>
      <c r="AG1511" s="5"/>
    </row>
    <row r="1512" customFormat="false" ht="12.75" hidden="false" customHeight="true" outlineLevel="0" collapsed="false">
      <c r="M1512" s="5"/>
      <c r="R1512" s="5"/>
      <c r="W1512" s="5"/>
      <c r="AB1512" s="5"/>
      <c r="AG1512" s="5"/>
    </row>
    <row r="1513" customFormat="false" ht="12.75" hidden="false" customHeight="true" outlineLevel="0" collapsed="false">
      <c r="M1513" s="5"/>
      <c r="R1513" s="5"/>
      <c r="W1513" s="5"/>
      <c r="AB1513" s="5"/>
      <c r="AG1513" s="5"/>
    </row>
    <row r="1514" customFormat="false" ht="12.75" hidden="false" customHeight="true" outlineLevel="0" collapsed="false">
      <c r="M1514" s="5"/>
      <c r="R1514" s="5"/>
      <c r="W1514" s="5"/>
      <c r="AB1514" s="5"/>
      <c r="AG1514" s="5"/>
    </row>
    <row r="1515" customFormat="false" ht="12.75" hidden="false" customHeight="true" outlineLevel="0" collapsed="false">
      <c r="M1515" s="5"/>
      <c r="R1515" s="5"/>
      <c r="W1515" s="5"/>
      <c r="AB1515" s="5"/>
      <c r="AG1515" s="5"/>
    </row>
    <row r="1516" customFormat="false" ht="12.75" hidden="false" customHeight="true" outlineLevel="0" collapsed="false">
      <c r="M1516" s="5"/>
      <c r="R1516" s="5"/>
      <c r="W1516" s="5"/>
      <c r="AB1516" s="5"/>
      <c r="AG1516" s="5"/>
    </row>
    <row r="1517" customFormat="false" ht="12.75" hidden="false" customHeight="true" outlineLevel="0" collapsed="false">
      <c r="M1517" s="5"/>
      <c r="R1517" s="5"/>
      <c r="W1517" s="5"/>
      <c r="AB1517" s="5"/>
      <c r="AG1517" s="5"/>
    </row>
    <row r="1518" customFormat="false" ht="12.75" hidden="false" customHeight="true" outlineLevel="0" collapsed="false">
      <c r="M1518" s="5"/>
      <c r="R1518" s="5"/>
      <c r="W1518" s="5"/>
      <c r="AB1518" s="5"/>
      <c r="AG1518" s="5"/>
    </row>
    <row r="1519" customFormat="false" ht="12.75" hidden="false" customHeight="true" outlineLevel="0" collapsed="false">
      <c r="M1519" s="5"/>
      <c r="R1519" s="5"/>
      <c r="W1519" s="5"/>
      <c r="AB1519" s="5"/>
      <c r="AG1519" s="5"/>
    </row>
    <row r="1520" customFormat="false" ht="12.75" hidden="false" customHeight="true" outlineLevel="0" collapsed="false">
      <c r="M1520" s="5"/>
      <c r="R1520" s="5"/>
      <c r="W1520" s="5"/>
      <c r="AB1520" s="5"/>
      <c r="AG1520" s="5"/>
    </row>
    <row r="1521" customFormat="false" ht="12.75" hidden="false" customHeight="true" outlineLevel="0" collapsed="false">
      <c r="M1521" s="5"/>
      <c r="R1521" s="5"/>
      <c r="W1521" s="5"/>
      <c r="AB1521" s="5"/>
      <c r="AG1521" s="5"/>
    </row>
    <row r="1522" customFormat="false" ht="12.75" hidden="false" customHeight="true" outlineLevel="0" collapsed="false">
      <c r="M1522" s="5"/>
      <c r="R1522" s="5"/>
      <c r="W1522" s="5"/>
      <c r="AB1522" s="5"/>
      <c r="AG1522" s="5"/>
    </row>
    <row r="1523" customFormat="false" ht="12.75" hidden="false" customHeight="true" outlineLevel="0" collapsed="false">
      <c r="M1523" s="5"/>
      <c r="R1523" s="5"/>
      <c r="W1523" s="5"/>
      <c r="AB1523" s="5"/>
      <c r="AG1523" s="5"/>
    </row>
    <row r="1524" customFormat="false" ht="12.75" hidden="false" customHeight="true" outlineLevel="0" collapsed="false">
      <c r="M1524" s="5"/>
      <c r="R1524" s="5"/>
      <c r="W1524" s="5"/>
      <c r="AB1524" s="5"/>
      <c r="AG1524" s="5"/>
    </row>
    <row r="1525" customFormat="false" ht="12.75" hidden="false" customHeight="true" outlineLevel="0" collapsed="false">
      <c r="M1525" s="5"/>
      <c r="R1525" s="5"/>
      <c r="W1525" s="5"/>
      <c r="AB1525" s="5"/>
      <c r="AG1525" s="5"/>
    </row>
    <row r="1526" customFormat="false" ht="12.75" hidden="false" customHeight="true" outlineLevel="0" collapsed="false">
      <c r="M1526" s="5"/>
      <c r="R1526" s="5"/>
      <c r="W1526" s="5"/>
      <c r="AB1526" s="5"/>
      <c r="AG1526" s="5"/>
    </row>
    <row r="1527" customFormat="false" ht="12.75" hidden="false" customHeight="true" outlineLevel="0" collapsed="false">
      <c r="M1527" s="5"/>
      <c r="R1527" s="5"/>
      <c r="W1527" s="5"/>
      <c r="AB1527" s="5"/>
      <c r="AG1527" s="5"/>
    </row>
    <row r="1528" customFormat="false" ht="12.75" hidden="false" customHeight="true" outlineLevel="0" collapsed="false">
      <c r="M1528" s="5"/>
      <c r="R1528" s="5"/>
      <c r="W1528" s="5"/>
      <c r="AB1528" s="5"/>
      <c r="AG1528" s="5"/>
    </row>
    <row r="1529" customFormat="false" ht="12.75" hidden="false" customHeight="true" outlineLevel="0" collapsed="false">
      <c r="M1529" s="5"/>
      <c r="R1529" s="5"/>
      <c r="W1529" s="5"/>
      <c r="AB1529" s="5"/>
      <c r="AG1529" s="5"/>
    </row>
    <row r="1530" customFormat="false" ht="12.75" hidden="false" customHeight="true" outlineLevel="0" collapsed="false">
      <c r="M1530" s="5"/>
      <c r="R1530" s="5"/>
      <c r="W1530" s="5"/>
      <c r="AB1530" s="5"/>
      <c r="AG1530" s="5"/>
    </row>
    <row r="1531" customFormat="false" ht="12.75" hidden="false" customHeight="true" outlineLevel="0" collapsed="false">
      <c r="M1531" s="5"/>
      <c r="R1531" s="5"/>
      <c r="W1531" s="5"/>
      <c r="AB1531" s="5"/>
      <c r="AG1531" s="5"/>
    </row>
    <row r="1532" customFormat="false" ht="12.75" hidden="false" customHeight="true" outlineLevel="0" collapsed="false">
      <c r="M1532" s="5"/>
      <c r="R1532" s="5"/>
      <c r="W1532" s="5"/>
      <c r="AB1532" s="5"/>
      <c r="AG1532" s="5"/>
    </row>
    <row r="1533" customFormat="false" ht="12.75" hidden="false" customHeight="true" outlineLevel="0" collapsed="false">
      <c r="M1533" s="5"/>
      <c r="R1533" s="5"/>
      <c r="W1533" s="5"/>
      <c r="AB1533" s="5"/>
      <c r="AG1533" s="5"/>
    </row>
    <row r="1534" customFormat="false" ht="12.75" hidden="false" customHeight="true" outlineLevel="0" collapsed="false">
      <c r="M1534" s="5"/>
      <c r="R1534" s="5"/>
      <c r="W1534" s="5"/>
      <c r="AB1534" s="5"/>
      <c r="AG1534" s="5"/>
    </row>
    <row r="1535" customFormat="false" ht="12.75" hidden="false" customHeight="true" outlineLevel="0" collapsed="false">
      <c r="M1535" s="5"/>
      <c r="R1535" s="5"/>
      <c r="W1535" s="5"/>
      <c r="AB1535" s="5"/>
      <c r="AG1535" s="5"/>
    </row>
    <row r="1536" customFormat="false" ht="12.75" hidden="false" customHeight="true" outlineLevel="0" collapsed="false">
      <c r="M1536" s="5"/>
      <c r="R1536" s="5"/>
      <c r="W1536" s="5"/>
      <c r="AB1536" s="5"/>
      <c r="AG1536" s="5"/>
    </row>
    <row r="1537" customFormat="false" ht="12.75" hidden="false" customHeight="true" outlineLevel="0" collapsed="false">
      <c r="M1537" s="5"/>
      <c r="R1537" s="5"/>
      <c r="W1537" s="5"/>
      <c r="AB1537" s="5"/>
      <c r="AG1537" s="5"/>
    </row>
    <row r="1538" customFormat="false" ht="12.75" hidden="false" customHeight="true" outlineLevel="0" collapsed="false">
      <c r="M1538" s="5"/>
      <c r="R1538" s="5"/>
      <c r="W1538" s="5"/>
      <c r="AB1538" s="5"/>
      <c r="AG1538" s="5"/>
    </row>
    <row r="1539" customFormat="false" ht="12.75" hidden="false" customHeight="true" outlineLevel="0" collapsed="false">
      <c r="M1539" s="5"/>
      <c r="R1539" s="5"/>
      <c r="W1539" s="5"/>
      <c r="AB1539" s="5"/>
      <c r="AG1539" s="5"/>
    </row>
    <row r="1540" customFormat="false" ht="12.75" hidden="false" customHeight="true" outlineLevel="0" collapsed="false">
      <c r="M1540" s="5"/>
      <c r="R1540" s="5"/>
      <c r="W1540" s="5"/>
      <c r="AB1540" s="5"/>
      <c r="AG1540" s="5"/>
    </row>
    <row r="1541" customFormat="false" ht="12.75" hidden="false" customHeight="true" outlineLevel="0" collapsed="false">
      <c r="M1541" s="5"/>
      <c r="R1541" s="5"/>
      <c r="W1541" s="5"/>
      <c r="AB1541" s="5"/>
      <c r="AG1541" s="5"/>
    </row>
    <row r="1542" customFormat="false" ht="12.75" hidden="false" customHeight="true" outlineLevel="0" collapsed="false">
      <c r="M1542" s="5"/>
      <c r="R1542" s="5"/>
      <c r="W1542" s="5"/>
      <c r="AB1542" s="5"/>
      <c r="AG1542" s="5"/>
    </row>
    <row r="1543" customFormat="false" ht="12.75" hidden="false" customHeight="true" outlineLevel="0" collapsed="false">
      <c r="M1543" s="5"/>
      <c r="R1543" s="5"/>
      <c r="W1543" s="5"/>
      <c r="AB1543" s="5"/>
      <c r="AG1543" s="5"/>
    </row>
    <row r="1544" customFormat="false" ht="12.75" hidden="false" customHeight="true" outlineLevel="0" collapsed="false">
      <c r="M1544" s="5"/>
      <c r="R1544" s="5"/>
      <c r="W1544" s="5"/>
      <c r="AB1544" s="5"/>
      <c r="AG1544" s="5"/>
    </row>
    <row r="1545" customFormat="false" ht="12.75" hidden="false" customHeight="true" outlineLevel="0" collapsed="false">
      <c r="M1545" s="5"/>
      <c r="R1545" s="5"/>
      <c r="W1545" s="5"/>
      <c r="AB1545" s="5"/>
      <c r="AG1545" s="5"/>
    </row>
    <row r="1546" customFormat="false" ht="12.75" hidden="false" customHeight="true" outlineLevel="0" collapsed="false">
      <c r="M1546" s="5"/>
      <c r="R1546" s="5"/>
      <c r="W1546" s="5"/>
      <c r="AB1546" s="5"/>
      <c r="AG1546" s="5"/>
    </row>
    <row r="1547" customFormat="false" ht="12.75" hidden="false" customHeight="true" outlineLevel="0" collapsed="false">
      <c r="M1547" s="5"/>
      <c r="R1547" s="5"/>
      <c r="W1547" s="5"/>
      <c r="AB1547" s="5"/>
      <c r="AG1547" s="5"/>
    </row>
    <row r="1548" customFormat="false" ht="12.75" hidden="false" customHeight="true" outlineLevel="0" collapsed="false">
      <c r="M1548" s="5"/>
      <c r="R1548" s="5"/>
      <c r="W1548" s="5"/>
      <c r="AB1548" s="5"/>
      <c r="AG1548" s="5"/>
    </row>
    <row r="1549" customFormat="false" ht="12.75" hidden="false" customHeight="true" outlineLevel="0" collapsed="false">
      <c r="M1549" s="5"/>
      <c r="R1549" s="5"/>
      <c r="W1549" s="5"/>
      <c r="AB1549" s="5"/>
      <c r="AG1549" s="5"/>
    </row>
    <row r="1550" customFormat="false" ht="12.75" hidden="false" customHeight="true" outlineLevel="0" collapsed="false">
      <c r="M1550" s="5"/>
      <c r="R1550" s="5"/>
      <c r="W1550" s="5"/>
      <c r="AB1550" s="5"/>
      <c r="AG1550" s="5"/>
    </row>
    <row r="1551" customFormat="false" ht="12.75" hidden="false" customHeight="true" outlineLevel="0" collapsed="false">
      <c r="M1551" s="5"/>
      <c r="R1551" s="5"/>
      <c r="W1551" s="5"/>
      <c r="AB1551" s="5"/>
      <c r="AG1551" s="5"/>
    </row>
    <row r="1552" customFormat="false" ht="12.75" hidden="false" customHeight="true" outlineLevel="0" collapsed="false">
      <c r="M1552" s="5"/>
      <c r="R1552" s="5"/>
      <c r="W1552" s="5"/>
      <c r="AB1552" s="5"/>
      <c r="AG1552" s="5"/>
    </row>
    <row r="1553" customFormat="false" ht="12.75" hidden="false" customHeight="true" outlineLevel="0" collapsed="false">
      <c r="M1553" s="5"/>
      <c r="R1553" s="5"/>
      <c r="W1553" s="5"/>
      <c r="AB1553" s="5"/>
      <c r="AG1553" s="5"/>
    </row>
    <row r="1554" customFormat="false" ht="12.75" hidden="false" customHeight="true" outlineLevel="0" collapsed="false">
      <c r="M1554" s="5"/>
      <c r="R1554" s="5"/>
      <c r="W1554" s="5"/>
      <c r="AB1554" s="5"/>
      <c r="AG1554" s="5"/>
    </row>
    <row r="1555" customFormat="false" ht="12.75" hidden="false" customHeight="true" outlineLevel="0" collapsed="false">
      <c r="M1555" s="5"/>
      <c r="R1555" s="5"/>
      <c r="W1555" s="5"/>
      <c r="AB1555" s="5"/>
      <c r="AG1555" s="5"/>
    </row>
    <row r="1556" customFormat="false" ht="12.75" hidden="false" customHeight="true" outlineLevel="0" collapsed="false">
      <c r="M1556" s="5"/>
      <c r="R1556" s="5"/>
      <c r="W1556" s="5"/>
      <c r="AB1556" s="5"/>
      <c r="AG1556" s="5"/>
    </row>
    <row r="1557" customFormat="false" ht="12.75" hidden="false" customHeight="true" outlineLevel="0" collapsed="false">
      <c r="M1557" s="5"/>
      <c r="R1557" s="5"/>
      <c r="W1557" s="5"/>
      <c r="AB1557" s="5"/>
      <c r="AG1557" s="5"/>
    </row>
    <row r="1558" customFormat="false" ht="12.75" hidden="false" customHeight="true" outlineLevel="0" collapsed="false">
      <c r="M1558" s="5"/>
      <c r="R1558" s="5"/>
      <c r="W1558" s="5"/>
      <c r="AB1558" s="5"/>
      <c r="AG1558" s="5"/>
    </row>
    <row r="1559" customFormat="false" ht="12.75" hidden="false" customHeight="true" outlineLevel="0" collapsed="false">
      <c r="M1559" s="5"/>
      <c r="R1559" s="5"/>
      <c r="W1559" s="5"/>
      <c r="AB1559" s="5"/>
      <c r="AG1559" s="5"/>
    </row>
    <row r="1560" customFormat="false" ht="12.75" hidden="false" customHeight="true" outlineLevel="0" collapsed="false">
      <c r="M1560" s="5"/>
      <c r="R1560" s="5"/>
      <c r="W1560" s="5"/>
      <c r="AB1560" s="5"/>
      <c r="AG1560" s="5"/>
    </row>
    <row r="1561" customFormat="false" ht="12.75" hidden="false" customHeight="true" outlineLevel="0" collapsed="false">
      <c r="M1561" s="5"/>
      <c r="R1561" s="5"/>
      <c r="W1561" s="5"/>
      <c r="AB1561" s="5"/>
      <c r="AG1561" s="5"/>
    </row>
    <row r="1562" customFormat="false" ht="12.75" hidden="false" customHeight="true" outlineLevel="0" collapsed="false">
      <c r="M1562" s="5"/>
      <c r="R1562" s="5"/>
      <c r="W1562" s="5"/>
      <c r="AB1562" s="5"/>
      <c r="AG1562" s="5"/>
    </row>
    <row r="1563" customFormat="false" ht="12.75" hidden="false" customHeight="true" outlineLevel="0" collapsed="false">
      <c r="M1563" s="5"/>
      <c r="R1563" s="5"/>
      <c r="W1563" s="5"/>
      <c r="AB1563" s="5"/>
      <c r="AG1563" s="5"/>
    </row>
    <row r="1564" customFormat="false" ht="12.75" hidden="false" customHeight="true" outlineLevel="0" collapsed="false">
      <c r="M1564" s="5"/>
      <c r="R1564" s="5"/>
      <c r="W1564" s="5"/>
      <c r="AB1564" s="5"/>
      <c r="AG1564" s="5"/>
    </row>
    <row r="1565" customFormat="false" ht="12.75" hidden="false" customHeight="true" outlineLevel="0" collapsed="false">
      <c r="M1565" s="5"/>
      <c r="R1565" s="5"/>
      <c r="W1565" s="5"/>
      <c r="AB1565" s="5"/>
      <c r="AG1565" s="5"/>
    </row>
    <row r="1566" customFormat="false" ht="12.75" hidden="false" customHeight="true" outlineLevel="0" collapsed="false">
      <c r="M1566" s="5"/>
      <c r="R1566" s="5"/>
      <c r="W1566" s="5"/>
      <c r="AB1566" s="5"/>
      <c r="AG1566" s="5"/>
    </row>
    <row r="1567" customFormat="false" ht="12.75" hidden="false" customHeight="true" outlineLevel="0" collapsed="false">
      <c r="M1567" s="5"/>
      <c r="R1567" s="5"/>
      <c r="W1567" s="5"/>
      <c r="AB1567" s="5"/>
      <c r="AG1567" s="5"/>
    </row>
    <row r="1568" customFormat="false" ht="12.75" hidden="false" customHeight="true" outlineLevel="0" collapsed="false">
      <c r="M1568" s="5"/>
      <c r="R1568" s="5"/>
      <c r="W1568" s="5"/>
      <c r="AB1568" s="5"/>
      <c r="AG1568" s="5"/>
    </row>
    <row r="1569" customFormat="false" ht="12.75" hidden="false" customHeight="true" outlineLevel="0" collapsed="false">
      <c r="M1569" s="5"/>
      <c r="R1569" s="5"/>
      <c r="W1569" s="5"/>
      <c r="AB1569" s="5"/>
      <c r="AG1569" s="5"/>
    </row>
    <row r="1570" customFormat="false" ht="12.75" hidden="false" customHeight="true" outlineLevel="0" collapsed="false">
      <c r="M1570" s="5"/>
      <c r="R1570" s="5"/>
      <c r="W1570" s="5"/>
      <c r="AB1570" s="5"/>
      <c r="AG1570" s="5"/>
    </row>
    <row r="1571" customFormat="false" ht="12.75" hidden="false" customHeight="true" outlineLevel="0" collapsed="false">
      <c r="M1571" s="5"/>
      <c r="R1571" s="5"/>
      <c r="W1571" s="5"/>
      <c r="AB1571" s="5"/>
      <c r="AG1571" s="5"/>
    </row>
    <row r="1572" customFormat="false" ht="12.75" hidden="false" customHeight="true" outlineLevel="0" collapsed="false">
      <c r="M1572" s="5"/>
      <c r="R1572" s="5"/>
      <c r="W1572" s="5"/>
      <c r="AB1572" s="5"/>
      <c r="AG1572" s="5"/>
    </row>
    <row r="1573" customFormat="false" ht="12.75" hidden="false" customHeight="true" outlineLevel="0" collapsed="false">
      <c r="M1573" s="5"/>
      <c r="R1573" s="5"/>
      <c r="W1573" s="5"/>
      <c r="AB1573" s="5"/>
      <c r="AG1573" s="5"/>
    </row>
    <row r="1574" customFormat="false" ht="12.75" hidden="false" customHeight="true" outlineLevel="0" collapsed="false">
      <c r="M1574" s="5"/>
      <c r="R1574" s="5"/>
      <c r="W1574" s="5"/>
      <c r="AB1574" s="5"/>
      <c r="AG1574" s="5"/>
    </row>
    <row r="1575" customFormat="false" ht="12.75" hidden="false" customHeight="true" outlineLevel="0" collapsed="false">
      <c r="M1575" s="5"/>
      <c r="R1575" s="5"/>
      <c r="W1575" s="5"/>
      <c r="AB1575" s="5"/>
      <c r="AG1575" s="5"/>
    </row>
    <row r="1576" customFormat="false" ht="12.75" hidden="false" customHeight="true" outlineLevel="0" collapsed="false">
      <c r="M1576" s="5"/>
      <c r="R1576" s="5"/>
      <c r="W1576" s="5"/>
      <c r="AB1576" s="5"/>
      <c r="AG1576" s="5"/>
    </row>
    <row r="1577" customFormat="false" ht="12.75" hidden="false" customHeight="true" outlineLevel="0" collapsed="false">
      <c r="M1577" s="5"/>
      <c r="R1577" s="5"/>
      <c r="W1577" s="5"/>
      <c r="AB1577" s="5"/>
      <c r="AG1577" s="5"/>
    </row>
    <row r="1578" customFormat="false" ht="12.75" hidden="false" customHeight="true" outlineLevel="0" collapsed="false">
      <c r="M1578" s="5"/>
      <c r="R1578" s="5"/>
      <c r="W1578" s="5"/>
      <c r="AB1578" s="5"/>
      <c r="AG1578" s="5"/>
    </row>
    <row r="1579" customFormat="false" ht="12.75" hidden="false" customHeight="true" outlineLevel="0" collapsed="false">
      <c r="M1579" s="5"/>
      <c r="R1579" s="5"/>
      <c r="W1579" s="5"/>
      <c r="AB1579" s="5"/>
      <c r="AG1579" s="5"/>
    </row>
    <row r="1580" customFormat="false" ht="12.75" hidden="false" customHeight="true" outlineLevel="0" collapsed="false">
      <c r="M1580" s="5"/>
      <c r="R1580" s="5"/>
      <c r="W1580" s="5"/>
      <c r="AB1580" s="5"/>
      <c r="AG1580" s="5"/>
    </row>
    <row r="1581" customFormat="false" ht="12.75" hidden="false" customHeight="true" outlineLevel="0" collapsed="false">
      <c r="M1581" s="5"/>
      <c r="R1581" s="5"/>
      <c r="W1581" s="5"/>
      <c r="AB1581" s="5"/>
      <c r="AG1581" s="5"/>
    </row>
    <row r="1582" customFormat="false" ht="12.75" hidden="false" customHeight="true" outlineLevel="0" collapsed="false">
      <c r="M1582" s="5"/>
      <c r="R1582" s="5"/>
      <c r="W1582" s="5"/>
      <c r="AB1582" s="5"/>
      <c r="AG1582" s="5"/>
    </row>
    <row r="1583" customFormat="false" ht="12.75" hidden="false" customHeight="true" outlineLevel="0" collapsed="false">
      <c r="M1583" s="5"/>
      <c r="R1583" s="5"/>
      <c r="W1583" s="5"/>
      <c r="AB1583" s="5"/>
      <c r="AG1583" s="5"/>
    </row>
    <row r="1584" customFormat="false" ht="12.75" hidden="false" customHeight="true" outlineLevel="0" collapsed="false">
      <c r="M1584" s="5"/>
      <c r="R1584" s="5"/>
      <c r="W1584" s="5"/>
      <c r="AB1584" s="5"/>
      <c r="AG1584" s="5"/>
    </row>
    <row r="1585" customFormat="false" ht="12.75" hidden="false" customHeight="true" outlineLevel="0" collapsed="false">
      <c r="M1585" s="5"/>
      <c r="R1585" s="5"/>
      <c r="W1585" s="5"/>
      <c r="AB1585" s="5"/>
      <c r="AG1585" s="5"/>
    </row>
    <row r="1586" customFormat="false" ht="12.75" hidden="false" customHeight="true" outlineLevel="0" collapsed="false">
      <c r="M1586" s="5"/>
      <c r="R1586" s="5"/>
      <c r="W1586" s="5"/>
      <c r="AB1586" s="5"/>
      <c r="AG1586" s="5"/>
    </row>
    <row r="1587" customFormat="false" ht="12.75" hidden="false" customHeight="true" outlineLevel="0" collapsed="false">
      <c r="M1587" s="5"/>
      <c r="R1587" s="5"/>
      <c r="W1587" s="5"/>
      <c r="AB1587" s="5"/>
      <c r="AG1587" s="5"/>
    </row>
    <row r="1588" customFormat="false" ht="12.75" hidden="false" customHeight="true" outlineLevel="0" collapsed="false">
      <c r="M1588" s="5"/>
      <c r="R1588" s="5"/>
      <c r="W1588" s="5"/>
      <c r="AB1588" s="5"/>
      <c r="AG1588" s="5"/>
    </row>
    <row r="1589" customFormat="false" ht="12.75" hidden="false" customHeight="true" outlineLevel="0" collapsed="false">
      <c r="M1589" s="5"/>
      <c r="R1589" s="5"/>
      <c r="W1589" s="5"/>
      <c r="AB1589" s="5"/>
      <c r="AG1589" s="5"/>
    </row>
    <row r="1590" customFormat="false" ht="12.75" hidden="false" customHeight="true" outlineLevel="0" collapsed="false">
      <c r="M1590" s="5"/>
      <c r="R1590" s="5"/>
      <c r="W1590" s="5"/>
      <c r="AB1590" s="5"/>
      <c r="AG1590" s="5"/>
    </row>
    <row r="1591" customFormat="false" ht="12.75" hidden="false" customHeight="true" outlineLevel="0" collapsed="false">
      <c r="M1591" s="5"/>
      <c r="R1591" s="5"/>
      <c r="W1591" s="5"/>
      <c r="AB1591" s="5"/>
      <c r="AG1591" s="5"/>
    </row>
    <row r="1592" customFormat="false" ht="12.75" hidden="false" customHeight="true" outlineLevel="0" collapsed="false">
      <c r="M1592" s="5"/>
      <c r="R1592" s="5"/>
      <c r="W1592" s="5"/>
      <c r="AB1592" s="5"/>
      <c r="AG1592" s="5"/>
    </row>
    <row r="1593" customFormat="false" ht="12.75" hidden="false" customHeight="true" outlineLevel="0" collapsed="false">
      <c r="M1593" s="5"/>
      <c r="R1593" s="5"/>
      <c r="W1593" s="5"/>
      <c r="AB1593" s="5"/>
      <c r="AG1593" s="5"/>
    </row>
    <row r="1594" customFormat="false" ht="12.75" hidden="false" customHeight="true" outlineLevel="0" collapsed="false">
      <c r="M1594" s="5"/>
      <c r="R1594" s="5"/>
      <c r="W1594" s="5"/>
      <c r="AB1594" s="5"/>
      <c r="AG1594" s="5"/>
    </row>
    <row r="1595" customFormat="false" ht="12.75" hidden="false" customHeight="true" outlineLevel="0" collapsed="false">
      <c r="M1595" s="5"/>
      <c r="R1595" s="5"/>
      <c r="W1595" s="5"/>
      <c r="AB1595" s="5"/>
      <c r="AG1595" s="5"/>
    </row>
    <row r="1596" customFormat="false" ht="12.75" hidden="false" customHeight="true" outlineLevel="0" collapsed="false">
      <c r="M1596" s="5"/>
      <c r="R1596" s="5"/>
      <c r="W1596" s="5"/>
      <c r="AB1596" s="5"/>
      <c r="AG1596" s="5"/>
    </row>
    <row r="1597" customFormat="false" ht="12.75" hidden="false" customHeight="true" outlineLevel="0" collapsed="false">
      <c r="M1597" s="5"/>
      <c r="R1597" s="5"/>
      <c r="W1597" s="5"/>
      <c r="AB1597" s="5"/>
      <c r="AG1597" s="5"/>
    </row>
    <row r="1598" customFormat="false" ht="12.75" hidden="false" customHeight="true" outlineLevel="0" collapsed="false">
      <c r="M1598" s="5"/>
      <c r="R1598" s="5"/>
      <c r="W1598" s="5"/>
      <c r="AB1598" s="5"/>
      <c r="AG1598" s="5"/>
    </row>
    <row r="1599" customFormat="false" ht="12.75" hidden="false" customHeight="true" outlineLevel="0" collapsed="false">
      <c r="M1599" s="5"/>
      <c r="R1599" s="5"/>
      <c r="W1599" s="5"/>
      <c r="AB1599" s="5"/>
      <c r="AG1599" s="5"/>
    </row>
    <row r="1600" customFormat="false" ht="12.75" hidden="false" customHeight="true" outlineLevel="0" collapsed="false">
      <c r="M1600" s="5"/>
      <c r="R1600" s="5"/>
      <c r="W1600" s="5"/>
      <c r="AB1600" s="5"/>
      <c r="AG1600" s="5"/>
    </row>
    <row r="1601" customFormat="false" ht="12.75" hidden="false" customHeight="true" outlineLevel="0" collapsed="false">
      <c r="M1601" s="5"/>
      <c r="R1601" s="5"/>
      <c r="W1601" s="5"/>
      <c r="AB1601" s="5"/>
      <c r="AG1601" s="5"/>
    </row>
    <row r="1602" customFormat="false" ht="12.75" hidden="false" customHeight="true" outlineLevel="0" collapsed="false">
      <c r="M1602" s="5"/>
      <c r="R1602" s="5"/>
      <c r="W1602" s="5"/>
      <c r="AB1602" s="5"/>
      <c r="AG1602" s="5"/>
    </row>
    <row r="1603" customFormat="false" ht="12.75" hidden="false" customHeight="true" outlineLevel="0" collapsed="false">
      <c r="M1603" s="5"/>
      <c r="R1603" s="5"/>
      <c r="W1603" s="5"/>
      <c r="AB1603" s="5"/>
      <c r="AG1603" s="5"/>
    </row>
    <row r="1604" customFormat="false" ht="12.75" hidden="false" customHeight="true" outlineLevel="0" collapsed="false">
      <c r="M1604" s="5"/>
      <c r="R1604" s="5"/>
      <c r="W1604" s="5"/>
      <c r="AB1604" s="5"/>
      <c r="AG1604" s="5"/>
    </row>
    <row r="1605" customFormat="false" ht="12.75" hidden="false" customHeight="true" outlineLevel="0" collapsed="false">
      <c r="M1605" s="5"/>
      <c r="R1605" s="5"/>
      <c r="W1605" s="5"/>
      <c r="AB1605" s="5"/>
      <c r="AG1605" s="5"/>
    </row>
    <row r="1606" customFormat="false" ht="12.75" hidden="false" customHeight="true" outlineLevel="0" collapsed="false">
      <c r="M1606" s="5"/>
      <c r="R1606" s="5"/>
      <c r="W1606" s="5"/>
      <c r="AB1606" s="5"/>
      <c r="AG1606" s="5"/>
    </row>
    <row r="1607" customFormat="false" ht="12.75" hidden="false" customHeight="true" outlineLevel="0" collapsed="false">
      <c r="M1607" s="5"/>
      <c r="R1607" s="5"/>
      <c r="W1607" s="5"/>
      <c r="AB1607" s="5"/>
      <c r="AG1607" s="5"/>
    </row>
    <row r="1608" customFormat="false" ht="12.75" hidden="false" customHeight="true" outlineLevel="0" collapsed="false">
      <c r="M1608" s="5"/>
      <c r="R1608" s="5"/>
      <c r="W1608" s="5"/>
      <c r="AB1608" s="5"/>
      <c r="AG1608" s="5"/>
    </row>
    <row r="1609" customFormat="false" ht="12.75" hidden="false" customHeight="true" outlineLevel="0" collapsed="false">
      <c r="M1609" s="5"/>
      <c r="R1609" s="5"/>
      <c r="W1609" s="5"/>
      <c r="AB1609" s="5"/>
      <c r="AG1609" s="5"/>
    </row>
    <row r="1610" customFormat="false" ht="12.75" hidden="false" customHeight="true" outlineLevel="0" collapsed="false">
      <c r="M1610" s="5"/>
      <c r="R1610" s="5"/>
      <c r="W1610" s="5"/>
      <c r="AB1610" s="5"/>
      <c r="AG1610" s="5"/>
    </row>
    <row r="1611" customFormat="false" ht="12.75" hidden="false" customHeight="true" outlineLevel="0" collapsed="false">
      <c r="M1611" s="5"/>
      <c r="R1611" s="5"/>
      <c r="W1611" s="5"/>
      <c r="AB1611" s="5"/>
      <c r="AG1611" s="5"/>
    </row>
    <row r="1612" customFormat="false" ht="12.75" hidden="false" customHeight="true" outlineLevel="0" collapsed="false">
      <c r="M1612" s="5"/>
      <c r="R1612" s="5"/>
      <c r="W1612" s="5"/>
      <c r="AB1612" s="5"/>
      <c r="AG1612" s="5"/>
    </row>
    <row r="1613" customFormat="false" ht="12.75" hidden="false" customHeight="true" outlineLevel="0" collapsed="false">
      <c r="M1613" s="5"/>
      <c r="R1613" s="5"/>
      <c r="W1613" s="5"/>
      <c r="AB1613" s="5"/>
      <c r="AG1613" s="5"/>
    </row>
    <row r="1614" customFormat="false" ht="12.75" hidden="false" customHeight="true" outlineLevel="0" collapsed="false">
      <c r="M1614" s="5"/>
      <c r="R1614" s="5"/>
      <c r="W1614" s="5"/>
      <c r="AB1614" s="5"/>
      <c r="AG1614" s="5"/>
    </row>
    <row r="1615" customFormat="false" ht="12.75" hidden="false" customHeight="true" outlineLevel="0" collapsed="false">
      <c r="M1615" s="5"/>
      <c r="R1615" s="5"/>
      <c r="W1615" s="5"/>
      <c r="AB1615" s="5"/>
      <c r="AG1615" s="5"/>
    </row>
    <row r="1616" customFormat="false" ht="12.75" hidden="false" customHeight="true" outlineLevel="0" collapsed="false">
      <c r="M1616" s="5"/>
      <c r="R1616" s="5"/>
      <c r="W1616" s="5"/>
      <c r="AB1616" s="5"/>
      <c r="AG1616" s="5"/>
    </row>
    <row r="1617" customFormat="false" ht="12.75" hidden="false" customHeight="true" outlineLevel="0" collapsed="false">
      <c r="M1617" s="5"/>
      <c r="R1617" s="5"/>
      <c r="W1617" s="5"/>
      <c r="AB1617" s="5"/>
      <c r="AG1617" s="5"/>
    </row>
    <row r="1618" customFormat="false" ht="12.75" hidden="false" customHeight="true" outlineLevel="0" collapsed="false">
      <c r="M1618" s="5"/>
      <c r="R1618" s="5"/>
      <c r="W1618" s="5"/>
      <c r="AB1618" s="5"/>
      <c r="AG1618" s="5"/>
    </row>
    <row r="1619" customFormat="false" ht="12.75" hidden="false" customHeight="true" outlineLevel="0" collapsed="false">
      <c r="M1619" s="5"/>
      <c r="R1619" s="5"/>
      <c r="W1619" s="5"/>
      <c r="AB1619" s="5"/>
      <c r="AG1619" s="5"/>
    </row>
    <row r="1620" customFormat="false" ht="12.75" hidden="false" customHeight="true" outlineLevel="0" collapsed="false">
      <c r="M1620" s="5"/>
      <c r="R1620" s="5"/>
      <c r="W1620" s="5"/>
      <c r="AB1620" s="5"/>
      <c r="AG1620" s="5"/>
    </row>
    <row r="1621" customFormat="false" ht="12.75" hidden="false" customHeight="true" outlineLevel="0" collapsed="false">
      <c r="M1621" s="5"/>
      <c r="R1621" s="5"/>
      <c r="W1621" s="5"/>
      <c r="AB1621" s="5"/>
      <c r="AG1621" s="5"/>
    </row>
    <row r="1622" customFormat="false" ht="12.75" hidden="false" customHeight="true" outlineLevel="0" collapsed="false">
      <c r="M1622" s="5"/>
      <c r="R1622" s="5"/>
      <c r="W1622" s="5"/>
      <c r="AB1622" s="5"/>
      <c r="AG1622" s="5"/>
    </row>
    <row r="1623" customFormat="false" ht="12.75" hidden="false" customHeight="true" outlineLevel="0" collapsed="false">
      <c r="M1623" s="5"/>
      <c r="R1623" s="5"/>
      <c r="W1623" s="5"/>
      <c r="AB1623" s="5"/>
      <c r="AG1623" s="5"/>
    </row>
    <row r="1624" customFormat="false" ht="12.75" hidden="false" customHeight="true" outlineLevel="0" collapsed="false">
      <c r="M1624" s="5"/>
      <c r="R1624" s="5"/>
      <c r="W1624" s="5"/>
      <c r="AB1624" s="5"/>
      <c r="AG1624" s="5"/>
    </row>
    <row r="1625" customFormat="false" ht="12.75" hidden="false" customHeight="true" outlineLevel="0" collapsed="false">
      <c r="M1625" s="5"/>
      <c r="R1625" s="5"/>
      <c r="W1625" s="5"/>
      <c r="AB1625" s="5"/>
      <c r="AG1625" s="5"/>
    </row>
    <row r="1626" customFormat="false" ht="12.75" hidden="false" customHeight="true" outlineLevel="0" collapsed="false">
      <c r="M1626" s="5"/>
      <c r="R1626" s="5"/>
      <c r="W1626" s="5"/>
      <c r="AB1626" s="5"/>
      <c r="AG1626" s="5"/>
    </row>
    <row r="1627" customFormat="false" ht="12.75" hidden="false" customHeight="true" outlineLevel="0" collapsed="false">
      <c r="M1627" s="5"/>
      <c r="R1627" s="5"/>
      <c r="W1627" s="5"/>
      <c r="AB1627" s="5"/>
      <c r="AG1627" s="5"/>
    </row>
    <row r="1628" customFormat="false" ht="12.75" hidden="false" customHeight="true" outlineLevel="0" collapsed="false">
      <c r="M1628" s="5"/>
      <c r="R1628" s="5"/>
      <c r="W1628" s="5"/>
      <c r="AB1628" s="5"/>
      <c r="AG1628" s="5"/>
    </row>
    <row r="1629" customFormat="false" ht="12.75" hidden="false" customHeight="true" outlineLevel="0" collapsed="false">
      <c r="M1629" s="5"/>
      <c r="R1629" s="5"/>
      <c r="W1629" s="5"/>
      <c r="AB1629" s="5"/>
      <c r="AG1629" s="5"/>
    </row>
    <row r="1630" customFormat="false" ht="12.75" hidden="false" customHeight="true" outlineLevel="0" collapsed="false">
      <c r="M1630" s="5"/>
      <c r="R1630" s="5"/>
      <c r="W1630" s="5"/>
      <c r="AB1630" s="5"/>
      <c r="AG1630" s="5"/>
    </row>
    <row r="1631" customFormat="false" ht="12.75" hidden="false" customHeight="true" outlineLevel="0" collapsed="false">
      <c r="M1631" s="5"/>
      <c r="R1631" s="5"/>
      <c r="W1631" s="5"/>
      <c r="AB1631" s="5"/>
      <c r="AG1631" s="5"/>
    </row>
    <row r="1632" customFormat="false" ht="12.75" hidden="false" customHeight="true" outlineLevel="0" collapsed="false">
      <c r="M1632" s="5"/>
      <c r="R1632" s="5"/>
      <c r="W1632" s="5"/>
      <c r="AB1632" s="5"/>
      <c r="AG1632" s="5"/>
    </row>
    <row r="1633" customFormat="false" ht="12.75" hidden="false" customHeight="true" outlineLevel="0" collapsed="false">
      <c r="M1633" s="5"/>
      <c r="R1633" s="5"/>
      <c r="W1633" s="5"/>
      <c r="AB1633" s="5"/>
      <c r="AG1633" s="5"/>
    </row>
    <row r="1634" customFormat="false" ht="12.75" hidden="false" customHeight="true" outlineLevel="0" collapsed="false">
      <c r="M1634" s="5"/>
      <c r="R1634" s="5"/>
      <c r="W1634" s="5"/>
      <c r="AB1634" s="5"/>
      <c r="AG1634" s="5"/>
    </row>
    <row r="1635" customFormat="false" ht="12.75" hidden="false" customHeight="true" outlineLevel="0" collapsed="false">
      <c r="M1635" s="5"/>
      <c r="R1635" s="5"/>
      <c r="W1635" s="5"/>
      <c r="AB1635" s="5"/>
      <c r="AG1635" s="5"/>
    </row>
    <row r="1636" customFormat="false" ht="12.75" hidden="false" customHeight="true" outlineLevel="0" collapsed="false">
      <c r="M1636" s="5"/>
      <c r="R1636" s="5"/>
      <c r="W1636" s="5"/>
      <c r="AB1636" s="5"/>
      <c r="AG1636" s="5"/>
    </row>
    <row r="1637" customFormat="false" ht="12.75" hidden="false" customHeight="true" outlineLevel="0" collapsed="false">
      <c r="M1637" s="5"/>
      <c r="R1637" s="5"/>
      <c r="W1637" s="5"/>
      <c r="AB1637" s="5"/>
      <c r="AG1637" s="5"/>
    </row>
    <row r="1638" customFormat="false" ht="12.75" hidden="false" customHeight="true" outlineLevel="0" collapsed="false">
      <c r="M1638" s="5"/>
      <c r="R1638" s="5"/>
      <c r="W1638" s="5"/>
      <c r="AB1638" s="5"/>
      <c r="AG1638" s="5"/>
    </row>
    <row r="1639" customFormat="false" ht="12.75" hidden="false" customHeight="true" outlineLevel="0" collapsed="false">
      <c r="M1639" s="5"/>
      <c r="R1639" s="5"/>
      <c r="W1639" s="5"/>
      <c r="AB1639" s="5"/>
      <c r="AG1639" s="5"/>
    </row>
    <row r="1640" customFormat="false" ht="12.75" hidden="false" customHeight="true" outlineLevel="0" collapsed="false">
      <c r="M1640" s="5"/>
      <c r="R1640" s="5"/>
      <c r="W1640" s="5"/>
      <c r="AB1640" s="5"/>
      <c r="AG1640" s="5"/>
    </row>
    <row r="1641" customFormat="false" ht="12.75" hidden="false" customHeight="true" outlineLevel="0" collapsed="false">
      <c r="M1641" s="5"/>
      <c r="R1641" s="5"/>
      <c r="W1641" s="5"/>
      <c r="AB1641" s="5"/>
      <c r="AG1641" s="5"/>
    </row>
    <row r="1642" customFormat="false" ht="12.75" hidden="false" customHeight="true" outlineLevel="0" collapsed="false">
      <c r="M1642" s="5"/>
      <c r="R1642" s="5"/>
      <c r="W1642" s="5"/>
      <c r="AB1642" s="5"/>
      <c r="AG1642" s="5"/>
    </row>
    <row r="1643" customFormat="false" ht="12.75" hidden="false" customHeight="true" outlineLevel="0" collapsed="false">
      <c r="M1643" s="5"/>
      <c r="R1643" s="5"/>
      <c r="W1643" s="5"/>
      <c r="AB1643" s="5"/>
      <c r="AG1643" s="5"/>
    </row>
    <row r="1644" customFormat="false" ht="12.75" hidden="false" customHeight="true" outlineLevel="0" collapsed="false">
      <c r="M1644" s="5"/>
      <c r="R1644" s="5"/>
      <c r="W1644" s="5"/>
      <c r="AB1644" s="5"/>
      <c r="AG1644" s="5"/>
    </row>
    <row r="1645" customFormat="false" ht="12.75" hidden="false" customHeight="true" outlineLevel="0" collapsed="false">
      <c r="M1645" s="5"/>
      <c r="R1645" s="5"/>
      <c r="W1645" s="5"/>
      <c r="AB1645" s="5"/>
      <c r="AG1645" s="5"/>
    </row>
    <row r="1646" customFormat="false" ht="12.75" hidden="false" customHeight="true" outlineLevel="0" collapsed="false">
      <c r="M1646" s="5"/>
      <c r="R1646" s="5"/>
      <c r="W1646" s="5"/>
      <c r="AB1646" s="5"/>
      <c r="AG1646" s="5"/>
    </row>
    <row r="1647" customFormat="false" ht="12.75" hidden="false" customHeight="true" outlineLevel="0" collapsed="false">
      <c r="M1647" s="5"/>
      <c r="R1647" s="5"/>
      <c r="W1647" s="5"/>
      <c r="AB1647" s="5"/>
      <c r="AG1647" s="5"/>
    </row>
    <row r="1648" customFormat="false" ht="12.75" hidden="false" customHeight="true" outlineLevel="0" collapsed="false">
      <c r="M1648" s="5"/>
      <c r="R1648" s="5"/>
      <c r="W1648" s="5"/>
      <c r="AB1648" s="5"/>
      <c r="AG1648" s="5"/>
    </row>
    <row r="1649" customFormat="false" ht="12.75" hidden="false" customHeight="true" outlineLevel="0" collapsed="false">
      <c r="M1649" s="5"/>
      <c r="R1649" s="5"/>
      <c r="W1649" s="5"/>
      <c r="AB1649" s="5"/>
      <c r="AG1649" s="5"/>
    </row>
    <row r="1650" customFormat="false" ht="12.75" hidden="false" customHeight="true" outlineLevel="0" collapsed="false">
      <c r="M1650" s="5"/>
      <c r="R1650" s="5"/>
      <c r="W1650" s="5"/>
      <c r="AB1650" s="5"/>
      <c r="AG1650" s="5"/>
    </row>
    <row r="1651" customFormat="false" ht="12.75" hidden="false" customHeight="true" outlineLevel="0" collapsed="false">
      <c r="M1651" s="5"/>
      <c r="R1651" s="5"/>
      <c r="W1651" s="5"/>
      <c r="AB1651" s="5"/>
      <c r="AG1651" s="5"/>
    </row>
    <row r="1652" customFormat="false" ht="12.75" hidden="false" customHeight="true" outlineLevel="0" collapsed="false">
      <c r="M1652" s="5"/>
      <c r="R1652" s="5"/>
      <c r="W1652" s="5"/>
      <c r="AB1652" s="5"/>
      <c r="AG1652" s="5"/>
    </row>
    <row r="1653" customFormat="false" ht="12.75" hidden="false" customHeight="true" outlineLevel="0" collapsed="false">
      <c r="M1653" s="5"/>
      <c r="R1653" s="5"/>
      <c r="W1653" s="5"/>
      <c r="AB1653" s="5"/>
      <c r="AG1653" s="5"/>
    </row>
    <row r="1654" customFormat="false" ht="12.75" hidden="false" customHeight="true" outlineLevel="0" collapsed="false">
      <c r="M1654" s="5"/>
      <c r="R1654" s="5"/>
      <c r="W1654" s="5"/>
      <c r="AB1654" s="5"/>
      <c r="AG1654" s="5"/>
    </row>
    <row r="1655" customFormat="false" ht="12.75" hidden="false" customHeight="true" outlineLevel="0" collapsed="false">
      <c r="M1655" s="5"/>
      <c r="R1655" s="5"/>
      <c r="W1655" s="5"/>
      <c r="AB1655" s="5"/>
      <c r="AG1655" s="5"/>
    </row>
    <row r="1656" customFormat="false" ht="12.75" hidden="false" customHeight="true" outlineLevel="0" collapsed="false">
      <c r="M1656" s="5"/>
      <c r="R1656" s="5"/>
      <c r="W1656" s="5"/>
      <c r="AB1656" s="5"/>
      <c r="AG1656" s="5"/>
    </row>
    <row r="1657" customFormat="false" ht="12.75" hidden="false" customHeight="true" outlineLevel="0" collapsed="false">
      <c r="M1657" s="5"/>
      <c r="R1657" s="5"/>
      <c r="W1657" s="5"/>
      <c r="AB1657" s="5"/>
      <c r="AG1657" s="5"/>
    </row>
    <row r="1658" customFormat="false" ht="12.75" hidden="false" customHeight="true" outlineLevel="0" collapsed="false">
      <c r="M1658" s="5"/>
      <c r="R1658" s="5"/>
      <c r="W1658" s="5"/>
      <c r="AB1658" s="5"/>
      <c r="AG1658" s="5"/>
    </row>
    <row r="1659" customFormat="false" ht="12.75" hidden="false" customHeight="true" outlineLevel="0" collapsed="false">
      <c r="M1659" s="5"/>
      <c r="R1659" s="5"/>
      <c r="W1659" s="5"/>
      <c r="AB1659" s="5"/>
      <c r="AG1659" s="5"/>
    </row>
    <row r="1660" customFormat="false" ht="12.75" hidden="false" customHeight="true" outlineLevel="0" collapsed="false">
      <c r="M1660" s="5"/>
      <c r="R1660" s="5"/>
      <c r="W1660" s="5"/>
      <c r="AB1660" s="5"/>
      <c r="AG1660" s="5"/>
    </row>
    <row r="1661" customFormat="false" ht="12.75" hidden="false" customHeight="true" outlineLevel="0" collapsed="false">
      <c r="M1661" s="5"/>
      <c r="R1661" s="5"/>
      <c r="W1661" s="5"/>
      <c r="AB1661" s="5"/>
      <c r="AG1661" s="5"/>
    </row>
    <row r="1662" customFormat="false" ht="12.75" hidden="false" customHeight="true" outlineLevel="0" collapsed="false">
      <c r="M1662" s="5"/>
      <c r="R1662" s="5"/>
      <c r="W1662" s="5"/>
      <c r="AB1662" s="5"/>
      <c r="AG1662" s="5"/>
    </row>
    <row r="1663" customFormat="false" ht="12.75" hidden="false" customHeight="true" outlineLevel="0" collapsed="false">
      <c r="M1663" s="5"/>
      <c r="R1663" s="5"/>
      <c r="W1663" s="5"/>
      <c r="AB1663" s="5"/>
      <c r="AG1663" s="5"/>
    </row>
    <row r="1664" customFormat="false" ht="12.75" hidden="false" customHeight="true" outlineLevel="0" collapsed="false">
      <c r="M1664" s="5"/>
      <c r="R1664" s="5"/>
      <c r="W1664" s="5"/>
      <c r="AB1664" s="5"/>
      <c r="AG1664" s="5"/>
    </row>
    <row r="1665" customFormat="false" ht="12.75" hidden="false" customHeight="true" outlineLevel="0" collapsed="false">
      <c r="M1665" s="5"/>
      <c r="R1665" s="5"/>
      <c r="W1665" s="5"/>
      <c r="AB1665" s="5"/>
      <c r="AG1665" s="5"/>
    </row>
    <row r="1666" customFormat="false" ht="12.75" hidden="false" customHeight="true" outlineLevel="0" collapsed="false">
      <c r="M1666" s="5"/>
      <c r="R1666" s="5"/>
      <c r="W1666" s="5"/>
      <c r="AB1666" s="5"/>
      <c r="AG1666" s="5"/>
    </row>
    <row r="1667" customFormat="false" ht="12.75" hidden="false" customHeight="true" outlineLevel="0" collapsed="false">
      <c r="M1667" s="5"/>
      <c r="R1667" s="5"/>
      <c r="W1667" s="5"/>
      <c r="AB1667" s="5"/>
      <c r="AG1667" s="5"/>
    </row>
    <row r="1668" customFormat="false" ht="12.75" hidden="false" customHeight="true" outlineLevel="0" collapsed="false">
      <c r="M1668" s="5"/>
      <c r="R1668" s="5"/>
      <c r="W1668" s="5"/>
      <c r="AB1668" s="5"/>
      <c r="AG1668" s="5"/>
    </row>
    <row r="1669" customFormat="false" ht="12.75" hidden="false" customHeight="true" outlineLevel="0" collapsed="false">
      <c r="M1669" s="5"/>
      <c r="R1669" s="5"/>
      <c r="W1669" s="5"/>
      <c r="AB1669" s="5"/>
      <c r="AG1669" s="5"/>
    </row>
    <row r="1670" customFormat="false" ht="12.75" hidden="false" customHeight="true" outlineLevel="0" collapsed="false">
      <c r="M1670" s="5"/>
      <c r="R1670" s="5"/>
      <c r="W1670" s="5"/>
      <c r="AB1670" s="5"/>
      <c r="AG1670" s="5"/>
    </row>
    <row r="1671" customFormat="false" ht="12.75" hidden="false" customHeight="true" outlineLevel="0" collapsed="false">
      <c r="M1671" s="5"/>
      <c r="R1671" s="5"/>
      <c r="W1671" s="5"/>
      <c r="AB1671" s="5"/>
      <c r="AG1671" s="5"/>
    </row>
    <row r="1672" customFormat="false" ht="12.75" hidden="false" customHeight="true" outlineLevel="0" collapsed="false">
      <c r="M1672" s="5"/>
      <c r="R1672" s="5"/>
      <c r="W1672" s="5"/>
      <c r="AB1672" s="5"/>
      <c r="AG1672" s="5"/>
    </row>
    <row r="1673" customFormat="false" ht="12.75" hidden="false" customHeight="true" outlineLevel="0" collapsed="false">
      <c r="M1673" s="5"/>
      <c r="R1673" s="5"/>
      <c r="W1673" s="5"/>
      <c r="AB1673" s="5"/>
      <c r="AG1673" s="5"/>
    </row>
    <row r="1674" customFormat="false" ht="12.75" hidden="false" customHeight="true" outlineLevel="0" collapsed="false">
      <c r="M1674" s="5"/>
      <c r="R1674" s="5"/>
      <c r="W1674" s="5"/>
      <c r="AB1674" s="5"/>
      <c r="AG1674" s="5"/>
    </row>
    <row r="1675" customFormat="false" ht="12.75" hidden="false" customHeight="true" outlineLevel="0" collapsed="false">
      <c r="M1675" s="5"/>
      <c r="R1675" s="5"/>
      <c r="W1675" s="5"/>
      <c r="AB1675" s="5"/>
      <c r="AG1675" s="5"/>
    </row>
    <row r="1676" customFormat="false" ht="12.75" hidden="false" customHeight="true" outlineLevel="0" collapsed="false">
      <c r="M1676" s="5"/>
      <c r="R1676" s="5"/>
      <c r="W1676" s="5"/>
      <c r="AB1676" s="5"/>
      <c r="AG1676" s="5"/>
    </row>
    <row r="1677" customFormat="false" ht="12.75" hidden="false" customHeight="true" outlineLevel="0" collapsed="false">
      <c r="M1677" s="5"/>
      <c r="R1677" s="5"/>
      <c r="W1677" s="5"/>
      <c r="AB1677" s="5"/>
      <c r="AG1677" s="5"/>
    </row>
    <row r="1678" customFormat="false" ht="12.75" hidden="false" customHeight="true" outlineLevel="0" collapsed="false">
      <c r="M1678" s="5"/>
      <c r="R1678" s="5"/>
      <c r="W1678" s="5"/>
      <c r="AB1678" s="5"/>
      <c r="AG1678" s="5"/>
    </row>
    <row r="1679" customFormat="false" ht="12.75" hidden="false" customHeight="true" outlineLevel="0" collapsed="false">
      <c r="M1679" s="5"/>
      <c r="R1679" s="5"/>
      <c r="W1679" s="5"/>
      <c r="AB1679" s="5"/>
      <c r="AG1679" s="5"/>
    </row>
    <row r="1680" customFormat="false" ht="12.75" hidden="false" customHeight="true" outlineLevel="0" collapsed="false">
      <c r="M1680" s="5"/>
      <c r="R1680" s="5"/>
      <c r="W1680" s="5"/>
      <c r="AB1680" s="5"/>
      <c r="AG1680" s="5"/>
    </row>
    <row r="1681" customFormat="false" ht="12.75" hidden="false" customHeight="true" outlineLevel="0" collapsed="false">
      <c r="M1681" s="5"/>
      <c r="R1681" s="5"/>
      <c r="W1681" s="5"/>
      <c r="AB1681" s="5"/>
      <c r="AG1681" s="5"/>
    </row>
    <row r="1682" customFormat="false" ht="12.75" hidden="false" customHeight="true" outlineLevel="0" collapsed="false">
      <c r="M1682" s="5"/>
      <c r="R1682" s="5"/>
      <c r="W1682" s="5"/>
      <c r="AB1682" s="5"/>
      <c r="AG1682" s="5"/>
    </row>
    <row r="1683" customFormat="false" ht="12.75" hidden="false" customHeight="true" outlineLevel="0" collapsed="false">
      <c r="M1683" s="5"/>
      <c r="R1683" s="5"/>
      <c r="W1683" s="5"/>
      <c r="AB1683" s="5"/>
      <c r="AG1683" s="5"/>
    </row>
    <row r="1684" customFormat="false" ht="12.75" hidden="false" customHeight="true" outlineLevel="0" collapsed="false">
      <c r="M1684" s="5"/>
      <c r="R1684" s="5"/>
      <c r="W1684" s="5"/>
      <c r="AB1684" s="5"/>
      <c r="AG1684" s="5"/>
    </row>
    <row r="1685" customFormat="false" ht="12.75" hidden="false" customHeight="true" outlineLevel="0" collapsed="false">
      <c r="M1685" s="5"/>
      <c r="R1685" s="5"/>
      <c r="W1685" s="5"/>
      <c r="AB1685" s="5"/>
      <c r="AG1685" s="5"/>
    </row>
    <row r="1686" customFormat="false" ht="12.75" hidden="false" customHeight="true" outlineLevel="0" collapsed="false">
      <c r="M1686" s="5"/>
      <c r="R1686" s="5"/>
      <c r="W1686" s="5"/>
      <c r="AB1686" s="5"/>
      <c r="AG1686" s="5"/>
    </row>
    <row r="1687" customFormat="false" ht="12.75" hidden="false" customHeight="true" outlineLevel="0" collapsed="false">
      <c r="M1687" s="5"/>
      <c r="R1687" s="5"/>
      <c r="W1687" s="5"/>
      <c r="AB1687" s="5"/>
      <c r="AG1687" s="5"/>
    </row>
    <row r="1688" customFormat="false" ht="12.75" hidden="false" customHeight="true" outlineLevel="0" collapsed="false">
      <c r="M1688" s="5"/>
      <c r="R1688" s="5"/>
      <c r="W1688" s="5"/>
      <c r="AB1688" s="5"/>
      <c r="AG1688" s="5"/>
    </row>
    <row r="1689" customFormat="false" ht="12.75" hidden="false" customHeight="true" outlineLevel="0" collapsed="false">
      <c r="M1689" s="5"/>
      <c r="R1689" s="5"/>
      <c r="W1689" s="5"/>
      <c r="AB1689" s="5"/>
      <c r="AG1689" s="5"/>
    </row>
    <row r="1690" customFormat="false" ht="12.75" hidden="false" customHeight="true" outlineLevel="0" collapsed="false">
      <c r="M1690" s="5"/>
      <c r="R1690" s="5"/>
      <c r="W1690" s="5"/>
      <c r="AB1690" s="5"/>
      <c r="AG1690" s="5"/>
    </row>
    <row r="1691" customFormat="false" ht="12.75" hidden="false" customHeight="true" outlineLevel="0" collapsed="false">
      <c r="M1691" s="5"/>
      <c r="R1691" s="5"/>
      <c r="W1691" s="5"/>
      <c r="AB1691" s="5"/>
      <c r="AG1691" s="5"/>
    </row>
    <row r="1692" customFormat="false" ht="12.75" hidden="false" customHeight="true" outlineLevel="0" collapsed="false">
      <c r="M1692" s="5"/>
      <c r="R1692" s="5"/>
      <c r="W1692" s="5"/>
      <c r="AB1692" s="5"/>
      <c r="AG1692" s="5"/>
    </row>
    <row r="1693" customFormat="false" ht="12.75" hidden="false" customHeight="true" outlineLevel="0" collapsed="false">
      <c r="M1693" s="5"/>
      <c r="R1693" s="5"/>
      <c r="W1693" s="5"/>
      <c r="AB1693" s="5"/>
      <c r="AG1693" s="5"/>
    </row>
    <row r="1694" customFormat="false" ht="12.75" hidden="false" customHeight="true" outlineLevel="0" collapsed="false">
      <c r="M1694" s="5"/>
      <c r="R1694" s="5"/>
      <c r="W1694" s="5"/>
      <c r="AB1694" s="5"/>
      <c r="AG1694" s="5"/>
    </row>
    <row r="1695" customFormat="false" ht="12.75" hidden="false" customHeight="true" outlineLevel="0" collapsed="false">
      <c r="M1695" s="5"/>
      <c r="R1695" s="5"/>
      <c r="W1695" s="5"/>
      <c r="AB1695" s="5"/>
      <c r="AG1695" s="5"/>
    </row>
    <row r="1696" customFormat="false" ht="12.75" hidden="false" customHeight="true" outlineLevel="0" collapsed="false">
      <c r="M1696" s="5"/>
      <c r="R1696" s="5"/>
      <c r="W1696" s="5"/>
      <c r="AB1696" s="5"/>
      <c r="AG1696" s="5"/>
    </row>
    <row r="1697" customFormat="false" ht="12.75" hidden="false" customHeight="true" outlineLevel="0" collapsed="false">
      <c r="M1697" s="5"/>
      <c r="R1697" s="5"/>
      <c r="W1697" s="5"/>
      <c r="AB1697" s="5"/>
      <c r="AG1697" s="5"/>
    </row>
    <row r="1698" customFormat="false" ht="12.75" hidden="false" customHeight="true" outlineLevel="0" collapsed="false">
      <c r="M1698" s="5"/>
      <c r="R1698" s="5"/>
      <c r="W1698" s="5"/>
      <c r="AB1698" s="5"/>
      <c r="AG1698" s="5"/>
    </row>
    <row r="1699" customFormat="false" ht="12.75" hidden="false" customHeight="true" outlineLevel="0" collapsed="false">
      <c r="M1699" s="5"/>
      <c r="R1699" s="5"/>
      <c r="W1699" s="5"/>
      <c r="AB1699" s="5"/>
      <c r="AG1699" s="5"/>
    </row>
    <row r="1700" customFormat="false" ht="12.75" hidden="false" customHeight="true" outlineLevel="0" collapsed="false">
      <c r="M1700" s="5"/>
      <c r="R1700" s="5"/>
      <c r="W1700" s="5"/>
      <c r="AB1700" s="5"/>
      <c r="AG1700" s="5"/>
    </row>
  </sheetData>
  <dataValidations count="1">
    <dataValidation allowBlank="true" errorStyle="stop" operator="equal" showDropDown="false" showErrorMessage="true" showInputMessage="false" sqref="M4 R4 W4 AB4 AG4 M6 R6 W6 AB6 AG6 M8 R8 W8 AB8 AG8 M10 R10 W10 AB10 AG10 M12 R12 W12 AB12 AG12 M14 R14 W14 AB14 AG14 M16 R16 W16 AB16 AG16 M18 R18 W18 AB18 AG18 M20 R20 W20 AB20 AG20 M22 R22 W22 AB22 AG22 M24 R24 W24 AB24 AG24 M26 R26 W26 AB26 AG26 M28 R28 W28 AB28 AG28 M30 R30 W30 AB30 AG30 M32 R32 W32 AB32 AG32 M34 R34 W34 AB34 AG34 M36 R36 W36 AB36 AG36 M38 R38 W38 AB38 AG38 M40 R40 W40 AB40 AG40 M42 R42 W42 AB42 AG42 M44 R44 W44 AB44 AG44 M46 R46 W46 AB46 AG46 M48 R48 W48 AB48 AG48 M50 R50 W50 AB50 AG50 M52:M53 R52:R53 W52:W53 AB52:AB53 AG52:AG53 M55 R55 W55 AB55 AG55 M57 R57 W57 AB57 AG57 M59 R59 W59 AB59 AG59 M61 R61 W61 AB61 AG61 M63 R63 W63 AB63 AG63 M65 R65 W65 AB65 AG65 M67 R67 W67 AB67 AG67 M69 R69 W69 AB69 AG69 M71 R71 W71 AB71 AG71 M73 R73 W73 AB73 AG73 M75 R75 W75 AB75 AG75 M77 R77 W77 AB77 AG77 M79 R79 W79 AB79 AG79 M81 R81 W81 AB81 AG81 M83:M84 R83:R84 W83:W84 AB83:AB84 AG83:AG84 M86 R86 W86 AB86 AG86 M88 R88 W88 AB88 AG88 M90 R90 W90 AB90 AG90 M92 R92 W92 AB92 AG92 M94 R94 W94 AB94 AG94 M96 R96 W96 AB96 AG96 M98 R98 W98 AB98 AG98 M100 R100 W100 AB100 AG100 M102 R102 W102 AB102 AG102 M104 R104 W104 AB104 AG104 M106 R106 W106 AB106 AG106 M108 R108 W108 AB108 AG108 M110 R110 W110 AB110 AG110 M112 R112 W112 AB112 AG112 M114 R114 W114 AB114 AG114 M116 R116 W116 AB116 AG116 M118 R118 W118 AB118 AG118 M120 R120 W120 AB120 AG120 M122 R122 W122 AB122 AG122 M124 R124 W124 AB124 AG124 M126 R126 W126 AB126 AG126 M128 R128 W128 AB128 AG128 M130 R130 W130 AB130 AG130 M132 R132 W132 AB132 AG132 M134 R134 W134 AB134 AG134 M136 R136 W136 AB136 AG136 M138 R138 W138 AB138 AG138 M140 R140 W140 AB140 AG140 M142 R142 W142 AB142 AG142 M144 R144 W144 AB144 AG144 M146 R146 W146 AB146 AG146 M148 R148 W148 AB148 AG148 M150 R150 W150 AB150 AG150 M152 R152 W152 AB152 AG152 M154 R154 W154 AB154 AG154 M156 R156 W156 AB156 AG156 M158 R158 W158 AB158 AG158 M160 R160 W160 AB160 AG160 M162 R162 W162 AB162 AG162 M164 R164 W164 AB164 AG164 M166 R166 W166 AB166 AG166 M168 R168 W168 AB168 AG168 M170 R170 W170 AB170 AG170 M172 R172 W172 AB172 AG172 M174 R174 W174 AB174 AG174 M176 R176 W176 AB176 AG176 M178 R178 W178 AB178 AG178 M180 R180 W180 AB180 AG180 M182 R182 W182 AB182 AG182 M184 R184 W184 AB184 AG184 M186 R186 W186 AB186 AG186 M188 R188 W188 AB188 AG188 M190 R190 W190 AB190 AG190 M192 R192 W192 AB192 AG192 M194 R194 W194 AB194 AG194 M196 R196 W196 AB196 AG196 M198 R198 W198 AB198 AG198 M200 R200 W200 AB200 AG200 M202 R202 W202 AB202 AG202 M204 R204 W204 AB204 AG204 M206 R206 W206 AB206 AG206 M208 R208 W208 AB208 AG208 M210 R210 W210 AB210 AG210 M212 R212 W212 AB212 AG212 M214 R214 W214 AB214 AG214 M216 R216 W216 AB216 AG216 M218 R218 W218 AB218 AG218 M220 R220 W220 AB220 AG220 M222 R222 W222 AB222 AG222 M224 R224 W224 AB224 AG224 M226 R226 W226 AB226 AG226 M228 R228 W228 AB228 AG228 M230 R230 W230 AB230 AG230 M232 R232 W232 AB232 AG232 M234 R234 W234 AB234 AG234 M236 R236 W236 AB236 AG236 M238 R238 W238 AB238 AG238 M240 R240 W240 AB240 AG240 M242 R242 W242 AB242 AG242 M244 R244 W244 AB244 AG244 M246 R246 W246 AB246 AG246 M248 R248 W248 AB248 AG248 M250 R250 W250 AB250 AG250 M252 R252 W252 AB252 AG252 M254 R254 W254 AB254 AG254 M256 R256 W256 AB256 AG256 M258 R258 W258 AB258 AG258 M260 R260 W260 AB260 AG260 M262 R262 W262 AB262 AG262 M264 R264 W264 AB264 AG264 M266 R266 W266 AB266 AG266 M268 R268 W268 AB268 AG268 M270 R270 W270 AB270 AG270 M272 R272 W272 AB272 AG272 M274 R274 W274 AB274 AG274 M276 R276 W276 AB276 AG276 M278 R278 W278 AB278 AG278 M280 R280 W280 AB280 AG280 M282 R282 W282 AB282 AG282 M284 R284 W284 AB284 AG284 M286 R286 W286 AB286 AG286 M288 R288 W288 AB288 AG288 M290 R290 W290 AB290 AG290 M292 R292 W292 AB292 AG292 M294 R294 W294 AB294 AG294 M296 R296 W296 AB296 AG296 M298 R298 W298 AB298 AG298 M300 R300 W300 AB300 AG300 M302 R302 W302 AB302 AG302 M304 R304 W304 AB304 AG304 M306 R306 W306 AB306 AG306 M308 R308 W308 AB308 AG308 M310:M311 R310:R311 W310:W311 AB310:AB311 AG310:AG311 M313 R313 W313 AB313 AG313 M315 R315 W315 AB315 AG315 M317 R317 W317 AB317 AG317 M319 R319 W319 AB319 AG319 M321:M322 R321:R322 W321:W322 AB321:AB322 AG321:AG322 M324 R324 W324 AB324 AG324 M326 R326 W326 AB326 AG326 M328 R328 W328 AB328 AG328 M330 R330 W330 AB330 AG330 M332 R332 W332 AB332 AG332 M334 R334 W334 AB334 AG334 M336 R336 W336 AB336 AG336 M338 R338 W338 AB338 AG338 M340 R340 W340 AB340 AG340 M342 R342 W342 AB342 AG342 M344 R344 W344 AB344 AG344 M346 R346 W346 AB346 AG346 M348 R348 W348 AB348 AG348 M350 R350 W350 AB350 AG350 M352 R352 W352 AB352 AG352 M354 R354 W354 AB354 AG354 M356 R356 W356 AB356 AG356 M358 R358 W358 AB358 AG358 M360 R360 W360 AB360 AG360 M362 R362 W362 AB362 AG362 M364 R364 W364 AB364 AG364 M366 R366 W366 AB366 AG366 M368 R368 W368 AB368 AG368 M370 R370 W370 AB370 AG370 M372 R372 W372 AB372 AG372 M374 R374 W374 AB374 AG374 M376 R376 W376 AB376 AG376 M378 R378 W378 AB378 AG378 M380 R380 W380 AB380 AG380 M382 R382 W382 AB382 AG382 M384 R384 W384 AB384 AG384 M386 R386 W386 AB386 AG386 M388:M389 R388:R389 W388:W389 AB388:AB389 AG388:AG389 M391 R391 W391 AB391 AG391 M393 R393 W393 AB393 AG393 M395 R395 W395 AB395 AG395 M397 R397 W397 AB397 AG397 M399 R399 W399 AB399 AG399 M401 R401 W401 AB401 AG401 M403 R403 W403 AB403 AG403 M405 R405 W405 AB405 AG405 M407 R407 W407 AB407 AG407 M409 R409 W409 AB409 AG409 M411 R411 W411 AB411 AG411 M413 R413 W413 AB413 AG413 M415 R415 W415 AB415 AG415 M417 R417 W417 AB417 AG417 M419 R419 W419 AB419 AG419 M421 R421 W421 AB421 AG421 M423 R423 W423 AB423 AG423 M425 R425 W425 AB425 AG425 M427 R427 W427 AB427 AG427 M429 R429 W429 AB429 AG429 M431 R431 W431 AB431 AG431 M433 R433 W433 AB433 AG433 M435 R435 W435 AB435 AG435 M437 R437 W437 AB437 AG437 M439:M440 R439:R440 W439:W440 AB439:AB440 AG439:AG440 M442 R442 W442 AB442 AG442 M444 R444 W444 AB444 AG444 M446 R446 W446 AB446 AG446 M448 R448 W448 AB448 AG448 M450 R450 W450 AB450 AG450 M452 R452 W452 AB452 AG452 M454 R454 W454 AB454 AG454 M456 R456 W456 AB456 AG456 M458:M459 R458:R459 W458:W459 AB458:AB459 AG458:AG459 M461 R461 W461 AB461 AG461 M463 R463 W463 AB463 AG463 M465 R465 W465 AB465 AG465 M467 R467 W467 AB467 AG467 M469 R469 W469 AB469 AG469 M471 R471 W471 AB471 AG471 M473 R473 W473 AB473 AG473 M475 R475 W475 AB475 AG475 M477 R477 W477 AB477 AG477 M479 R479 W479 AB479 AG479 M481 R481 W481 AB481 AG481 M483 R483 W483 AB483 AG483 M485 R485 W485 AB485 AG485 M487 R487 W487 AB487 AG487 M489 R489 W489 AB489 AG489 M491 R491 W491 AB491 AG491 M493 R493 W493 AB493 AG493 M495 R495 W495 AB495 AG495 M497 R497 W497 AB497 AG497 M499 R499 W499 AB499 AG499 M501 R501 W501 AB501 AG501 M503 R503 W503 AB503 AG503 M505 R505 W505 AB505 AG505 M507 R507 W507 AB507 AG507 M509 R509 W509 AB509 AG509 M511 R511 W511 AB511 AG511 M513 R513 W513 AB513 AG513 M515 R515 W515 AB515 AG515 M517 R517 W517 AB517 AG517 M519 R519 W519 AB519 AG519 M521 R521 W521 AB521 AG521 M523 R523 W523 AB523 AG523 M525 R525 W525 AB525 AG525 M527 R527 W527 AB527 AG527 M529 R529 W529 AB529 AG529 M531 R531 W531 AB531 AG531 M533 R533 W533 AB533 AG533 M535 R535 W535 AB535 AG535 M537 R537 W537 AB537 AG537 M539 R539 W539 AB539 AG539 M541 R541 W541 AB541 AG541 M543 R543 W543 AB543 AG543 M545 R545 W545 AB545 AG545 M547 R547 W547 AB547 AG547 M549 R549 W549 AB549 AG549 M551 R551 W551 AB551 AG551 M553 R553 W553 AB553 AG553 M555 R555 W555 AB555 AG555 M557 R557 W557 AB557 AG557 M559 R559 W559 AB559 AG559 M561 R561 W561 AB561 AG561 M563 R563 W563 AB563 AG563 M565 R565 W565 AB565 AG565 M567 R567 W567 AB567 AG567 M569 R569 W569 AB569 AG569 M571 R571 W571 AB571 AG571 M573 R573 W573 AB573 AG573 M575 R575 W575 AB575 AG575 M577 R577 W577 AB577 AG577 M579 R579 W579 AB579 AG579 M581 R581 W581 AB581 AG581 M583 R583 W583 AB583 AG583 M585 R585 W585 AB585 AG585 M587 R587 W587 AB587 AG587 M589 R589 W589 AB589 AG589 M591 R591 W591 AB591 AG591 M593 R593 W593 AB593 AG593 M595 R595 W595 AB595 AG595 M597 R597 W597 AB597 AG597 M599 R599 W599 AB599 AG599 M601 R601 W601 AB601 AG601 M603 R603 W603 AB603 AG603 M605 R605 W605 AB605 AG605 M607 R607 W607 AB607 AG607 M609 R609 W609 AB609 AG609 M611 R611 W611 AB611 AG611 M613 R613 W613 AB613 AG613 M615 R615 W615 AB615 AG615 M617 R617 W617 AB617 AG617 M619 R619 W619 AB619 AG619 M621 R621 W621 AB621 AG621 M623 R623 W623 AB623 AG623 M625 R625 W625 AB625 AG625 M627:M628 R627:R628 W627:W628 AB627:AB628 AG627:AG628 M630 R630 W630 AB630 AG630 M632 R632 W632 AB632 AG632 M634 R634 W634 AB634 AG634 M636 R636 W636 AB636 AG636 M638:M639 R638:R639 W638:W639 AB638:AB639 AG638:AG639 M641 R641 W641 AB641 AG641 M643 R643 W643 AB643 AG643 M645 R645 W645 AB645 AG645 M647 R647 W647 AB647 AG647 M649 R649 W649 AB649 AG649 M651 R651 W651 AB651 AG651 M653 R653 W653 AB653 AG653 M655 R655 W655 AB655 AG655 M657 R657 W657 AB657 AG657 M659 R659 W659 AB659 AG659 M661 R661 W661 AB661 AG661 M663 R663 W663 AB663 AG663 M665 R665 W665 AB665 AG665 M667 R667 W667 AB667 AG667 M669 R669 W669 AB669 AG669 M671 R671 W671 AB671 AG671 M673 R673 W673 AB673 AG673 M675 R675 W675 AB675 AG675 M677 R677 W677 AB677 AG677 M679 R679 W679 AB679 AG679 M681 R681 W681 AB681 AG681 M683 R683 W683 AB683 AG683 M685 R685 W685 AB685 AG685 M687 R687 W687 AB687 AG687 M689 R689 W689 AB689 AG689 M691 R691 W691 AB691 AG691 M693 R693 W693 AB693 AG693 M695:M696 R695:R696 W695:W696 AB695:AB696 AG695:AG696 M698 R698 W698 AB698 AG698 M700:M1700 R700:R1700 W700:W1700 AB700:AB1700 AG700:AG1700" type="list">
      <formula1>"y,r_y,r_n,n,"</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2025-10-03T15:26:45Z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